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wes\Desktop\7Q Method\"/>
    </mc:Choice>
  </mc:AlternateContent>
  <xr:revisionPtr revIDLastSave="0" documentId="8_{E1751DF5-C5FE-43BA-8340-D774C4B34482}" xr6:coauthVersionLast="47" xr6:coauthVersionMax="47" xr10:uidLastSave="{00000000-0000-0000-0000-000000000000}"/>
  <bookViews>
    <workbookView xWindow="7812" yWindow="6924" windowWidth="36864" windowHeight="18144" activeTab="5" xr2:uid="{0681C4A9-98FD-4557-89CC-71FD91725C89}"/>
  </bookViews>
  <sheets>
    <sheet name="7Q Explained" sheetId="9" r:id="rId1"/>
    <sheet name="7Q Reverse" sheetId="10" r:id="rId2"/>
    <sheet name="7Q Engine" sheetId="5" r:id="rId3"/>
    <sheet name="Evidence Protocol" sheetId="7" r:id="rId4"/>
    <sheet name="Evidence Calculator" sheetId="8" r:id="rId5"/>
    <sheet name="7Q Framework" sheetId="1" r:id="rId6"/>
    <sheet name="Disciplines" sheetId="2" r:id="rId7"/>
    <sheet name="Truth Score" sheetId="3" r:id="rId8"/>
    <sheet name="Enums &amp; Dropdowns" sheetId="4" r:id="rId9"/>
    <sheet name="Settings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0" l="1"/>
  <c r="F18" i="10"/>
  <c r="C78" i="10" s="1"/>
  <c r="F16" i="10"/>
  <c r="F15" i="10"/>
  <c r="F14" i="10"/>
  <c r="F13" i="10"/>
  <c r="F12" i="10"/>
  <c r="F11" i="10"/>
  <c r="F10" i="10"/>
  <c r="C85" i="10"/>
  <c r="C84" i="10"/>
  <c r="C83" i="10"/>
  <c r="C82" i="10"/>
  <c r="C81" i="10"/>
  <c r="C80" i="10"/>
  <c r="C79" i="10"/>
  <c r="F67" i="10"/>
  <c r="C74" i="10"/>
  <c r="F58" i="10"/>
  <c r="F49" i="10"/>
  <c r="F38" i="10"/>
  <c r="F28" i="10"/>
  <c r="F19" i="10"/>
  <c r="F8" i="10"/>
  <c r="F43" i="8"/>
  <c r="F39" i="8"/>
  <c r="C44" i="8"/>
  <c r="C43" i="8"/>
  <c r="C42" i="8"/>
  <c r="F32" i="8"/>
  <c r="C37" i="8"/>
  <c r="F26" i="8"/>
  <c r="C30" i="8"/>
  <c r="F20" i="8"/>
  <c r="C24" i="8"/>
  <c r="C7" i="8"/>
  <c r="F71" i="5"/>
  <c r="F70" i="5"/>
  <c r="C80" i="5"/>
  <c r="C79" i="5"/>
  <c r="C77" i="5"/>
  <c r="C76" i="5"/>
  <c r="C75" i="5"/>
  <c r="C74" i="5"/>
  <c r="C73" i="5"/>
  <c r="C72" i="5"/>
  <c r="F59" i="5"/>
  <c r="F52" i="5"/>
  <c r="F44" i="5"/>
  <c r="F34" i="5"/>
  <c r="F25" i="5"/>
  <c r="F17" i="5"/>
  <c r="F8" i="5"/>
  <c r="C10" i="5"/>
  <c r="F6" i="5"/>
  <c r="D74" i="3"/>
</calcChain>
</file>

<file path=xl/sharedStrings.xml><?xml version="1.0" encoding="utf-8"?>
<sst xmlns="http://schemas.openxmlformats.org/spreadsheetml/2006/main" count="2612" uniqueCount="1810">
  <si>
    <t>7Q ENGINE — COMPLETE FIELD SPECIFICATION</t>
  </si>
  <si>
    <t>Seven questions forward: classify anything. Seven questions reversed: prove anything. Q0: arrive humble or don't arrive at all.</t>
  </si>
  <si>
    <t>David Lowe | POF 2828 | Theophysics  •  v1.0  •  Obsidian Forge Plugin Spec</t>
  </si>
  <si>
    <t>Question / Section</t>
  </si>
  <si>
    <t>Field Name</t>
  </si>
  <si>
    <t>Type</t>
  </si>
  <si>
    <t>Required</t>
  </si>
  <si>
    <t>UX Element</t>
  </si>
  <si>
    <t>Description / AI Prompt</t>
  </si>
  <si>
    <t>YAML Key</t>
  </si>
  <si>
    <t>Dropdown Values / Notes</t>
  </si>
  <si>
    <t>Q0 — POSTURE BEFORE INQUIRY  ·  "The inquirer cannot be the ground of inquiry"</t>
  </si>
  <si>
    <t>Not a question. A precondition. Displayed once at note creation. Cannot be skipped. No AI assist — this is human-only.</t>
  </si>
  <si>
    <t>Q0 — Posture</t>
  </si>
  <si>
    <t>q0_acknowledged</t>
  </si>
  <si>
    <t>Boolean</t>
  </si>
  <si>
    <t>✓ REQUIRED</t>
  </si>
  <si>
    <t>Checkbox</t>
  </si>
  <si>
    <t>User acknowledges: "You do not arrive already decided." Must be checked before Q1 unlocks.</t>
  </si>
  <si>
    <t>q0_acknowledged: true</t>
  </si>
  <si>
    <t>true / false only</t>
  </si>
  <si>
    <t>Transformation: undecided → receptive  |  Function: Prevent motivated reasoning before it starts</t>
  </si>
  <si>
    <t>Q1 — WHAT IS IT?  ·  Identity  ·  "Create the object. Name it. Classify it."</t>
  </si>
  <si>
    <t>Transformation: undefined → defined  |  Function: Create the object. Name it. Classify it. Prevent category confusion from the start.</t>
  </si>
  <si>
    <t>Q1 — Identity</t>
  </si>
  <si>
    <t>id</t>
  </si>
  <si>
    <t>UUID v4</t>
  </si>
  <si>
    <t>Auto</t>
  </si>
  <si>
    <t>Hidden, auto-generated</t>
  </si>
  <si>
    <t>Unique identifier for the claim. System generates on creation.</t>
  </si>
  <si>
    <t>q1_identity.id</t>
  </si>
  <si>
    <t>Auto-generated UUID</t>
  </si>
  <si>
    <t>label</t>
  </si>
  <si>
    <t>String (max 8 words)</t>
  </si>
  <si>
    <t>Text box</t>
  </si>
  <si>
    <t>Short clear label summarizing the claim. Max 8 words.</t>
  </si>
  <si>
    <t>q1_identity.label</t>
  </si>
  <si>
    <t>e.g. "Consciousness affects physical systems"</t>
  </si>
  <si>
    <t>claim_type</t>
  </si>
  <si>
    <t>Enum</t>
  </si>
  <si>
    <t>Dropdown</t>
  </si>
  <si>
    <t>Classify the claim into exactly one type. Determines how evidence and logic apply.</t>
  </si>
  <si>
    <t>q1_identity.claim_type</t>
  </si>
  <si>
    <t>descriptive | causal | ontological | mathematical | mechanistic | predictive | normative</t>
  </si>
  <si>
    <t>tier</t>
  </si>
  <si>
    <t>Optional</t>
  </si>
  <si>
    <t>Where the claim sits in the hierarchy of knowledge.</t>
  </si>
  <si>
    <t>q1_identity.tier</t>
  </si>
  <si>
    <t>foundational | derived | constraint | support | connection</t>
  </si>
  <si>
    <t>statement</t>
  </si>
  <si>
    <t>Structured sentence</t>
  </si>
  <si>
    <t>Guided builder</t>
  </si>
  <si>
    <t>Composed via: [SUBJECT] → [RELATIONSHIP] → [OBJECT] → under [CONDITIONS]. System assembles the sentence.</t>
  </si>
  <si>
    <t>q1_identity.statement</t>
  </si>
  <si>
    <t>Builder removes ambiguity by forcing structure</t>
  </si>
  <si>
    <t>tags</t>
  </si>
  <si>
    <t>String[]</t>
  </si>
  <si>
    <t>Auto-suggest</t>
  </si>
  <si>
    <t>Tag input + autocomplete</t>
  </si>
  <si>
    <t>3-6 concise tags capturing core concepts. System suggests from vault.</t>
  </si>
  <si>
    <t>q1_identity.tags</t>
  </si>
  <si>
    <t>e.g. [observer-effect, consciousness, PEAR]</t>
  </si>
  <si>
    <t>relations</t>
  </si>
  <si>
    <t>Object[]</t>
  </si>
  <si>
    <t>Link picker</t>
  </si>
  <si>
    <t>Relationships to other claims in vault: supports, contradicts, depends_on, equivalent_to.</t>
  </si>
  <si>
    <t>q1_identity.relations</t>
  </si>
  <si>
    <t>type + target claim ID</t>
  </si>
  <si>
    <t>Q1 AI PROMPTS</t>
  </si>
  <si>
    <t xml:space="preserve">  Label Generator</t>
  </si>
  <si>
    <t>Per-field button</t>
  </si>
  <si>
    <t>"Generate a short clear label (max 8 words) summarizing this claim."</t>
  </si>
  <si>
    <t>Targets: label field</t>
  </si>
  <si>
    <t xml:space="preserve">  Type Classifier</t>
  </si>
  <si>
    <t>"Classify this statement into exactly one of: descriptive, causal, ontological, mathematical, mechanistic, predictive, normative. Return only the word."</t>
  </si>
  <si>
    <t>Targets: claim_type field</t>
  </si>
  <si>
    <t xml:space="preserve">  Statement Refiner</t>
  </si>
  <si>
    <t>"Rewrite into a single precise sentence using: [subject] → [relationship] → [object] (under conditions). Remove all ambiguity. One sentence only."</t>
  </si>
  <si>
    <t>Targets: statement field</t>
  </si>
  <si>
    <t xml:space="preserve">  Tag Generator</t>
  </si>
  <si>
    <t>"Generate 3-6 concise tags capturing core concepts. Return as comma-separated list."</t>
  </si>
  <si>
    <t>Targets: tags field</t>
  </si>
  <si>
    <t xml:space="preserve">  Relation Suggester</t>
  </si>
  <si>
    <t>"Given this claim and existing claims in the vault, suggest relationships (supports, contradicts, depends_on, equivalent_to). Return only high-confidence matches."</t>
  </si>
  <si>
    <t>Targets: relations field</t>
  </si>
  <si>
    <t>Q2 — WHERE DOES IT LIVE?  ·  Domain  ·  "Place the object in reality. Anchor it."</t>
  </si>
  <si>
    <t>Transformation: defined → located  |  Function: Anchor the claim in a domain, scale, and cross-domain status. Isomorphisms are detected here.</t>
  </si>
  <si>
    <t>Q2 — Domain</t>
  </si>
  <si>
    <t>primary_domain</t>
  </si>
  <si>
    <t>The single primary domain this claim belongs to.</t>
  </si>
  <si>
    <t>q2_domain.primary</t>
  </si>
  <si>
    <t>physics | biology | psychology | mathematics | philosophy | theology | information | social | computational | moral | consciousness</t>
  </si>
  <si>
    <t>additional_domains</t>
  </si>
  <si>
    <t>Enum[]</t>
  </si>
  <si>
    <t>Multi-select dropdown</t>
  </si>
  <si>
    <t>Any additional domains where this claim also operates. Triggers isomorphism check.</t>
  </si>
  <si>
    <t>q2_domain.additional</t>
  </si>
  <si>
    <t>Same enum as primary_domain — multi-select</t>
  </si>
  <si>
    <t>scale</t>
  </si>
  <si>
    <t>The scale at which this claim operates.</t>
  </si>
  <si>
    <t>q2_domain.scale</t>
  </si>
  <si>
    <t>quantum | molecular | neural | individual | social | civilizational | cosmic | universal</t>
  </si>
  <si>
    <t>isomorphism_status</t>
  </si>
  <si>
    <t>Conditional</t>
  </si>
  <si>
    <t>Dropdown (appears if 2+ domains)</t>
  </si>
  <si>
    <t>Cross-domain structural relationship. Only visible when additional_domains is populated.</t>
  </si>
  <si>
    <t>q2_domain.isomorphism_status</t>
  </si>
  <si>
    <t>none | ISO-analogy | ISO-parallel | ISO-confirmed</t>
  </si>
  <si>
    <t>SUB-QUESTIONS:  ① Does it appear in more than one domain?  ② If cross-domain: is it analogy or isomorphism? (Can you swap labels and the structure survives?)  ③ At what scale does it operate?</t>
  </si>
  <si>
    <t>Q2 AI PROMPTS</t>
  </si>
  <si>
    <t xml:space="preserve">  Domain Classifier</t>
  </si>
  <si>
    <t>"Identify the primary domain this claim belongs to. Choose from: physics, biology, psychology, mathematics, philosophy, theology, information, social, computational, moral, consciousness. Then identify any additional domains."</t>
  </si>
  <si>
    <t>Targets: primary_domain, additional_domains</t>
  </si>
  <si>
    <t xml:space="preserve">  Scale Detector</t>
  </si>
  <si>
    <t>"At what scale does this claim operate? Choose from: quantum, molecular, neural, individual, social, civilizational, cosmic, universal. Return one."</t>
  </si>
  <si>
    <t>Targets: scale</t>
  </si>
  <si>
    <t xml:space="preserve">  Isomorphism Scanner</t>
  </si>
  <si>
    <t>"Does this claim appear structurally in more than one domain? If yes, is the mapping an analogy (surface similarity) or isomorphism (structural identity that survives variable substitution)? Return: none, analogy, parallel, or confirmed."</t>
  </si>
  <si>
    <t>Targets: isomorphism_status</t>
  </si>
  <si>
    <t>Q3 — WHAT DOES IT SAY?  ·  Assertion  ·  "Force precision. No hedging. The claim commits."</t>
  </si>
  <si>
    <t>Transformation: located → stated  |  Function: The claim commits to a precise assertion. Generates its own negation for Q7 kill testing.</t>
  </si>
  <si>
    <t>Q3 — Assertion</t>
  </si>
  <si>
    <t>assertion</t>
  </si>
  <si>
    <t>String</t>
  </si>
  <si>
    <t>Single sentence text box</t>
  </si>
  <si>
    <t>The precise claim in one sentence. No hedging, no qualifiers. If an opponent can't restate it, it's not precise enough.</t>
  </si>
  <si>
    <t>q3_claim.assertion</t>
  </si>
  <si>
    <t>Must be one clear sentence</t>
  </si>
  <si>
    <t>precision</t>
  </si>
  <si>
    <t>Auto-classified</t>
  </si>
  <si>
    <t>Auto (system classifies)</t>
  </si>
  <si>
    <t>System auto-classifies from the assertion text. Can be overridden.</t>
  </si>
  <si>
    <t>q3_claim.precision</t>
  </si>
  <si>
    <t>vague | basic | detailed | mathematical | precise</t>
  </si>
  <si>
    <t>certainty</t>
  </si>
  <si>
    <t>How confident is the claimant? This is the user's own assessment.</t>
  </si>
  <si>
    <t>q3_claim.certainty</t>
  </si>
  <si>
    <t>proven | derived | well_supported | tentative | speculative | unknown</t>
  </si>
  <si>
    <t>scope</t>
  </si>
  <si>
    <t>How widely does this claim apply?</t>
  </si>
  <si>
    <t>q3_claim.scope</t>
  </si>
  <si>
    <t>universal | domain_specific | local | specialized</t>
  </si>
  <si>
    <t>negation</t>
  </si>
  <si>
    <t>Auto-gen + confirm</t>
  </si>
  <si>
    <t>Auto-generated, user confirms</t>
  </si>
  <si>
    <t>System generates the logical negation. User confirms correctness. Becomes the seed for Q7 death conditions.</t>
  </si>
  <si>
    <t>q3_claim.negation</t>
  </si>
  <si>
    <t>Must be testable — not just the opposite</t>
  </si>
  <si>
    <t>KEY TEST:  "Can a serious opponent restate this claim accurately?" If the opponent can't restate it, it isn't precise enough.</t>
  </si>
  <si>
    <t>Q3 AI PROMPTS</t>
  </si>
  <si>
    <t xml:space="preserve">  Precision Assessor</t>
  </si>
  <si>
    <t>"Rate the precision of this statement: vague, basic, detailed, mathematical, precise. Return one word."</t>
  </si>
  <si>
    <t>Targets: precision</t>
  </si>
  <si>
    <t xml:space="preserve">  Negation Generator</t>
  </si>
  <si>
    <t>"Generate the exact logical negation of this claim in one sentence. The negation must be testable."</t>
  </si>
  <si>
    <t>Targets: negation</t>
  </si>
  <si>
    <t xml:space="preserve">  Opponent Restatement</t>
  </si>
  <si>
    <t>"You are a skeptical opponent. Restate this claim in your own words as accurately and charitably as possible. If you cannot restate it clearly, respond: UNCLEAR — needs refinement."</t>
  </si>
  <si>
    <t>Quality gate — blocks if UNCLEAR</t>
  </si>
  <si>
    <t>Q4 — WHAT SUPPORTS IT?  ·  Evidence  ·  "Attach justification. Show it's not arbitrary."</t>
  </si>
  <si>
    <t>Transformation: stated → supported  |  Function: Attach justification. Classify evidence quality. Flag if evidence supports competing models equally well.</t>
  </si>
  <si>
    <t>Q4 — Evidence</t>
  </si>
  <si>
    <t>evidence_type</t>
  </si>
  <si>
    <t>What kinds of evidence support this claim? Can select multiple.</t>
  </si>
  <si>
    <t>q4_evidence.evidence_type</t>
  </si>
  <si>
    <t>empirical | experimental | observational | mathematical | logical | scriptural | historical | inferential</t>
  </si>
  <si>
    <t>evidence_tier</t>
  </si>
  <si>
    <t>Overall quality tier of the best evidence available.</t>
  </si>
  <si>
    <t>q4_evidence.evidence_tier</t>
  </si>
  <si>
    <t>tier_1 (direct experimental, replicated) | tier_2 (observational, partial) | tier_3 (inferential, unreplicated)</t>
  </si>
  <si>
    <t>sources</t>
  </si>
  <si>
    <t>Repeatable source entry form</t>
  </si>
  <si>
    <t>Each source: [Author/Lab] | [Year] | [Finding summary, 1 line] | [Sigma / p-value if applicable]</t>
  </si>
  <si>
    <t>q4_evidence.sources[]</t>
  </si>
  <si>
    <t>author, year, finding, significance</t>
  </si>
  <si>
    <t>replication</t>
  </si>
  <si>
    <t>Replication status of the primary evidence.</t>
  </si>
  <si>
    <t>q4_evidence.replication</t>
  </si>
  <si>
    <t>replicated | partial | unreplicated | not_applicable</t>
  </si>
  <si>
    <t>competing_support</t>
  </si>
  <si>
    <t>Could this same evidence support a competing model equally well? If true → flagged for Q7.</t>
  </si>
  <si>
    <t>q4_evidence.competing_support</t>
  </si>
  <si>
    <t>true → auto-flags for Q7 review</t>
  </si>
  <si>
    <t>CRITICAL TEST:  "Could this same evidence support a competing model equally well?" If yes → competing_support: true → auto-flag for Q7 falsification review.</t>
  </si>
  <si>
    <t>Q4 AI PROMPTS</t>
  </si>
  <si>
    <t xml:space="preserve">  Evidence Finder</t>
  </si>
  <si>
    <t>"Search for published empirical evidence that either supports or contradicts this claim. Return author, year, finding, and significance level for each."</t>
  </si>
  <si>
    <t>Targets: sources</t>
  </si>
  <si>
    <t xml:space="preserve">  Tier Classifier</t>
  </si>
  <si>
    <t>"Given this evidence, classify as tier_1 (direct experimental, replicated), tier_2 (observational, partially replicated), or tier_3 (inferential, unreplicated). Return one."</t>
  </si>
  <si>
    <t>Targets: evidence_tier</t>
  </si>
  <si>
    <t xml:space="preserve">  Competing Model Check</t>
  </si>
  <si>
    <t>"Could this same evidence equally support a different explanation? If yes, name the competing model."</t>
  </si>
  <si>
    <t>Targets: competing_support</t>
  </si>
  <si>
    <t>Q5 — WHAT DOES IT DEPEND ON?  ·  Dependencies  ·  "Expose the foundation. Reveal hidden assumptions."</t>
  </si>
  <si>
    <t>Transformation: supported → grounded  |  Function: Trace the dependency chain to its terminus. Expose every hidden assumption. Assess fragility.</t>
  </si>
  <si>
    <t>Q5 — Dependencies</t>
  </si>
  <si>
    <t>depends_on</t>
  </si>
  <si>
    <t>Link[]</t>
  </si>
  <si>
    <t>Note link picker from vault</t>
  </si>
  <si>
    <t>Direct links to other claims this one requires. If those claims fall, this one is at risk.</t>
  </si>
  <si>
    <t>q5_dependencies.depends_on</t>
  </si>
  <si>
    <t>Obsidian [[wikilinks]] to other claims</t>
  </si>
  <si>
    <t>axiom_deps</t>
  </si>
  <si>
    <t>Tag-select from axiom list</t>
  </si>
  <si>
    <t>Which foundational axioms does this ultimately rest on?</t>
  </si>
  <si>
    <t>q5_dependencies.axiom_deps</t>
  </si>
  <si>
    <t>e.g. [A1.1, A1.3] — from axiom registry</t>
  </si>
  <si>
    <t>assumptions</t>
  </si>
  <si>
    <t>List input</t>
  </si>
  <si>
    <t>All assumptions required, including hidden ones the author may not have stated explicitly.</t>
  </si>
  <si>
    <t>q5_dependencies.assumptions</t>
  </si>
  <si>
    <t>Free text list — be exhaustive</t>
  </si>
  <si>
    <t>chain_terminus</t>
  </si>
  <si>
    <t>Where does the dependency chain end? Circularity and open chains are flags.</t>
  </si>
  <si>
    <t>q5_dependencies.chain_terminus</t>
  </si>
  <si>
    <t>axiom | brute_fact | circularity ⚠ | open ⚠</t>
  </si>
  <si>
    <t>fragility</t>
  </si>
  <si>
    <t>If a dependency fails, what happens to this claim?</t>
  </si>
  <si>
    <t>q5_dependencies.fragility</t>
  </si>
  <si>
    <t>collapse_immediately | degrade_gracefully | survive_independently</t>
  </si>
  <si>
    <t>SUB-QUESTIONS:  ① What must already be true for this to stand?  ② Trace the chain all the way down — where does it end?  ③ Are any dependencies themselves unverified?</t>
  </si>
  <si>
    <t>Q5 AI PROMPTS</t>
  </si>
  <si>
    <t xml:space="preserve">  Dependency Extractor</t>
  </si>
  <si>
    <t>"List every assumption and prior truth this claim requires. Be exhaustive. Include hidden assumptions the author may not have stated."</t>
  </si>
  <si>
    <t>Targets: depends_on, assumptions</t>
  </si>
  <si>
    <t xml:space="preserve">  Chain Tracer</t>
  </si>
  <si>
    <t>"Trace the dependency chain downward. For each dependency, ask: what does THAT depend on? Continue until you reach axiom, brute fact, or circularity. Return the chain."</t>
  </si>
  <si>
    <t>Targets: chain_terminus</t>
  </si>
  <si>
    <t xml:space="preserve">  Fragility Assessor</t>
  </si>
  <si>
    <t>"If [dependency X] fails, does this claim collapse immediately, degrade gracefully, or survive independently? Assess each dependency."</t>
  </si>
  <si>
    <t>Targets: fragility</t>
  </si>
  <si>
    <t>Q6 — WHAT DOES IT FORCE?  ·  Consequences  ·  "If true, what else must be true?"</t>
  </si>
  <si>
    <t>Transformation: grounded → generative  |  Function: Generate downstream constraints. Discover untested predictions. Detect cross-domain isomorphisms.</t>
  </si>
  <si>
    <t>Q6 — Consequences</t>
  </si>
  <si>
    <t>enables</t>
  </si>
  <si>
    <t>Note link picker</t>
  </si>
  <si>
    <t>Other claims that become possible if this is true. Creates forward edges in the graph.</t>
  </si>
  <si>
    <t>q6_consequences.enables</t>
  </si>
  <si>
    <t>Obsidian [[wikilinks]]</t>
  </si>
  <si>
    <t>implies</t>
  </si>
  <si>
    <t>What else MUST be true if this claim holds? These are necessary consequences, not preferences.</t>
  </si>
  <si>
    <t>q6_consequences.implies</t>
  </si>
  <si>
    <t>Each implication = 1 sentence</t>
  </si>
  <si>
    <t>predicts</t>
  </si>
  <si>
    <t>Testable predictions this claim generates. Confirmed and unconfirmed tracked separately.</t>
  </si>
  <si>
    <t>q6_consequences.predicts</t>
  </si>
  <si>
    <t>Each prediction must be falsifiable</t>
  </si>
  <si>
    <t>cross_domain_force</t>
  </si>
  <si>
    <t>Does this claim force a consequence in a DIFFERENT domain? If true → isomorphism trigger.</t>
  </si>
  <si>
    <t>q6_consequences.cross_domain_force</t>
  </si>
  <si>
    <t>true → prompts: "Does the structure survive variable substitution?"</t>
  </si>
  <si>
    <t>untested_predictions</t>
  </si>
  <si>
    <t>Predictions that have NOT yet been tested. This is where new science lives.</t>
  </si>
  <si>
    <t>q6_consequences.untested_predictions</t>
  </si>
  <si>
    <t>Highest-value output of the engine</t>
  </si>
  <si>
    <t>ISOMORPHISM TRIGGER:  If cross_domain_force = true → system prompts: "Does the structure survive variable substitution? If yes, this may be an isomorphism. Flag for Q2 review." — This is where the ontological tree, propagation map, and structural isomorphism pages come from.</t>
  </si>
  <si>
    <t>Q6 AI PROMPTS</t>
  </si>
  <si>
    <t xml:space="preserve">  Consequence Generator</t>
  </si>
  <si>
    <t>"If this claim is true, what else must necessarily be true? List downstream consequences. Include consequences the author has not stated."</t>
  </si>
  <si>
    <t>Targets: implies</t>
  </si>
  <si>
    <t xml:space="preserve">  Prediction Extractor</t>
  </si>
  <si>
    <t>"What testable predictions does this claim generate? Separate predictions already confirmed from those NOT yet tested."</t>
  </si>
  <si>
    <t>Targets: predicts, untested_predictions</t>
  </si>
  <si>
    <t xml:space="preserve">  Cross-Domain Scanner</t>
  </si>
  <si>
    <t>"Does this claim force consequences in a domain other than its primary domain? If yes, name the domain and the forced consequence. Assess whether it's analogy or structural isomorphism."</t>
  </si>
  <si>
    <t>Targets: cross_domain_force</t>
  </si>
  <si>
    <t>Q7 — WHAT KILLS IT?  ·  Falsification  ·  "Every object carries its own death warrant."</t>
  </si>
  <si>
    <t>Transformation: generative → testable  |  Function: Attach termination conditions. Make failure explicit. If it can't die, it's not a claim — it's a tautology.</t>
  </si>
  <si>
    <t>Q7 — Falsification</t>
  </si>
  <si>
    <t>death_conditions</t>
  </si>
  <si>
    <t>Repeatable structured entry</t>
  </si>
  <si>
    <t>Each condition: [Condition statement] | [Death type] | [Severity]. The claim must name what would kill it.</t>
  </si>
  <si>
    <t>q7_falsification.death_conditions[]</t>
  </si>
  <si>
    <t>condition, death_type, severity</t>
  </si>
  <si>
    <t xml:space="preserve">  ↳ death_type</t>
  </si>
  <si>
    <t>Per condition</t>
  </si>
  <si>
    <t>Dropdown within entry</t>
  </si>
  <si>
    <t>How does this kill condition operate?</t>
  </si>
  <si>
    <t>(nested in death_conditions)</t>
  </si>
  <si>
    <t>self_refutation | infinite_regress | empirical_contradiction | logical_incoherence | explanatory_failure</t>
  </si>
  <si>
    <t xml:space="preserve">  ↳ severity</t>
  </si>
  <si>
    <t>How lethal is this condition if triggered?</t>
  </si>
  <si>
    <t>fatal | major | minor</t>
  </si>
  <si>
    <t>branch_status</t>
  </si>
  <si>
    <t>Current survival status of the claim.</t>
  </si>
  <si>
    <t>q7_falsification.branch_status</t>
  </si>
  <si>
    <t>alive | dead | problematic | terminal | untested</t>
  </si>
  <si>
    <t>collapse_cascade</t>
  </si>
  <si>
    <t>If this claim dies, what other claims collapse? Trace downstream damage via Q6 links.</t>
  </si>
  <si>
    <t>q7_falsification.collapse_cascade</t>
  </si>
  <si>
    <t>Obsidian [[wikilinks]] to dependent claims</t>
  </si>
  <si>
    <t>proof_status</t>
  </si>
  <si>
    <t>How far along the proof journey is this claim?</t>
  </si>
  <si>
    <t>q7_falsification.proof_status</t>
  </si>
  <si>
    <t>open | argued | derived | tested | survived_adversary</t>
  </si>
  <si>
    <t>adversarial_tested</t>
  </si>
  <si>
    <t>Has anyone actually tried to kill it? Or has it only survived friendly examination?</t>
  </si>
  <si>
    <t>q7_falsification.adversarial_tested</t>
  </si>
  <si>
    <t>true = tested by opponent / false = friendly only</t>
  </si>
  <si>
    <t>CRITICAL TESTS:  ① Name the death condition — which of the five types?  ② What breaks DOWNSTREAM if this fails? (Link to Q6)  ③ Has anyone actually tried to kill it, or has it only survived friendly examination?</t>
  </si>
  <si>
    <t>Q7 AI PROMPTS</t>
  </si>
  <si>
    <t xml:space="preserve">  Death Condition Generator</t>
  </si>
  <si>
    <t>"Generate specific, testable conditions that would falsify this claim. For each, classify as: self_refutation, infinite_regress, empirical_contradiction, logical_incoherence, or explanatory_failure."</t>
  </si>
  <si>
    <t>Targets: death_conditions</t>
  </si>
  <si>
    <t xml:space="preserve">  Cascade Analyzer</t>
  </si>
  <si>
    <t>"If this claim is falsified, what other claims in the system collapse? Trace the downstream damage."</t>
  </si>
  <si>
    <t>Targets: collapse_cascade</t>
  </si>
  <si>
    <t xml:space="preserve">  Adversarial Attacker</t>
  </si>
  <si>
    <t>"You are an expert opponent. Mount the strongest possible attack. Use the claim's own dependencies and assumptions against it. Identify the single weakest point."</t>
  </si>
  <si>
    <t>Stress test — no target field, tests whole claim</t>
  </si>
  <si>
    <t xml:space="preserve">  Survival Assessor</t>
  </si>
  <si>
    <t>"Has this claim been tested adversarially by someone who genuinely wanted it to fail? Rate: untested, friendly_only, light_adversarial, serious_adversarial, survived_expert_attack."</t>
  </si>
  <si>
    <t>Targets: adversarial_tested, proof_status</t>
  </si>
  <si>
    <t>COMPLETION TRACKING &amp; OUTPUT PIPELINE</t>
  </si>
  <si>
    <t>Auto-calculated from field presence. q_score = count of completed questions (0–7). Dataview: WHERE q_score &lt; 7 SORT q_score ASC</t>
  </si>
  <si>
    <t>Completion</t>
  </si>
  <si>
    <t>q_complete</t>
  </si>
  <si>
    <t>Object</t>
  </si>
  <si>
    <t>Sidebar widget</t>
  </si>
  <si>
    <t>Boolean per question: q0–q7. Auto-computed from required field presence per question.</t>
  </si>
  <si>
    <t>q_complete: { q0: true, q1: true, ... q7: false }</t>
  </si>
  <si>
    <t>Renders as progress bar in sidebar</t>
  </si>
  <si>
    <t>q_score</t>
  </si>
  <si>
    <t>Integer (0–7)</t>
  </si>
  <si>
    <t>Badge / counter</t>
  </si>
  <si>
    <t>Count of completed questions. Primary sort key for finding incomplete claims.</t>
  </si>
  <si>
    <t>q_score: 4</t>
  </si>
  <si>
    <t>Displayed on note card, sortable in Dataview</t>
  </si>
  <si>
    <t>OUTPUT PIPELINE — What the engine produces</t>
  </si>
  <si>
    <t>Output</t>
  </si>
  <si>
    <t>Page Generated</t>
  </si>
  <si>
    <t>Trigger Condition</t>
  </si>
  <si>
    <t>Source Questions</t>
  </si>
  <si>
    <t>Isomorphism</t>
  </si>
  <si>
    <t>Structural isomorphism page</t>
  </si>
  <si>
    <t>Q2 has 2+ domains AND Q6 cross_domain_force=true AND isomorphism_status=ISO-confirmed</t>
  </si>
  <si>
    <t>Q2 + Q6</t>
  </si>
  <si>
    <t>Evidence</t>
  </si>
  <si>
    <t>Evidence convergence strip</t>
  </si>
  <si>
    <t>Q4 has tier_1 or tier_2 sources with significance levels</t>
  </si>
  <si>
    <t>Q4</t>
  </si>
  <si>
    <t>Kill Conditions</t>
  </si>
  <si>
    <t>Falsification court</t>
  </si>
  <si>
    <t>Q7 death_conditions is populated (at least 1 entry)</t>
  </si>
  <si>
    <t>Q7</t>
  </si>
  <si>
    <t>The ontological tree = running the engine on "does anything exist?"
The propagation map = running the engine on "what is a distinction?"
The structural isomorphism = Q6 output across all five symmetry pairs
The evidence page = Q4 output aggregated
The kill conditions page = Q7 output aggregated
Everything is engine output. The engine is the product.</t>
  </si>
  <si>
    <t>SYSTEM SUMMARY — THREE LAYERS</t>
  </si>
  <si>
    <t>LAYER 1: THE METHOD — Q0 (posture) → Q1–Q7 (seven questions, each with sub-questions, fields, AI prompts). Forward: classify anything. Reverse: prove anything.</t>
  </si>
  <si>
    <t>LAYER 2: THE OUTPUT — Isomorphism ← Q2 + Q6 cross-domain survival  |  Evidence ← Q4 aggregated sources  |  Kill ← Q7 death conditions</t>
  </si>
  <si>
    <t>LAYER 3: THE SCORE — T = w₁·S + w₂·E + w₃·L + w₄·D + w₅·P + w₆·C. All variables derived from fields user already filled. Cluster aggregation → truth landscape across many claims.</t>
  </si>
  <si>
    <t>"Define → Ground → Propagate → Test → Score. Everything else is metadata."  —  David Lowe | POF 2828 | Theophysics</t>
  </si>
  <si>
    <t>Physics</t>
  </si>
  <si>
    <t>physics</t>
  </si>
  <si>
    <t>quantum, molecular, cosmic, universal</t>
  </si>
  <si>
    <t>causal, mechanistic, mathematical, predictive</t>
  </si>
  <si>
    <t>tier_1 dominant</t>
  </si>
  <si>
    <t>experimental, mathematical, observational</t>
  </si>
  <si>
    <t>empirical_contradiction, logical_incoherence</t>
  </si>
  <si>
    <t>axiom (mathematical axioms, conservation laws)</t>
  </si>
  <si>
    <t>collapse_immediately — physics claims are tightly coupled</t>
  </si>
  <si>
    <t>HIGH — maps to mathematics, information, consciousness</t>
  </si>
  <si>
    <t>Entangled particles exhibit non-local correlations that violate Bell inequalities under spacelike separation.</t>
  </si>
  <si>
    <t>If Bell inequality violations disappear in loophole-free experiments with &gt;10σ significance across independent labs.</t>
  </si>
  <si>
    <t>Chemistry</t>
  </si>
  <si>
    <t>molecular, quantum</t>
  </si>
  <si>
    <t>mechanistic, causal, descriptive, predictive</t>
  </si>
  <si>
    <t>empirical_contradiction</t>
  </si>
  <si>
    <t>axiom (quantum mechanics, thermodynamics)</t>
  </si>
  <si>
    <t>degrade_gracefully — many independent reaction pathways</t>
  </si>
  <si>
    <t>MODERATE — maps to biology, materials science</t>
  </si>
  <si>
    <t>Catalytic reaction rates follow Arrhenius kinetics with activation energy barriers under standard conditions.</t>
  </si>
  <si>
    <t>If reaction rates show no temperature dependence across 1000+ controlled experiments with varied catalysts.</t>
  </si>
  <si>
    <t>Biology</t>
  </si>
  <si>
    <t>biology</t>
  </si>
  <si>
    <t>molecular, neural, individual, social</t>
  </si>
  <si>
    <t>causal, mechanistic, descriptive, predictive</t>
  </si>
  <si>
    <t>tier_1 to tier_2</t>
  </si>
  <si>
    <t>experimental, observational, inferential</t>
  </si>
  <si>
    <t>empirical_contradiction, explanatory_failure</t>
  </si>
  <si>
    <t>brute_fact (evolution by natural selection)</t>
  </si>
  <si>
    <t>degrade_gracefully — biological systems have redundancy</t>
  </si>
  <si>
    <t>HIGH — maps to information, social, computational</t>
  </si>
  <si>
    <t>Gene expression is regulated by transcription factor binding to specific promoter sequences under cellular signaling conditions.</t>
  </si>
  <si>
    <t>If transcription factor knockouts show zero effect on target gene expression in &gt;20 independent cell lines.</t>
  </si>
  <si>
    <t>Neuroscience</t>
  </si>
  <si>
    <t>molecular, neural, individual</t>
  </si>
  <si>
    <t>mechanistic, causal, descriptive</t>
  </si>
  <si>
    <t>brute_fact (neural correlates exist)</t>
  </si>
  <si>
    <t>degrade_gracefully — neural systems are highly redundant</t>
  </si>
  <si>
    <t>HIGH — maps to psychology, consciousness, computational</t>
  </si>
  <si>
    <t>Long-term potentiation at hippocampal synapses encodes spatial memory through NMDA receptor-dependent plasticity.</t>
  </si>
  <si>
    <t>If LTP ablation in hippocampal circuits produces zero measurable memory deficit across 50+ animal models.</t>
  </si>
  <si>
    <t>Psychology</t>
  </si>
  <si>
    <t>psychology</t>
  </si>
  <si>
    <t>individual, social, neural</t>
  </si>
  <si>
    <t>causal, descriptive, predictive</t>
  </si>
  <si>
    <t>tier_2 dominant</t>
  </si>
  <si>
    <t>brute_fact (behavior is measurable)</t>
  </si>
  <si>
    <t>degrade_gracefully — effect sizes vary, core patterns persist</t>
  </si>
  <si>
    <t>MODERATE — maps to neuroscience, social, economics</t>
  </si>
  <si>
    <t>Cognitive load reduces decision-making accuracy through working memory depletion under time pressure.</t>
  </si>
  <si>
    <t>If cognitive load manipulations show no effect on decision accuracy across 100+ studies with varied populations and tasks.</t>
  </si>
  <si>
    <t>Sociology</t>
  </si>
  <si>
    <t>social</t>
  </si>
  <si>
    <t>individual, social, civilizational</t>
  </si>
  <si>
    <t>descriptive, causal, predictive</t>
  </si>
  <si>
    <t>tier_2 to tier_3</t>
  </si>
  <si>
    <t>observational, historical, inferential</t>
  </si>
  <si>
    <t>brute_fact (social structures exist and are measurable)</t>
  </si>
  <si>
    <t>survive_independently — claims are often loosely coupled</t>
  </si>
  <si>
    <t>MODERATE — maps to psychology, economics, political science</t>
  </si>
  <si>
    <t>Social network density predicts collective action success in communities under resource scarcity conditions.</t>
  </si>
  <si>
    <t>If network density shows zero correlation with collective action outcomes across 200+ communities controlling for confounds.</t>
  </si>
  <si>
    <t>Anthropology</t>
  </si>
  <si>
    <t>descriptive, causal, ontological</t>
  </si>
  <si>
    <t>explanatory_failure, empirical_contradiction</t>
  </si>
  <si>
    <t>brute_fact (cultural variation exists)</t>
  </si>
  <si>
    <t>survive_independently — interpretive framework is flexible</t>
  </si>
  <si>
    <t>MODERATE — maps to sociology, psychology, history, theology</t>
  </si>
  <si>
    <t>Kinship classification systems constrain marriage patterns through culturally transmitted incest taboos under all documented societies.</t>
  </si>
  <si>
    <t>If a documented society is found with no kinship-based marriage constraints after comprehensive ethnographic survey.</t>
  </si>
  <si>
    <t>Economics</t>
  </si>
  <si>
    <t>predictive, causal, mathematical, normative</t>
  </si>
  <si>
    <t>observational, mathematical, inferential, historical</t>
  </si>
  <si>
    <t>axiom (rational agent assumptions) or brute_fact</t>
  </si>
  <si>
    <t>collapse_immediately — models are assumption-sensitive</t>
  </si>
  <si>
    <t>HIGH — maps to psychology, political science, mathematics, information</t>
  </si>
  <si>
    <t>Price equilibrium emerges from supply-demand interaction through rational agent optimization under perfect information.</t>
  </si>
  <si>
    <t>If persistent price patterns show zero correlation with supply/demand shifts across 500+ natural experiments in varied markets.</t>
  </si>
  <si>
    <t>Mathematics</t>
  </si>
  <si>
    <t>mathematics</t>
  </si>
  <si>
    <t>universal (scale-independent)</t>
  </si>
  <si>
    <t>mathematical, ontological, descriptive</t>
  </si>
  <si>
    <t>tier_1 (proof-based)</t>
  </si>
  <si>
    <t>mathematical, logical</t>
  </si>
  <si>
    <t>self_refutation, logical_incoherence</t>
  </si>
  <si>
    <t>axiom (ZFC, Peano, chosen axiom system)</t>
  </si>
  <si>
    <t>collapse_immediately — proofs are binary (valid or not)</t>
  </si>
  <si>
    <t>MAXIMUM — maps to every domain (mathematics is the universal language)</t>
  </si>
  <si>
    <t>Every continuous function on a closed interval attains its maximum and minimum values under the completeness axiom of the reals.</t>
  </si>
  <si>
    <t>If a counterexample continuous function on [a,b] is constructed that provably fails to attain its supremum within ZFC.</t>
  </si>
  <si>
    <t>Computer Science</t>
  </si>
  <si>
    <t>computational</t>
  </si>
  <si>
    <t>individual, social, universal</t>
  </si>
  <si>
    <t>mathematical, mechanistic, predictive</t>
  </si>
  <si>
    <t>tier_1 (proof + experimental)</t>
  </si>
  <si>
    <t>mathematical, logical, experimental</t>
  </si>
  <si>
    <t>logical_incoherence, empirical_contradiction</t>
  </si>
  <si>
    <t>axiom (Church-Turing thesis, complexity assumptions)</t>
  </si>
  <si>
    <t>collapse_immediately for theory; degrade for systems</t>
  </si>
  <si>
    <t>HIGH — maps to mathematics, information, biology, neuroscience</t>
  </si>
  <si>
    <t>No deterministic algorithm solves Boolean satisfiability in polynomial time under the assumption P ≠ NP.</t>
  </si>
  <si>
    <t>If a polynomial-time SAT solver is demonstrated and verified by independent teams on all known benchmark instances.</t>
  </si>
  <si>
    <t>Philosophy</t>
  </si>
  <si>
    <t>philosophy</t>
  </si>
  <si>
    <t>ontological, normative, descriptive, causal</t>
  </si>
  <si>
    <t>tier_3 dominant</t>
  </si>
  <si>
    <t>logical, inferential, historical</t>
  </si>
  <si>
    <t>self_refutation, infinite_regress, logical_incoherence</t>
  </si>
  <si>
    <t>axiom (first principles) or circularity ⚠</t>
  </si>
  <si>
    <t>varies — analytic claims collapse; continental claims degrade</t>
  </si>
  <si>
    <t>HIGH — maps to theology, mathematics, consciousness, moral</t>
  </si>
  <si>
    <t>Personal identity persists through time via psychological continuity of memory and character under normal cognitive conditions.</t>
  </si>
  <si>
    <t>If a case demonstrates identity persistence with zero psychological continuity, or complete continuity without identity attribution, replicated across philosophical and empirical analysis.</t>
  </si>
  <si>
    <t>Theology</t>
  </si>
  <si>
    <t>theology</t>
  </si>
  <si>
    <t>individual, social, cosmic, universal</t>
  </si>
  <si>
    <t>ontological, normative, causal, descriptive</t>
  </si>
  <si>
    <t>scriptural, historical, logical, inferential, observational</t>
  </si>
  <si>
    <t>self_refutation, logical_incoherence, explanatory_failure</t>
  </si>
  <si>
    <t>axiom (revealed truth, first principles) or brute_fact</t>
  </si>
  <si>
    <t>degrade_gracefully — theological systems have internal redundancy</t>
  </si>
  <si>
    <t>HIGH — maps to philosophy, consciousness, moral, physics, social</t>
  </si>
  <si>
    <t>Divine action operates through secondary causation within natural law rather than suspension of natural law under ordinary providence.</t>
  </si>
  <si>
    <t>If a comprehensive analysis shows divine action claims require systematic violation of natural law with no coherent secondary causation model surviving scrutiny.</t>
  </si>
  <si>
    <t>Medicine</t>
  </si>
  <si>
    <t>causal, mechanistic, predictive, descriptive</t>
  </si>
  <si>
    <t>tier_1 dominant (RCT gold standard)</t>
  </si>
  <si>
    <t>brute_fact (biological mechanisms exist)</t>
  </si>
  <si>
    <t>degrade_gracefully — treatment effects vary by population</t>
  </si>
  <si>
    <t>MODERATE — maps to biology, psychology, chemistry</t>
  </si>
  <si>
    <t>Selective serotonin reuptake inhibitors reduce depressive symptoms through increased synaptic serotonin availability under clinical dosing protocols.</t>
  </si>
  <si>
    <t>If SSRIs show no significant difference from placebo in depression symptom reduction across 50+ double-blind RCTs with adequate power and diverse populations.</t>
  </si>
  <si>
    <t>Ecology</t>
  </si>
  <si>
    <t>individual, social, civilizational, cosmic</t>
  </si>
  <si>
    <t>causal, descriptive, predictive, mechanistic</t>
  </si>
  <si>
    <t>observational, experimental, inferential</t>
  </si>
  <si>
    <t>brute_fact (ecosystems exist and interact)</t>
  </si>
  <si>
    <t>degrade_gracefully — ecological models are probabilistic</t>
  </si>
  <si>
    <t>HIGH — maps to social, information, economics</t>
  </si>
  <si>
    <t>Biodiversity loss reduces ecosystem resilience to perturbation through trophic cascade destabilization under increasing environmental stress.</t>
  </si>
  <si>
    <t>If ecosystems with &lt;10% original biodiversity show equal or greater resilience to perturbation compared to intact ecosystems across 100+ field studies.</t>
  </si>
  <si>
    <t>Astronomy / Cosmology</t>
  </si>
  <si>
    <t>cosmic, universal</t>
  </si>
  <si>
    <t>causal, mechanistic, descriptive, mathematical, predictive</t>
  </si>
  <si>
    <t>observational, mathematical, inferential</t>
  </si>
  <si>
    <t>axiom (GR, QFT, cosmological principle)</t>
  </si>
  <si>
    <t>collapse_immediately — cosmological models are tightly integrated</t>
  </si>
  <si>
    <t>MODERATE — maps to physics, mathematics, philosophy</t>
  </si>
  <si>
    <t>The universe's accelerating expansion is driven by a cosmological constant (dark energy) with equation of state w = −1 under ΛCDM assumptions.</t>
  </si>
  <si>
    <t>If precision measurements of w deviate from −1 by &gt;5σ across CMB, BAO, and Type Ia supernovae datasets independently.</t>
  </si>
  <si>
    <t>Linguistics</t>
  </si>
  <si>
    <t>information</t>
  </si>
  <si>
    <t>neural, individual, social</t>
  </si>
  <si>
    <t>descriptive, mechanistic, causal, ontological</t>
  </si>
  <si>
    <t>brute_fact (language exists) or axiom (universal grammar)</t>
  </si>
  <si>
    <t>degrade_gracefully — linguistic universals are probabilistic</t>
  </si>
  <si>
    <t>MODERATE — maps to psychology, computational, social, neuroscience</t>
  </si>
  <si>
    <t>All human languages share recursive syntactic structure as a product of an innate universal grammar under normal cognitive development.</t>
  </si>
  <si>
    <t>If a fully documented human language is found with no recursive structure, acquired under normal developmental conditions, verified by independent linguists.</t>
  </si>
  <si>
    <t>Political Science</t>
  </si>
  <si>
    <t>descriptive, causal, predictive, normative</t>
  </si>
  <si>
    <t>brute_fact (political institutions exist)</t>
  </si>
  <si>
    <t>survive_independently — political theories are loosely coupled</t>
  </si>
  <si>
    <t>MODERATE — maps to economics, sociology, psychology, history</t>
  </si>
  <si>
    <t>Democratic institutions reduce the probability of interstate war through domestic accountability mechanisms under conditions of shared democratic governance.</t>
  </si>
  <si>
    <t>If the frequency of interstate war between established democracies equals or exceeds the base rate for all state pairs across 200+ years of data.</t>
  </si>
  <si>
    <t>History</t>
  </si>
  <si>
    <t>historical, inferential, observational</t>
  </si>
  <si>
    <t>brute_fact (events occurred)</t>
  </si>
  <si>
    <t>survive_independently — historical interpretations are modular</t>
  </si>
  <si>
    <t>LOW-MODERATE — maps to sociology, political science, economics</t>
  </si>
  <si>
    <t>Agricultural surplus enabled permanent social stratification through labor specialization under conditions of sedentary settlement.</t>
  </si>
  <si>
    <t>If a documented pre-agricultural society is found with persistent hereditary social stratification verified by independent archaeological and anthropological evidence.</t>
  </si>
  <si>
    <t>Engineering</t>
  </si>
  <si>
    <t>molecular, individual, social</t>
  </si>
  <si>
    <t>mechanistic, predictive, mathematical, descriptive</t>
  </si>
  <si>
    <t>tier_1 (performance-based)</t>
  </si>
  <si>
    <t>axiom (physics, materials science, thermodynamics)</t>
  </si>
  <si>
    <t>collapse_immediately — engineering failures are concrete</t>
  </si>
  <si>
    <t>MODERATE — maps to physics, mathematics, computer science</t>
  </si>
  <si>
    <t>Structural load capacity follows beam theory predictions with safety factor margins under standard material and environmental conditions.</t>
  </si>
  <si>
    <t>If beam theory predictions fail by &gt;15% in structural load tests across 500+ independent tests with verified material properties and controlled conditions.</t>
  </si>
  <si>
    <t>Consciousness Studies</t>
  </si>
  <si>
    <t>consciousness</t>
  </si>
  <si>
    <t>quantum, neural, individual, universal</t>
  </si>
  <si>
    <t>ontological, causal, mechanistic, descriptive</t>
  </si>
  <si>
    <t>observational, inferential, experimental, logical</t>
  </si>
  <si>
    <t>explanatory_failure, self_refutation, logical_incoherence</t>
  </si>
  <si>
    <t>open ⚠ or brute_fact (the hard problem)</t>
  </si>
  <si>
    <t>varies — hard problem claims survive; mechanism claims collapse</t>
  </si>
  <si>
    <t>MAXIMUM — maps to physics, theology, philosophy, neuroscience, information</t>
  </si>
  <si>
    <t>Consciousness is a fundamental feature of information integration that scales with integrated information (Φ) under any physical substrate.</t>
  </si>
  <si>
    <t>If a system with maximal Φ shows zero indicators of consciousness, or a system with Φ=0 demonstrates verified conscious experience, replicated across independent measurement frameworks.</t>
  </si>
  <si>
    <t>DOMAIN FAMILY COLOR KEY</t>
  </si>
  <si>
    <t>🔵 Physical Sciences</t>
  </si>
  <si>
    <t>🟢 Life Sciences</t>
  </si>
  <si>
    <t>🟠 Social Sciences</t>
  </si>
  <si>
    <t>🟣 Formal Sciences</t>
  </si>
  <si>
    <t>⬛ Humanities &amp; Meta</t>
  </si>
  <si>
    <t>7Q ENGINE — TRUTH SCORE (EMERGENT EVALUATION)</t>
  </si>
  <si>
    <t>The user does not fill out a scoring rubric. They answer seven questions. The score falls out of the answers. Not imposed — emergent from structure.</t>
  </si>
  <si>
    <t>T = w₁·S + w₂·E + w₃·L + w₄·D + w₅·P + w₆·C     |     Normalized to 0–1     |     Weights adjustable (default: equal at 1/6 each)     |     All variables derived from fields user already filled</t>
  </si>
  <si>
    <t>THE SIX VARIABLES — All Derived from 7Q Fields</t>
  </si>
  <si>
    <t>Variable</t>
  </si>
  <si>
    <t>Source Question</t>
  </si>
  <si>
    <t>What It Measures</t>
  </si>
  <si>
    <t>S — Survivability</t>
  </si>
  <si>
    <t>Q7: death_conditions + branch_status</t>
  </si>
  <si>
    <t>How many kill conditions it survived. Alive vs dead vs problematic. Has it been adversarially tested?</t>
  </si>
  <si>
    <t>E — Evidence</t>
  </si>
  <si>
    <t>Q4: evidence_tier + replication + sources</t>
  </si>
  <si>
    <t>Source quality, replication status, significance levels. Tier 1 replicated = maximum.</t>
  </si>
  <si>
    <t>L — Logic</t>
  </si>
  <si>
    <t>Q4: evidence_type (math/logical) + Q3: precision</t>
  </si>
  <si>
    <t>Internal consistency, proof strength, formal validity. Mathematical proof = maximum.</t>
  </si>
  <si>
    <t>D — Dependencies</t>
  </si>
  <si>
    <t>Q5: chain_terminus + fragility</t>
  </si>
  <si>
    <t>Foundation stability. Axiom terminus + survive independently = maximum. Circularity = near-zero.</t>
  </si>
  <si>
    <t>P — Predictions</t>
  </si>
  <si>
    <t>Q6: predicts + untested_predictions</t>
  </si>
  <si>
    <t>Does it generate correct predictions? Confirmed/total ratio. Zero predictions = inert = 0.</t>
  </si>
  <si>
    <t>C — Coherence</t>
  </si>
  <si>
    <t>Q2: isomorphism_status + Q6: cross_domain_force</t>
  </si>
  <si>
    <t>Cross-domain survival. ISO-confirmed across 2+ domains = maximum. Single domain = neutral.</t>
  </si>
  <si>
    <t>S — SURVIVABILITY COMPUTATION</t>
  </si>
  <si>
    <t>Condition</t>
  </si>
  <si>
    <t>Score</t>
  </si>
  <si>
    <t>branch_status = alive AND adversarial_tested = true</t>
  </si>
  <si>
    <t>S = 1.0</t>
  </si>
  <si>
    <t>branch_status = alive AND adversarial_tested = false</t>
  </si>
  <si>
    <t>S = 0.6</t>
  </si>
  <si>
    <t>branch_status = problematic</t>
  </si>
  <si>
    <t>S = 0.3</t>
  </si>
  <si>
    <t>branch_status = dead</t>
  </si>
  <si>
    <t>S = 0.0</t>
  </si>
  <si>
    <t>E — EVIDENCE COMPUTATION</t>
  </si>
  <si>
    <t>tier_1 + replicated</t>
  </si>
  <si>
    <t>E = 1.0</t>
  </si>
  <si>
    <t>tier_1 + partial replication</t>
  </si>
  <si>
    <t>E = 0.8</t>
  </si>
  <si>
    <t>tier_2 + replicated</t>
  </si>
  <si>
    <t>E = 0.7</t>
  </si>
  <si>
    <t>tier_2 + unreplicated</t>
  </si>
  <si>
    <t>E = 0.4</t>
  </si>
  <si>
    <t>tier_3 (any replication status)</t>
  </si>
  <si>
    <t>E = 0.2</t>
  </si>
  <si>
    <t>no sources</t>
  </si>
  <si>
    <t>E = 0.0</t>
  </si>
  <si>
    <t>L — LOGIC COMPUTATION</t>
  </si>
  <si>
    <t>Has mathematical proof</t>
  </si>
  <si>
    <t>L = 1.0</t>
  </si>
  <si>
    <t>Has logical proof</t>
  </si>
  <si>
    <t>L = 0.8</t>
  </si>
  <si>
    <t>Precision = mathematical or precise → add bonus</t>
  </si>
  <si>
    <t>L += 0.2</t>
  </si>
  <si>
    <t>No formal proof, internally consistent</t>
  </si>
  <si>
    <t>L = 0.3</t>
  </si>
  <si>
    <t>No formal proof, incoherent</t>
  </si>
  <si>
    <t>L = 0.0</t>
  </si>
  <si>
    <t>axiom + survive_independently</t>
  </si>
  <si>
    <t>D = 1.0</t>
  </si>
  <si>
    <t>axiom + degrade_gracefully</t>
  </si>
  <si>
    <t>D = 0.8</t>
  </si>
  <si>
    <t>brute_fact (any fragility)</t>
  </si>
  <si>
    <t>D = 0.5</t>
  </si>
  <si>
    <t>circularity ⚠</t>
  </si>
  <si>
    <t>D = 0.1</t>
  </si>
  <si>
    <t>open ⚠ (chain doesn't terminate)</t>
  </si>
  <si>
    <t>D = 0.0</t>
  </si>
  <si>
    <t>All predictions confirmed</t>
  </si>
  <si>
    <t>P = 1.0</t>
  </si>
  <si>
    <t>Confirmed / total ratio (each untested = 0.5)</t>
  </si>
  <si>
    <t>P = ratio</t>
  </si>
  <si>
    <t>Zero predictions (claim is inert)</t>
  </si>
  <si>
    <t>P = 0.0</t>
  </si>
  <si>
    <t>ISO-confirmed across 2+ domains</t>
  </si>
  <si>
    <t>C = 1.0</t>
  </si>
  <si>
    <t>ISO-parallel (structural similarity, untested)</t>
  </si>
  <si>
    <t>C = 0.6</t>
  </si>
  <si>
    <t>ISO-analogy (surface similarity only)</t>
  </si>
  <si>
    <t>C = 0.3</t>
  </si>
  <si>
    <t>Single domain, no cross-domain force</t>
  </si>
  <si>
    <t>C = 0.0 (neutral)</t>
  </si>
  <si>
    <t>CONFIDENCE CLASSIFICATION — Auto-derived from T</t>
  </si>
  <si>
    <t>T Range</t>
  </si>
  <si>
    <t>Label</t>
  </si>
  <si>
    <t>Meaning</t>
  </si>
  <si>
    <t>0.85 – 1.00</t>
  </si>
  <si>
    <t>ESTABLISHED</t>
  </si>
  <si>
    <t>Survived adversarial testing, replicated evidence, strong logic, stable foundations</t>
  </si>
  <si>
    <t>0.65 – 0.84</t>
  </si>
  <si>
    <t>WELL SUPPORTED</t>
  </si>
  <si>
    <t>Strong but gaps remain (untested predictions, partial replication)</t>
  </si>
  <si>
    <t>0.40 – 0.64</t>
  </si>
  <si>
    <t>TENTATIVE</t>
  </si>
  <si>
    <t>Some support but significant unknowns</t>
  </si>
  <si>
    <t>0.15 – 0.39</t>
  </si>
  <si>
    <t>SPECULATIVE</t>
  </si>
  <si>
    <t>More unknown than known</t>
  </si>
  <si>
    <t>0.00 – 0.14</t>
  </si>
  <si>
    <t>UNSUPPORTED</t>
  </si>
  <si>
    <t>No evidence, no proof, or actively falsified</t>
  </si>
  <si>
    <t>CLUSTER TRUTH — Aggregation Across Related Claims</t>
  </si>
  <si>
    <t>When multiple claims are related (via relations links), their truth scores aggregate into cluster patterns.</t>
  </si>
  <si>
    <t>Pattern</t>
  </si>
  <si>
    <t>Interpretation</t>
  </si>
  <si>
    <t>Signal</t>
  </si>
  <si>
    <t>High T + Low variance</t>
  </si>
  <si>
    <t>STABLE TRUTH REGION</t>
  </si>
  <si>
    <t>Multiple claims converge. High confidence this cluster is sound.</t>
  </si>
  <si>
    <t>High T + High variance</t>
  </si>
  <si>
    <t>CONTESTED FRONTIER</t>
  </si>
  <si>
    <t>Strong claims disagree. Active research territory. Worth investigating.</t>
  </si>
  <si>
    <t>Low T + Low variance</t>
  </si>
  <si>
    <t>CONSISTENTLY WEAK</t>
  </si>
  <si>
    <t>Multiple claims fail similarly. Probably false or unfounded.</t>
  </si>
  <si>
    <t>Low T + High variance</t>
  </si>
  <si>
    <t>NOISE</t>
  </si>
  <si>
    <t>No signal. Incoherent collection of unrelated or untested claims.</t>
  </si>
  <si>
    <t>MAPPING TO UNIFIED COHERENCE SCORER (unified_scorer.py)</t>
  </si>
  <si>
    <t>7Q Truth Score</t>
  </si>
  <si>
    <t>→</t>
  </si>
  <si>
    <t>Unified Scorer</t>
  </si>
  <si>
    <t>T (composite)</t>
  </si>
  <si>
    <t>=</t>
  </si>
  <si>
    <t>χ (coherence)</t>
  </si>
  <si>
    <t>confidence range</t>
  </si>
  <si>
    <t>κ (confidence)</t>
  </si>
  <si>
    <t>variance across cluster</t>
  </si>
  <si>
    <t>ρ (robustness)</t>
  </si>
  <si>
    <t>The 7Q Engine is the front door. The scorer is the back end. Same math, different interface.</t>
  </si>
  <si>
    <t>WORKED EXAMPLE — "Observer consciousness influences random physical systems"</t>
  </si>
  <si>
    <t>Input Values</t>
  </si>
  <si>
    <t>Computation</t>
  </si>
  <si>
    <t>Weight</t>
  </si>
  <si>
    <t>branch_status=alive, adversarial_tested=false</t>
  </si>
  <si>
    <t>alive + not adversarially tested</t>
  </si>
  <si>
    <t>tier_1, partial replication</t>
  </si>
  <si>
    <t>tier_1 + partial</t>
  </si>
  <si>
    <t>logical proof, precision=detailed</t>
  </si>
  <si>
    <t>logical proof (0.8) + no precision bonus</t>
  </si>
  <si>
    <t>chain_terminus=axiom, fragility=survive_independently</t>
  </si>
  <si>
    <t>axiom + survive independently</t>
  </si>
  <si>
    <t>3 confirmed, 1 untested</t>
  </si>
  <si>
    <t>3/3.5 = (3 + 0.5×1) / (3+1)</t>
  </si>
  <si>
    <t>ISO-confirmed, 3 domains</t>
  </si>
  <si>
    <t>T (COMPOSITE)</t>
  </si>
  <si>
    <t>Confidence:</t>
  </si>
  <si>
    <t>(0.65–0.84 range)</t>
  </si>
  <si>
    <t>YAML OUTPUT (auto-generated per claim)</t>
  </si>
  <si>
    <t>truth_score:</t>
  </si>
  <si>
    <t xml:space="preserve">  S: 0.6      # survived but not adversarially tested</t>
  </si>
  <si>
    <t xml:space="preserve">  E: 0.8      # tier_1, partially replicated</t>
  </si>
  <si>
    <t xml:space="preserve">  L: 0.8      # logical proof, precise statement</t>
  </si>
  <si>
    <t xml:space="preserve">  D: 1.0      # axiom terminus, survives independently</t>
  </si>
  <si>
    <t xml:space="preserve">  P: 0.875    # 3 confirmed + 1 untested prediction</t>
  </si>
  <si>
    <t xml:space="preserve">  C: 1.0      # ISO-confirmed cross-domain (3 domains)</t>
  </si>
  <si>
    <t xml:space="preserve">  T: 0.846    # weighted composite (equal weights)</t>
  </si>
  <si>
    <t xml:space="preserve">  confidence: well_supported</t>
  </si>
  <si>
    <t>7Q ENGINE — ENUMS &amp; DROPDOWN VALUES (MACHINE-READABLE)</t>
  </si>
  <si>
    <t>Every enum, dropdown value, and classification used across the 7Q system. Directly exportable to TypeScript, JSON, YAML, or PostgreSQL enums for plugin development.</t>
  </si>
  <si>
    <t>Question</t>
  </si>
  <si>
    <t>Enum Value</t>
  </si>
  <si>
    <t>Display Label / Description</t>
  </si>
  <si>
    <t>Plugin Key</t>
  </si>
  <si>
    <t>Notes</t>
  </si>
  <si>
    <t>descriptive</t>
  </si>
  <si>
    <t>Describes what is — observations, measurements, classifications</t>
  </si>
  <si>
    <t>q1.claim_type.descriptive</t>
  </si>
  <si>
    <t>causal</t>
  </si>
  <si>
    <t>Asserts X causes Y — mechanism may or may not be specified</t>
  </si>
  <si>
    <t>q1.claim_type.causal</t>
  </si>
  <si>
    <t>ontological</t>
  </si>
  <si>
    <t>Claims about what exists, the nature of being or reality</t>
  </si>
  <si>
    <t>q1.claim_type.ontological</t>
  </si>
  <si>
    <t>mathematical</t>
  </si>
  <si>
    <t>Formal proof-based — theorem, equation, derivation</t>
  </si>
  <si>
    <t>q1.claim_type.mathematical</t>
  </si>
  <si>
    <t>mechanistic</t>
  </si>
  <si>
    <t>Explains HOW something works — the internal process</t>
  </si>
  <si>
    <t>q1.claim_type.mechanistic</t>
  </si>
  <si>
    <t>predictive</t>
  </si>
  <si>
    <t>Forecasts future states or unobserved values</t>
  </si>
  <si>
    <t>q1.claim_type.predictive</t>
  </si>
  <si>
    <t>normative</t>
  </si>
  <si>
    <t>Claims about what SHOULD be — ethical, prescriptive</t>
  </si>
  <si>
    <t>q1.claim_type.normative</t>
  </si>
  <si>
    <t>foundational</t>
  </si>
  <si>
    <t>Axiom, postulate, or definition — the ground floor</t>
  </si>
  <si>
    <t>q1.tier.foundational</t>
  </si>
  <si>
    <t>derived</t>
  </si>
  <si>
    <t>Theorem, corollary, or hypothesis — built from foundations</t>
  </si>
  <si>
    <t>q1.tier.derived</t>
  </si>
  <si>
    <t>constraint</t>
  </si>
  <si>
    <t>Boundary condition — limits rather than asserts</t>
  </si>
  <si>
    <t>q1.tier.constraint</t>
  </si>
  <si>
    <t>support</t>
  </si>
  <si>
    <t>Evidence bundle — backs another claim, not standalone</t>
  </si>
  <si>
    <t>q1.tier.support</t>
  </si>
  <si>
    <t>connection</t>
  </si>
  <si>
    <t>Bridge or relationship — links two other claims</t>
  </si>
  <si>
    <t>q1.tier.connection</t>
  </si>
  <si>
    <t>Physical laws, forces, particles, fields, spacetime</t>
  </si>
  <si>
    <t>q2.domain.physics</t>
  </si>
  <si>
    <t>Living systems, evolution, genetics, organisms</t>
  </si>
  <si>
    <t>q2.domain.biology</t>
  </si>
  <si>
    <t>Mind, behavior, cognition, perception</t>
  </si>
  <si>
    <t>q2.domain.psychology</t>
  </si>
  <si>
    <t>Numbers, proofs, structures, formal systems</t>
  </si>
  <si>
    <t>q2.domain.mathematics</t>
  </si>
  <si>
    <t>Existence, knowledge, ethics, logic, metaphysics</t>
  </si>
  <si>
    <t>q2.domain.philosophy</t>
  </si>
  <si>
    <t>God, revelation, sacred texts, divine action</t>
  </si>
  <si>
    <t>q2.domain.theology</t>
  </si>
  <si>
    <t>Data, signals, entropy, computation, communication</t>
  </si>
  <si>
    <t>q2.domain.information</t>
  </si>
  <si>
    <t>Societies, institutions, cultures, collective behavior</t>
  </si>
  <si>
    <t>q2.domain.social</t>
  </si>
  <si>
    <t>Algorithms, machines, complexity, artificial systems</t>
  </si>
  <si>
    <t>q2.domain.computational</t>
  </si>
  <si>
    <t>moral</t>
  </si>
  <si>
    <t>Right/wrong, justice, virtue, ethical frameworks</t>
  </si>
  <si>
    <t>q2.domain.moral</t>
  </si>
  <si>
    <t>Awareness, qualia, experience, the hard problem</t>
  </si>
  <si>
    <t>q2.domain.consciousness</t>
  </si>
  <si>
    <t>quantum</t>
  </si>
  <si>
    <t>Subatomic particles, wavefunctions, Planck scale</t>
  </si>
  <si>
    <t>q2.scale.quantum</t>
  </si>
  <si>
    <t>molecular</t>
  </si>
  <si>
    <t>Atoms, molecules, chemical reactions, proteins</t>
  </si>
  <si>
    <t>q2.scale.molecular</t>
  </si>
  <si>
    <t>neural</t>
  </si>
  <si>
    <t>Neurons, synapses, brain circuits, neural networks</t>
  </si>
  <si>
    <t>q2.scale.neural</t>
  </si>
  <si>
    <t>individual</t>
  </si>
  <si>
    <t>Single organism, person, agent, entity</t>
  </si>
  <si>
    <t>q2.scale.individual</t>
  </si>
  <si>
    <t>Groups, communities, organizations, networks</t>
  </si>
  <si>
    <t>q2.scale.social</t>
  </si>
  <si>
    <t>civilizational</t>
  </si>
  <si>
    <t>Nations, cultures, historical epochs, global systems</t>
  </si>
  <si>
    <t>q2.scale.civilizational</t>
  </si>
  <si>
    <t>cosmic</t>
  </si>
  <si>
    <t>Stars, galaxies, clusters, large-scale structure</t>
  </si>
  <si>
    <t>q2.scale.cosmic</t>
  </si>
  <si>
    <t>universal</t>
  </si>
  <si>
    <t>The entire universe, fundamental laws, scale-independent</t>
  </si>
  <si>
    <t>q2.scale.universal</t>
  </si>
  <si>
    <t>none</t>
  </si>
  <si>
    <t>Single domain — no cross-domain mapping</t>
  </si>
  <si>
    <t>q2.iso.none</t>
  </si>
  <si>
    <t>Default for single-domain claims</t>
  </si>
  <si>
    <t>ISO-analogy</t>
  </si>
  <si>
    <t>Surface similarity across domains — labels overlap but structure may not</t>
  </si>
  <si>
    <t>q2.iso.analogy</t>
  </si>
  <si>
    <t>Lowest cross-domain level</t>
  </si>
  <si>
    <t>ISO-parallel</t>
  </si>
  <si>
    <t>Structural similarity across domains — untested whether structure truly matches</t>
  </si>
  <si>
    <t>q2.iso.parallel</t>
  </si>
  <si>
    <t>Needs testing to confirm</t>
  </si>
  <si>
    <t>ISO-confirmed</t>
  </si>
  <si>
    <t>Structural identity confirmed — variable substitution preserves the claim</t>
  </si>
  <si>
    <t>q2.iso.confirmed</t>
  </si>
  <si>
    <t>Highest cross-domain status</t>
  </si>
  <si>
    <t>vague</t>
  </si>
  <si>
    <t>Too ambiguous to test or restate</t>
  </si>
  <si>
    <t>q3.precision.vague</t>
  </si>
  <si>
    <t>Auto-classified by AI</t>
  </si>
  <si>
    <t>basic</t>
  </si>
  <si>
    <t>Clear intent but room for misinterpretation</t>
  </si>
  <si>
    <t>q3.precision.basic</t>
  </si>
  <si>
    <t>detailed</t>
  </si>
  <si>
    <t>Specific enough that an opponent could restate accurately</t>
  </si>
  <si>
    <t>q3.precision.detailed</t>
  </si>
  <si>
    <t>Expressed in or reducible to formal notation</t>
  </si>
  <si>
    <t>q3.precision.mathematical</t>
  </si>
  <si>
    <t>precise</t>
  </si>
  <si>
    <t>Unambiguous, single interpretation possible</t>
  </si>
  <si>
    <t>q3.precision.precise</t>
  </si>
  <si>
    <t>proven</t>
  </si>
  <si>
    <t>Formally demonstrated — mathematical or logical proof exists</t>
  </si>
  <si>
    <t>q3.certainty.proven</t>
  </si>
  <si>
    <t>Logically follows from established premises</t>
  </si>
  <si>
    <t>q3.certainty.derived</t>
  </si>
  <si>
    <t>well_supported</t>
  </si>
  <si>
    <t>Strong evidence and argument, not formally proven</t>
  </si>
  <si>
    <t>q3.certainty.well_supported</t>
  </si>
  <si>
    <t>tentative</t>
  </si>
  <si>
    <t>Some support, significant unknowns remain</t>
  </si>
  <si>
    <t>q3.certainty.tentative</t>
  </si>
  <si>
    <t>speculative</t>
  </si>
  <si>
    <t>Hypothesis stage — more unknown than known</t>
  </si>
  <si>
    <t>q3.certainty.speculative</t>
  </si>
  <si>
    <t>unknown</t>
  </si>
  <si>
    <t>No assessment possible yet</t>
  </si>
  <si>
    <t>q3.certainty.unknown</t>
  </si>
  <si>
    <t>Applies everywhere, in all conditions</t>
  </si>
  <si>
    <t>q3.scope.universal</t>
  </si>
  <si>
    <t>domain_specific</t>
  </si>
  <si>
    <t>Applies within one or a few domains only</t>
  </si>
  <si>
    <t>q3.scope.domain_specific</t>
  </si>
  <si>
    <t>local</t>
  </si>
  <si>
    <t>Applies in specific context or conditions only</t>
  </si>
  <si>
    <t>q3.scope.local</t>
  </si>
  <si>
    <t>specialized</t>
  </si>
  <si>
    <t>Applies to a narrow sub-population or sub-system</t>
  </si>
  <si>
    <t>q3.scope.specialized</t>
  </si>
  <si>
    <t>empirical</t>
  </si>
  <si>
    <t>Data from observation or measurement of the real world</t>
  </si>
  <si>
    <t>q4.evidence_type.empirical</t>
  </si>
  <si>
    <t>experimental</t>
  </si>
  <si>
    <t>Data from controlled experiments with manipulated variables</t>
  </si>
  <si>
    <t>q4.evidence_type.experimental</t>
  </si>
  <si>
    <t>observational</t>
  </si>
  <si>
    <t>Data from systematic observation without manipulation</t>
  </si>
  <si>
    <t>q4.evidence_type.observational</t>
  </si>
  <si>
    <t>Formal proof, derivation, or mathematical demonstration</t>
  </si>
  <si>
    <t>q4.evidence_type.mathematical</t>
  </si>
  <si>
    <t>logical</t>
  </si>
  <si>
    <t>Deductive or inductive argument from established premises</t>
  </si>
  <si>
    <t>q4.evidence_type.logical</t>
  </si>
  <si>
    <t>scriptural</t>
  </si>
  <si>
    <t>Evidence from sacred texts, revelation, or authoritative tradition</t>
  </si>
  <si>
    <t>q4.evidence_type.scriptural</t>
  </si>
  <si>
    <t>Theology-specific</t>
  </si>
  <si>
    <t>historical</t>
  </si>
  <si>
    <t>Evidence from historical records, archives, artifacts</t>
  </si>
  <si>
    <t>q4.evidence_type.historical</t>
  </si>
  <si>
    <t>inferential</t>
  </si>
  <si>
    <t>Indirect evidence — reasoning from related data or analogy</t>
  </si>
  <si>
    <t>q4.evidence_type.inferential</t>
  </si>
  <si>
    <t>tier_1</t>
  </si>
  <si>
    <t>Direct experimental evidence, independently replicated</t>
  </si>
  <si>
    <t>q4.tier.tier_1</t>
  </si>
  <si>
    <t>Gold standard</t>
  </si>
  <si>
    <t>tier_2</t>
  </si>
  <si>
    <t>Observational or partially replicated evidence</t>
  </si>
  <si>
    <t>q4.tier.tier_2</t>
  </si>
  <si>
    <t>Strong but not definitive</t>
  </si>
  <si>
    <t>tier_3</t>
  </si>
  <si>
    <t>Inferential, unreplicated, or purely historical evidence</t>
  </si>
  <si>
    <t>q4.tier.tier_3</t>
  </si>
  <si>
    <t>Weakest tier</t>
  </si>
  <si>
    <t>replicated</t>
  </si>
  <si>
    <t>Independently reproduced by separate teams/labs</t>
  </si>
  <si>
    <t>q4.replication.replicated</t>
  </si>
  <si>
    <t>partial</t>
  </si>
  <si>
    <t>Some replication attempts succeeded, some failed</t>
  </si>
  <si>
    <t>q4.replication.partial</t>
  </si>
  <si>
    <t>unreplicated</t>
  </si>
  <si>
    <t>No independent replication attempted or completed</t>
  </si>
  <si>
    <t>q4.replication.unreplicated</t>
  </si>
  <si>
    <t>not_applicable</t>
  </si>
  <si>
    <t>Replication doesn't apply (e.g., historical events, proofs)</t>
  </si>
  <si>
    <t>q4.replication.not_applicable</t>
  </si>
  <si>
    <t>axiom</t>
  </si>
  <si>
    <t>Self-evident foundation — the chain ends at an accepted first principle</t>
  </si>
  <si>
    <t>q5.terminus.axiom</t>
  </si>
  <si>
    <t>Strongest terminus</t>
  </si>
  <si>
    <t>brute_fact</t>
  </si>
  <si>
    <t>Accepted without proof — it just IS, no further explanation</t>
  </si>
  <si>
    <t>q5.terminus.brute_fact</t>
  </si>
  <si>
    <t>Common in empirical sciences</t>
  </si>
  <si>
    <t>circularity</t>
  </si>
  <si>
    <t>Chain loops back to the original claim — ⚠ FLAG THIS</t>
  </si>
  <si>
    <t>q5.terminus.circularity</t>
  </si>
  <si>
    <t>⚠ Logical defect</t>
  </si>
  <si>
    <t>open</t>
  </si>
  <si>
    <t>Chain doesn't terminate — dependencies go forever — ⚠ FLAG THIS</t>
  </si>
  <si>
    <t>q5.terminus.open</t>
  </si>
  <si>
    <t>⚠ Foundational gap</t>
  </si>
  <si>
    <t>collapse_immediately</t>
  </si>
  <si>
    <t>If dependency fails, this claim dies instantly — no recovery</t>
  </si>
  <si>
    <t>q5.fragility.collapse</t>
  </si>
  <si>
    <t>Tightly coupled</t>
  </si>
  <si>
    <t>degrade_gracefully</t>
  </si>
  <si>
    <t>If dependency fails, claim weakens but doesn't die</t>
  </si>
  <si>
    <t>q5.fragility.degrade</t>
  </si>
  <si>
    <t>Redundant support</t>
  </si>
  <si>
    <t>survive_independently</t>
  </si>
  <si>
    <t>Claim stands even if this specific dependency falls</t>
  </si>
  <si>
    <t>q5.fragility.survive</t>
  </si>
  <si>
    <t>Independent grounding</t>
  </si>
  <si>
    <t>death_type</t>
  </si>
  <si>
    <t>self_refutation</t>
  </si>
  <si>
    <t>Claim destroys itself when stated — internal contradiction</t>
  </si>
  <si>
    <t>q7.death_type.self_refutation</t>
  </si>
  <si>
    <t>"This sentence is false"</t>
  </si>
  <si>
    <t>infinite_regress</t>
  </si>
  <si>
    <t>Pushes the question back without ever resolving — turtles all the way down</t>
  </si>
  <si>
    <t>q7.death_type.infinite_regress</t>
  </si>
  <si>
    <t>Data directly contradicts the claim — killed by evidence</t>
  </si>
  <si>
    <t>q7.death_type.empirical_contradiction</t>
  </si>
  <si>
    <t>Most common in sciences</t>
  </si>
  <si>
    <t>logical_incoherence</t>
  </si>
  <si>
    <t>Contradicts established logical chain or known truths</t>
  </si>
  <si>
    <t>q7.death_type.logical_incoherence</t>
  </si>
  <si>
    <t>explanatory_failure</t>
  </si>
  <si>
    <t>Runs out of road at forced questions — can't explain what it should</t>
  </si>
  <si>
    <t>q7.death_type.explanatory_failure</t>
  </si>
  <si>
    <t>alive</t>
  </si>
  <si>
    <t>Survives all known tests — no kill condition triggered</t>
  </si>
  <si>
    <t>q7.branch.alive</t>
  </si>
  <si>
    <t>dead</t>
  </si>
  <si>
    <t>Killed by a specific condition — citation required</t>
  </si>
  <si>
    <t>q7.branch.dead</t>
  </si>
  <si>
    <t>Must link to death condition</t>
  </si>
  <si>
    <t>problematic</t>
  </si>
  <si>
    <t>Carries unresolved cost — damaged but not killed</t>
  </si>
  <si>
    <t>q7.branch.problematic</t>
  </si>
  <si>
    <t>terminal</t>
  </si>
  <si>
    <t>Stops generating new consequences — not dead, but done</t>
  </si>
  <si>
    <t>q7.branch.terminal</t>
  </si>
  <si>
    <t>untested</t>
  </si>
  <si>
    <t>No one has tried to kill it — ⚠ vulnerability</t>
  </si>
  <si>
    <t>q7.branch.untested</t>
  </si>
  <si>
    <t>⚠ Most dangerous status</t>
  </si>
  <si>
    <t>No proof attempted — claim is asserted only</t>
  </si>
  <si>
    <t>q7.proof.open</t>
  </si>
  <si>
    <t>argued</t>
  </si>
  <si>
    <t>Informal argument presented but not rigorous</t>
  </si>
  <si>
    <t>q7.proof.argued</t>
  </si>
  <si>
    <t>Formally derived from accepted premises</t>
  </si>
  <si>
    <t>q7.proof.derived</t>
  </si>
  <si>
    <t>tested</t>
  </si>
  <si>
    <t>Subjected to empirical testing</t>
  </si>
  <si>
    <t>q7.proof.tested</t>
  </si>
  <si>
    <t>survived_adversary</t>
  </si>
  <si>
    <t>Tested by someone who wanted it to fail — and survived</t>
  </si>
  <si>
    <t>q7.proof.survived_adversary</t>
  </si>
  <si>
    <t>Highest proof status</t>
  </si>
  <si>
    <t>relations.type</t>
  </si>
  <si>
    <t>supports</t>
  </si>
  <si>
    <t>This claim provides evidence or argument FOR the target claim</t>
  </si>
  <si>
    <t>q1.relation.supports</t>
  </si>
  <si>
    <t>Positive link</t>
  </si>
  <si>
    <t>contradicts</t>
  </si>
  <si>
    <t>This claim provides evidence or argument AGAINST the target claim</t>
  </si>
  <si>
    <t>q1.relation.contradicts</t>
  </si>
  <si>
    <t>Negative link</t>
  </si>
  <si>
    <t>This claim requires the target claim to be true</t>
  </si>
  <si>
    <t>q1.relation.depends_on</t>
  </si>
  <si>
    <t>Dependency link — flows into Q5</t>
  </si>
  <si>
    <t>equivalent_to</t>
  </si>
  <si>
    <t>This claim says the same thing as the target in different terms</t>
  </si>
  <si>
    <t>q1.relation.equivalent_to</t>
  </si>
  <si>
    <t>Structural identity</t>
  </si>
  <si>
    <t>extends</t>
  </si>
  <si>
    <t>This claim builds on or generalizes the target claim</t>
  </si>
  <si>
    <t>q1.relation.extends</t>
  </si>
  <si>
    <t>restricts</t>
  </si>
  <si>
    <t>This claim narrows or adds conditions to the target claim</t>
  </si>
  <si>
    <t>q1.relation.restricts</t>
  </si>
  <si>
    <t>Truth Score</t>
  </si>
  <si>
    <t>confidence</t>
  </si>
  <si>
    <t>established</t>
  </si>
  <si>
    <t>T = 0.85–1.00 — Survived adversarial testing, replicated, strong logic</t>
  </si>
  <si>
    <t>truth.confidence.established</t>
  </si>
  <si>
    <t>Highest confidence</t>
  </si>
  <si>
    <t>T = 0.65–0.84 — Strong but gaps remain</t>
  </si>
  <si>
    <t>truth.confidence.well_supported</t>
  </si>
  <si>
    <t>T = 0.40–0.64 — Some support, significant unknowns</t>
  </si>
  <si>
    <t>truth.confidence.tentative</t>
  </si>
  <si>
    <t>T = 0.15–0.39 — More unknown than known</t>
  </si>
  <si>
    <t>truth.confidence.speculative</t>
  </si>
  <si>
    <t>unsupported</t>
  </si>
  <si>
    <t>T = 0.00–0.14 — No evidence, no proof, or falsified</t>
  </si>
  <si>
    <t>truth.confidence.unsupported</t>
  </si>
  <si>
    <t>cluster_classification</t>
  </si>
  <si>
    <t>stable_region</t>
  </si>
  <si>
    <t>High mean T + Low variance — multiple claims converge</t>
  </si>
  <si>
    <t>truth.cluster.stable</t>
  </si>
  <si>
    <t>contested_frontier</t>
  </si>
  <si>
    <t>High mean T + High variance — strong claims disagree</t>
  </si>
  <si>
    <t>truth.cluster.contested</t>
  </si>
  <si>
    <t>Active research</t>
  </si>
  <si>
    <t>consistently_weak</t>
  </si>
  <si>
    <t>Low mean T + Low variance — probably false</t>
  </si>
  <si>
    <t>truth.cluster.weak</t>
  </si>
  <si>
    <t>noise</t>
  </si>
  <si>
    <t>Low mean T + High variance — no signal</t>
  </si>
  <si>
    <t>truth.cluster.noise</t>
  </si>
  <si>
    <t>severity</t>
  </si>
  <si>
    <t>fatal</t>
  </si>
  <si>
    <t>If triggered, the claim is dead — no recovery possible</t>
  </si>
  <si>
    <t>q7.severity.fatal</t>
  </si>
  <si>
    <t>major</t>
  </si>
  <si>
    <t>If triggered, the claim is severely damaged but may survive in modified form</t>
  </si>
  <si>
    <t>q7.severity.major</t>
  </si>
  <si>
    <t>minor</t>
  </si>
  <si>
    <t>If triggered, the claim takes a hit but fundamentally survives</t>
  </si>
  <si>
    <t>q7.severity.minor</t>
  </si>
  <si>
    <t>EXPORT NOTES</t>
  </si>
  <si>
    <t>Every enum value in column C is the exact string stored in YAML frontmatter and PostgreSQL.</t>
  </si>
  <si>
    <t>Column E (Plugin Key) provides the dot-notation path for TypeScript/JSON schema access.</t>
  </si>
  <si>
    <t>To export: filter by Question column → copy C and D columns → paste into your enum definition.</t>
  </si>
  <si>
    <t>Total unique enum values: 78  |  Total fields: 32  |  Total questions: 8 (Q0–Q7)</t>
  </si>
  <si>
    <t>7Q ENGINE — SETTINGS &amp; DROPDOWN VALUES</t>
  </si>
  <si>
    <t>These lists power the dropdown menus in the 7Q Engine. Each column is one dropdown field. Add values to extend the system for your discipline.</t>
  </si>
  <si>
    <t>Q1: Claim Type</t>
  </si>
  <si>
    <t>Q1: Tier</t>
  </si>
  <si>
    <t>Q1: Relation Type</t>
  </si>
  <si>
    <t>Q2: Domain</t>
  </si>
  <si>
    <t>Q2: Scale</t>
  </si>
  <si>
    <t>Q2: Isomorphism</t>
  </si>
  <si>
    <t>Q3: Precision</t>
  </si>
  <si>
    <t>Q3: Certainty</t>
  </si>
  <si>
    <t>Q3: Scope</t>
  </si>
  <si>
    <t>Q4: Evidence Type</t>
  </si>
  <si>
    <t>Q4: Evidence Tier</t>
  </si>
  <si>
    <t>Q4: Replication</t>
  </si>
  <si>
    <t>Q5: Chain Terminus</t>
  </si>
  <si>
    <t>Q5: Fragility</t>
  </si>
  <si>
    <t>Q7: Death Type</t>
  </si>
  <si>
    <t>Q7: Branch Status</t>
  </si>
  <si>
    <t>Q7: Proof Status</t>
  </si>
  <si>
    <t>Q7: Severity</t>
  </si>
  <si>
    <t>7Q ENGINE — LIVE CLAIM ANALYZER</t>
  </si>
  <si>
    <t>Type your claim below. Fill each question. The system computes the rest.</t>
  </si>
  <si>
    <t>COMPLETION</t>
  </si>
  <si>
    <t>TRUTH SCORE</t>
  </si>
  <si>
    <t>Q0 — POSTURE BEFORE INQUIRY</t>
  </si>
  <si>
    <t>"The inquirer cannot be the ground of inquiry. You do not arrive already decided."</t>
  </si>
  <si>
    <t>I acknowledge this posture:</t>
  </si>
  <si>
    <t>Q0 Posture:</t>
  </si>
  <si>
    <t>Q1 — WHAT IS IT?  (Identity)</t>
  </si>
  <si>
    <t>Transformation: undefined → defined  |  Create the object. Name it. Classify it.</t>
  </si>
  <si>
    <t>Claim ID (auto-generated):</t>
  </si>
  <si>
    <t>Label (max 8 words):</t>
  </si>
  <si>
    <t>Claim Type:</t>
  </si>
  <si>
    <t>Tier:</t>
  </si>
  <si>
    <t>Statement [SUBJECT → RELATIONSHIP → OBJECT → under CONDITIONS]:</t>
  </si>
  <si>
    <t>Tags (comma-separated):</t>
  </si>
  <si>
    <t>Q1 Identity:</t>
  </si>
  <si>
    <t>Q2 — WHERE DOES IT LIVE?  (Domain)</t>
  </si>
  <si>
    <t>Transformation: defined → located  |  Place the object in reality. Anchor it. Set boundaries.</t>
  </si>
  <si>
    <t>Primary Domain:</t>
  </si>
  <si>
    <t>Additional Domains (comma-separated):</t>
  </si>
  <si>
    <t>Scale:</t>
  </si>
  <si>
    <t>Isomorphism Status:</t>
  </si>
  <si>
    <t>Does it appear in more than one domain? Can you swap labels and the structure survives?</t>
  </si>
  <si>
    <t>Q2 Domain:</t>
  </si>
  <si>
    <t>Q3 — WHAT DOES IT SAY?  (Assertion)</t>
  </si>
  <si>
    <t>Transformation: located → stated  |  Force precision. No hedging. The claim commits.</t>
  </si>
  <si>
    <t>Assertion (one precise sentence):</t>
  </si>
  <si>
    <t>Precision:</t>
  </si>
  <si>
    <t>Certainty:</t>
  </si>
  <si>
    <t>Scope:</t>
  </si>
  <si>
    <t>Negation (confirm the logical opposite):</t>
  </si>
  <si>
    <t>KEY TEST: "Can a serious opponent restate this claim accurately?" If not, it isn't precise enough.</t>
  </si>
  <si>
    <t>Q3 Assertion:</t>
  </si>
  <si>
    <t>Q4 — WHAT SUPPORTS IT?  (Evidence)</t>
  </si>
  <si>
    <t>Transformation: stated → supported  |  Attach justification. Show it's not arbitrary.</t>
  </si>
  <si>
    <t>Evidence Type(s):</t>
  </si>
  <si>
    <t>Evidence Tier:</t>
  </si>
  <si>
    <t>Source 1 — Author | Year | Finding | Significance:</t>
  </si>
  <si>
    <t>Source 2 — Author | Year | Finding | Significance:</t>
  </si>
  <si>
    <t>Source 3 — Author | Year | Finding | Significance:</t>
  </si>
  <si>
    <t>Replication Status:</t>
  </si>
  <si>
    <t>Could this evidence support a competing model?</t>
  </si>
  <si>
    <t>Q4 Evidence:</t>
  </si>
  <si>
    <t>Q5 — WHAT DOES IT DEPEND ON?  (Dependencies)</t>
  </si>
  <si>
    <t>Transformation: supported → grounded  |  Expose the foundation. Reveal hidden assumptions.</t>
  </si>
  <si>
    <t>Depends On (what claims/truths must hold):</t>
  </si>
  <si>
    <t>Hidden Assumptions (be exhaustive):</t>
  </si>
  <si>
    <t>Chain Terminus (where does the chain end?):</t>
  </si>
  <si>
    <t>Fragility (if a dependency fails):</t>
  </si>
  <si>
    <t>Trace the chain all the way down. Where does it end? Are any dependencies themselves unverified?</t>
  </si>
  <si>
    <t>Q5 Dependencies:</t>
  </si>
  <si>
    <t>Q6 — WHAT DOES IT FORCE?  (Consequences)</t>
  </si>
  <si>
    <t>Transformation: grounded → generative  |  If true, what else must be true?</t>
  </si>
  <si>
    <t>Implies (what else MUST be true):</t>
  </si>
  <si>
    <t>Testable Predictions:</t>
  </si>
  <si>
    <t>Untested Predictions (new science lives here):</t>
  </si>
  <si>
    <t>Forces consequence in another domain?</t>
  </si>
  <si>
    <t>Q6 Consequences:</t>
  </si>
  <si>
    <t>Q7 — WHAT KILLS IT?  (Falsification)</t>
  </si>
  <si>
    <t>Transformation: generative → testable  |  Every object carries its own death warrant.</t>
  </si>
  <si>
    <t>Death Condition 1 — What would kill this claim:</t>
  </si>
  <si>
    <t xml:space="preserve">  ↳ Death Type:</t>
  </si>
  <si>
    <t>Death Condition 2 — What would kill this claim:</t>
  </si>
  <si>
    <t>Branch Status:</t>
  </si>
  <si>
    <t>Proof Status:</t>
  </si>
  <si>
    <t>Adversarially Tested?</t>
  </si>
  <si>
    <t>Q7 Falsification:</t>
  </si>
  <si>
    <t>TRUTH SCORE — AUTO-COMPUTED FROM YOUR ANSWERS</t>
  </si>
  <si>
    <t>T = (S + E + L + D + P + C) / 6  — You don't score this. It scores itself.</t>
  </si>
  <si>
    <t>S — Survivability:</t>
  </si>
  <si>
    <t>E — Evidence:</t>
  </si>
  <si>
    <t>L — Logic:</t>
  </si>
  <si>
    <t>D — Dependencies:</t>
  </si>
  <si>
    <t>P — Predictions:</t>
  </si>
  <si>
    <t>C — Coherence:</t>
  </si>
  <si>
    <t>T — COMPOSITE TRUTH SCORE:</t>
  </si>
  <si>
    <t>Confidence Classification:</t>
  </si>
  <si>
    <t>COMPLETION:</t>
  </si>
  <si>
    <t>q_score:</t>
  </si>
  <si>
    <t>▼  FIVE WORKED EXAMPLES — THE 7Q ENGINE IN ACTION  ▼</t>
  </si>
  <si>
    <t>Physics (reality's gold standard)  ·  Biology (the living world)  ·  Music Theory (bet you didn't expect this)  ·  Economics (the dismal science)  ·  Theology (where it all points)</t>
  </si>
  <si>
    <t>EXAMPLE 1: PHYSICS — Second Law of Thermodynamics</t>
  </si>
  <si>
    <t>Claim ID:</t>
  </si>
  <si>
    <t>c_2f8a91e3-4c7b-4d2a-8e55-1a3f7c9b02de</t>
  </si>
  <si>
    <t>Label:</t>
  </si>
  <si>
    <t>Entropy increases in isolated systems</t>
  </si>
  <si>
    <t>Statement:</t>
  </si>
  <si>
    <t>Total entropy of an isolated thermodynamic system increases over time toward maximum disorder under all non-equilibrium conditions.</t>
  </si>
  <si>
    <t>Tags:</t>
  </si>
  <si>
    <t>entropy, thermodynamics, irreversibility, heat-death, statistical-mechanics</t>
  </si>
  <si>
    <t>Additional Domains:</t>
  </si>
  <si>
    <t>information, biology, cosmology</t>
  </si>
  <si>
    <t>Assertion:</t>
  </si>
  <si>
    <t>The total entropy of an isolated system never decreases; it either increases or remains constant, with equality only at thermodynamic equilibrium.</t>
  </si>
  <si>
    <t>Negation:</t>
  </si>
  <si>
    <t>The total entropy of an isolated system can spontaneously decrease without external work being performed.</t>
  </si>
  <si>
    <t>Source 1:</t>
  </si>
  <si>
    <t>Clausius | 1865 | Formalized entropy as state function; proved dS ≥ 0 for isolated systems | axiomatic derivation</t>
  </si>
  <si>
    <t>Source 2:</t>
  </si>
  <si>
    <t>Boltzmann | 1877 | Statistical interpretation S = k·ln(W); connected micro → macro entropy | mathematical proof</t>
  </si>
  <si>
    <t>Source 3:</t>
  </si>
  <si>
    <t>Bekenstein/Hawking | 1973 | Extended entropy to black holes; S = A/4; confirmed universality | theoretical + observational</t>
  </si>
  <si>
    <t>Replication:</t>
  </si>
  <si>
    <t>Competing Support?:</t>
  </si>
  <si>
    <t>Depends On:</t>
  </si>
  <si>
    <t>Conservation of energy (First Law); Statistical mechanics; Ergodic hypothesis</t>
  </si>
  <si>
    <t>Hidden Assumptions:</t>
  </si>
  <si>
    <t>System is truly isolated; Microstates are equally probable; Time has a preferred direction (arrow of time is real, not emergent)</t>
  </si>
  <si>
    <t>Chain Terminus:</t>
  </si>
  <si>
    <t>Fragility:</t>
  </si>
  <si>
    <t>Implies:</t>
  </si>
  <si>
    <t>Perpetual motion machines of the second kind are impossible; Heat death of the universe is the final state; All organized structures eventually degrade; Information has thermodynamic cost (Landauer's principle)</t>
  </si>
  <si>
    <t>No closed system will show spontaneous entropy decrease; Heat always flows from hot to cold without work; Maxwell's demon cannot violate 2nd law when information costs are included</t>
  </si>
  <si>
    <t>Untested Predictions:</t>
  </si>
  <si>
    <t>Whether entropy applies to the universe-as-a-whole (boundary condition unknown); Whether quantum gravity modifies entropy at Planck scale</t>
  </si>
  <si>
    <t>Cross-Domain Force?:</t>
  </si>
  <si>
    <t>Death Condition 1:</t>
  </si>
  <si>
    <t>A macroscopic isolated system spontaneously decreasing in entropy, verified by independent labs with &gt;10σ significance</t>
  </si>
  <si>
    <t>Death Condition 2:</t>
  </si>
  <si>
    <t>A working perpetual motion machine of the second kind, verified under controlled conditions by independent engineering teams</t>
  </si>
  <si>
    <t>Adversarially Tested?:</t>
  </si>
  <si>
    <t>S=1.0  E=1.0  L=1.2→1.0  D=1.0  P=1.0  C=1.0</t>
  </si>
  <si>
    <t>T = 1.000  ★ ESTABLISHED</t>
  </si>
  <si>
    <t>EXAMPLE 2: BIOLOGY — Natural Selection Drives Adaptation</t>
  </si>
  <si>
    <t>Q0</t>
  </si>
  <si>
    <t>Acknowledged:</t>
  </si>
  <si>
    <t>Q1</t>
  </si>
  <si>
    <t>Natural selection drives adaptive evolution</t>
  </si>
  <si>
    <t>Heritable variation in fitness-relevant traits causes differential reproductive success driving population-level adaptation under environmental selection pressures.</t>
  </si>
  <si>
    <t>evolution, natural-selection, adaptation, fitness, heredity, Darwin</t>
  </si>
  <si>
    <t>Q2</t>
  </si>
  <si>
    <t>information, computational, social</t>
  </si>
  <si>
    <t>Q3</t>
  </si>
  <si>
    <t>Organisms with heritable traits that increase reproductive success in a given environment will disproportionately contribute to subsequent generations, driving adaptation.</t>
  </si>
  <si>
    <t>Heritable fitness advantages have no effect on reproductive success or population trait frequencies over time.</t>
  </si>
  <si>
    <t>experimental, observational, mathematical</t>
  </si>
  <si>
    <t>Darwin | 1859 | Comparative morphology + biogeography show descent with modification | observational, overwhelming</t>
  </si>
  <si>
    <t>Lenski Lab | 1988–present | 75,000+ generations of E. coli show adaptive evolution in real time | &gt;12 independent lines</t>
  </si>
  <si>
    <t>Grant &amp; Grant | 1973–present | Galápagos finch beak evolution tracked across 40+ years of selection events | p &lt; 0.001</t>
  </si>
  <si>
    <t>Q5</t>
  </si>
  <si>
    <t>DNA replication with variation; Mendelian inheritance; Population genetics (Hardy-Weinberg as null)</t>
  </si>
  <si>
    <t>Variation is heritable; Environment exerts consistent selection; Fitness is measurable; Sufficient population size for selection to overcome drift</t>
  </si>
  <si>
    <t>Q6</t>
  </si>
  <si>
    <t>Antibiotic resistance will emerge under antibiotic exposure; Artificial selection works; Convergent evolution occurs in similar environments; No design required for complexity</t>
  </si>
  <si>
    <t>Fossil record shows transitional forms; DNA phylogenies match morphological phylogenies; Island biogeography shows adaptive radiation; Resistance evolves in treated populations</t>
  </si>
  <si>
    <t>Whether selection alone can produce consciousness; Upper limits of evolvability under finite mutation rate</t>
  </si>
  <si>
    <t>A population with heritable fitness variation showing zero differential reproduction over 10,000+ generations in a selective environment</t>
  </si>
  <si>
    <t>A formal proof that variation + heredity + selection is logically insufficient to produce adaptation</t>
  </si>
  <si>
    <t>S=1.0  E=1.0  L=0.8  D=1.0  P=1.0  C=1.0</t>
  </si>
  <si>
    <t>T = 0.967  ★ ESTABLISHED</t>
  </si>
  <si>
    <t>EXAMPLE 3: MUSIC THEORY — Consonance Arises from Harmonic Ratios</t>
  </si>
  <si>
    <t>Consonance from simple frequency ratios</t>
  </si>
  <si>
    <t>Perceived musical consonance arises from simple integer frequency ratios between simultaneous tones through auditory neural processing under normal hearing conditions.</t>
  </si>
  <si>
    <t>consonance, harmony, frequency-ratios, psychoacoustics, Pythagoras, overtone-series</t>
  </si>
  <si>
    <t>psychology, neuroscience, mathematics, consciousness</t>
  </si>
  <si>
    <t>neural, individual</t>
  </si>
  <si>
    <t>The subjective experience of consonance correlates with simple integer ratios (1:1, 2:1, 3:2, 4:3, 5:4) between fundamental frequencies, mediated by cochlear mechanics and auditory cortex processing.</t>
  </si>
  <si>
    <t>Perceived consonance has no systematic relationship to frequency ratios; harmonic preference is entirely culturally constructed with no physical basis.</t>
  </si>
  <si>
    <t>Pythagoras / Helmholtz | ~500 BC / 1863 | Monochord experiments + On the Sensations of Tone: simple ratios produce consonance | foundational</t>
  </si>
  <si>
    <t>Plomp &amp; Levelt | 1965 | Critical band theory: dissonance peaks when partials fall within ~1/4 critical bandwidth | p &lt; 0.01</t>
  </si>
  <si>
    <t>McDermott et al. | 2016 | Tsimané Amazonian tribe shows reduced but non-zero consonance preference, suggesting partial universality + cultural modulation | Nature 535</t>
  </si>
  <si>
    <t>Physics of sound waves; Fourier analysis of complex tones; Cochlear tonotopic mapping; Neural periodicity detection</t>
  </si>
  <si>
    <t>Frequency ratios are the primary cause (not learned association); The overtone series is physically real (not just mathematical); Auditory system evolved for music perception (or repurposed from speech)</t>
  </si>
  <si>
    <t>All musical cultures will converge on octaves and fifths; Harmony has a physical basis beyond convention; Tuning systems are constrained by physics not just aesthetics; Music perception is partially innate</t>
  </si>
  <si>
    <t>Infants prefer consonant intervals before cultural exposure; Octave equivalence appears cross-culturally; Beating/roughness increases with ratio complexity; Neural entrainment correlates with consonance</t>
  </si>
  <si>
    <t>Whether AI systems with cochlear-like processing spontaneously discover consonance; Whether non-human species with similar cochlear anatomy show consonance preference</t>
  </si>
  <si>
    <t>A culture with extensive musical tradition that shows zero preference for simple ratios AND neural imaging shows no differential processing of consonant vs dissonant intervals</t>
  </si>
  <si>
    <t>Proof that consonance perception is entirely independent of frequency ratios — e.g., randomly reassigning consonance judgments produces identical neural activation</t>
  </si>
  <si>
    <t>S=1.0  E=1.0  L=0.8+0.2=1.0  D=0.8  P=0.75  C=1.0</t>
  </si>
  <si>
    <t>T = 0.925  ★ ESTABLISHED</t>
  </si>
  <si>
    <t>EXAMPLE 4: ECONOMICS — Price Equilibrium from Supply and Demand</t>
  </si>
  <si>
    <t>Prices converge to supply-demand equilibrium</t>
  </si>
  <si>
    <t>Market prices converge toward the equilibrium point where quantity supplied equals quantity demanded through competitive bidding under conditions of sufficient market liquidity.</t>
  </si>
  <si>
    <t>equilibrium, supply-demand, price-theory, markets, Walras, Marshall</t>
  </si>
  <si>
    <t>mathematics, psychology, information</t>
  </si>
  <si>
    <t>individual, social</t>
  </si>
  <si>
    <t>In a market with many buyers and sellers, the price of a good will converge to the level where quantity demanded equals quantity supplied, with deviations triggering corrective price movements.</t>
  </si>
  <si>
    <t>Market prices show no systematic tendency toward supply-demand equilibrium; price movements are independent of quantity imbalances.</t>
  </si>
  <si>
    <t>observational, experimental, mathematical</t>
  </si>
  <si>
    <t>Smith, Vernon | 1962 | Double auction experiments converge to predicted equilibrium in &lt;5 rounds | p &lt; 0.001, Nobel Prize 2002</t>
  </si>
  <si>
    <t>Marshall | 1890 | Principles of Economics: formal supply-demand framework | foundational theoretical work</t>
  </si>
  <si>
    <t>List &amp; Millimet | 2008 | Field experiments in sportscard markets confirm equilibrium prediction | partial replication across market types</t>
  </si>
  <si>
    <t>Rational self-interest; Perfect information (or bounded rationality); Price flexibility; No monopoly power</t>
  </si>
  <si>
    <t>Agents are price-takers; Transaction costs are negligible; Preferences are stable; Markets clear (no persistent disequilibrium). These are ALL violated in real markets to varying degrees.</t>
  </si>
  <si>
    <t>Price controls create shortages or surpluses; Monopolies produce deadweight loss; Tariffs reduce total welfare; Information asymmetry distorts prices</t>
  </si>
  <si>
    <t>Minimum wage above equilibrium increases unemployment (contested); Rent control reduces housing supply long-term; Commodity prices respond to supply shocks within predictable bounds</t>
  </si>
  <si>
    <t>Whether AI market-makers eliminate all disequilibrium; Whether quantum computing changes price discovery speed enough to alter equilibrium dynamics</t>
  </si>
  <si>
    <t>Markets with many buyers/sellers, flexible prices, and no external intervention showing persistent non-convergence to equilibrium over 1000+ trading periods</t>
  </si>
  <si>
    <t>A formal proof that rational agents with full information will NOT converge to equilibrium price — i.e., the mathematical model is internally inconsistent</t>
  </si>
  <si>
    <t>S=0.3  E=0.8  L=0.8  D=0.6  P=0.75  C=0.6</t>
  </si>
  <si>
    <t>T = 0.642  ◐ TENTATIVE</t>
  </si>
  <si>
    <t>EXAMPLE 5: THEOLOGY — Divine Action Through Secondary Causation</t>
  </si>
  <si>
    <t>God acts through natural law, not against it</t>
  </si>
  <si>
    <t>divine-action, secondary-causation, Aquinas, providence, natural-law, non-interventionism</t>
  </si>
  <si>
    <t>philosophy, physics, consciousness</t>
  </si>
  <si>
    <t>God's providential action in the world operates primarily through the natural causal order He sustains, not by overriding or suspending it, making divine action and natural law coherent rather than competitive.</t>
  </si>
  <si>
    <t>Divine action requires systematic suspension of natural law; God cannot act within the natural order without breaking it.</t>
  </si>
  <si>
    <t>scriptural, logical, historical, inferential</t>
  </si>
  <si>
    <t>Aquinas | 1265–1274 | Summa Theologica: God is Primary Cause operating through secondary causes; natural law is divine governance | foundational</t>
  </si>
  <si>
    <t>Polkinghorne | 1989–2005 | Science and Providence: quantum indeterminacy as causal joint for divine action | theoretical, peer-reviewed</t>
  </si>
  <si>
    <t>Vatican Council I | 1870 | Dei Filius: Faith and reason are complementary, not contradictory; natural order reflects divine wisdom | magisterial teaching</t>
  </si>
  <si>
    <t>God exists; Natural law is real and consistent; Primary/secondary causation distinction is coherent; Aquinas's metaphysics (act/potency, formal causation)</t>
  </si>
  <si>
    <t>That the primary/secondary distinction is not merely verbal; That divine action is detectable in principle even if not measurable; That natural law permits sufficient openness for non-interventionist action; That God's relationship to time allows concurrent causation</t>
  </si>
  <si>
    <t>Miracles are rare exceptions, not the normal mode of divine action; Science and theology are non-competitive; Prayer works through natural channels (not magic); The universe is self-consistent because God's governance is self-consistent</t>
  </si>
  <si>
    <t>Scientific investigation will never discover a systematic "God of the gaps" violation of natural law; Theological claims that require physical law violations will fail under scrutiny; Contemplative traditions across cultures will converge on non-interventionist divine action models</t>
  </si>
  <si>
    <t>Whether quantum indeterminacy genuinely provides a coherent causal joint or is merely a metaphor; Whether a complete physics could close all causal gaps, making secondary causation unfalsifiable</t>
  </si>
  <si>
    <t>A comprehensive demonstration that the primary/secondary causation distinction is logically incoherent — i.e., divine sustaining of natural law is indistinguishable from non-existence of divine action</t>
  </si>
  <si>
    <t>Conclusive evidence that divine action requires systematic natural law violation — e.g., documented miracles that are repeatable, measurable, and clearly break physics</t>
  </si>
  <si>
    <t>S=1.0  E=0.4  L=0.8  D=0.8  P=0.75  C=0.6</t>
  </si>
  <si>
    <t>T = 0.725  ● WELL SUPPORTED</t>
  </si>
  <si>
    <t>"Define → Ground → Propagate → Test → Score. Everything else is metadata."  —  David Lowe | POF 2828</t>
  </si>
  <si>
    <t>EVIDENCE CLASSIFICATION PROTOCOL — Dropdown Values</t>
  </si>
  <si>
    <t>E1: Evidence Format</t>
  </si>
  <si>
    <t>E2: Epistemic Class</t>
  </si>
  <si>
    <t>E2: Evidence Type</t>
  </si>
  <si>
    <t>E2: Reliability</t>
  </si>
  <si>
    <t>PS: Reproducibility</t>
  </si>
  <si>
    <t>PS: Effect Size</t>
  </si>
  <si>
    <t>PS: Measurement Quality</t>
  </si>
  <si>
    <t>ED: Mechanism Clarity</t>
  </si>
  <si>
    <t>ED: Constraint Consistency</t>
  </si>
  <si>
    <t>ED: Scope</t>
  </si>
  <si>
    <t>EC: Internal Consistency</t>
  </si>
  <si>
    <t>EC: Longitudinal Stability</t>
  </si>
  <si>
    <t>EC: Behavioral Transform</t>
  </si>
  <si>
    <t>dataset</t>
  </si>
  <si>
    <t>paper</t>
  </si>
  <si>
    <t>observation</t>
  </si>
  <si>
    <t>proof</t>
  </si>
  <si>
    <t>protocol</t>
  </si>
  <si>
    <t>prediction_result</t>
  </si>
  <si>
    <t>isomorphism</t>
  </si>
  <si>
    <t>testimony</t>
  </si>
  <si>
    <t>synthesis</t>
  </si>
  <si>
    <t>structural</t>
  </si>
  <si>
    <t>experiential</t>
  </si>
  <si>
    <t>statistical</t>
  </si>
  <si>
    <t>testimonial</t>
  </si>
  <si>
    <t>isomorphic</t>
  </si>
  <si>
    <t>single_study</t>
  </si>
  <si>
    <t>anecdotal</t>
  </si>
  <si>
    <t>simulated</t>
  </si>
  <si>
    <t>inferred</t>
  </si>
  <si>
    <t>none (0.0)</t>
  </si>
  <si>
    <t>single (0.3)</t>
  </si>
  <si>
    <t>partial (0.6)</t>
  </si>
  <si>
    <t>replicated (0.8)</t>
  </si>
  <si>
    <t>massively_replicated (1.0)</t>
  </si>
  <si>
    <t>noise (0.0)</t>
  </si>
  <si>
    <t>weak (0.3)</t>
  </si>
  <si>
    <t>moderate (0.6)</t>
  </si>
  <si>
    <t>strong (0.8)</t>
  </si>
  <si>
    <t>overwhelming (1.0)</t>
  </si>
  <si>
    <t>inferred (0.2)</t>
  </si>
  <si>
    <t>proxy (0.5)</t>
  </si>
  <si>
    <t>direct (0.8)</t>
  </si>
  <si>
    <t>precision (1.0)</t>
  </si>
  <si>
    <t>unknown (0.0)</t>
  </si>
  <si>
    <t>speculative (0.2)</t>
  </si>
  <si>
    <t>partial (0.5)</t>
  </si>
  <si>
    <t>clear (0.8)</t>
  </si>
  <si>
    <t>mechanistic (1.0)</t>
  </si>
  <si>
    <t>contradicts_known (0.0)</t>
  </si>
  <si>
    <t>untested (0.3)</t>
  </si>
  <si>
    <t>compatible (0.6)</t>
  </si>
  <si>
    <t>derived_from (0.9)</t>
  </si>
  <si>
    <t>this_case_only (0.2)</t>
  </si>
  <si>
    <t>domain (0.5)</t>
  </si>
  <si>
    <t>cross_domain (0.8)</t>
  </si>
  <si>
    <t>universal (1.0)</t>
  </si>
  <si>
    <t>contradictory (0.0)</t>
  </si>
  <si>
    <t>partial (0.4)</t>
  </si>
  <si>
    <t>stable (0.7)</t>
  </si>
  <si>
    <t>maximally_coherent (1.0)</t>
  </si>
  <si>
    <t>fluctuates (0.1)</t>
  </si>
  <si>
    <t>recent (0.3)</t>
  </si>
  <si>
    <t>years (0.6)</t>
  </si>
  <si>
    <t>lifetime (0.9)</t>
  </si>
  <si>
    <t>minor (0.3)</t>
  </si>
  <si>
    <t>significant (0.6)</t>
  </si>
  <si>
    <t>total (0.9)</t>
  </si>
  <si>
    <t>EC: Intersubjective</t>
  </si>
  <si>
    <t>E4: Connection Type</t>
  </si>
  <si>
    <t>E5: Vulnerability Type</t>
  </si>
  <si>
    <t>E5: Severity</t>
  </si>
  <si>
    <t>unique (0.1)</t>
  </si>
  <si>
    <t>small_group (0.3)</t>
  </si>
  <si>
    <t>widespread (0.6)</t>
  </si>
  <si>
    <t>cross_cultural (0.9)</t>
  </si>
  <si>
    <t>direct</t>
  </si>
  <si>
    <t>contextual</t>
  </si>
  <si>
    <t>selection_bias</t>
  </si>
  <si>
    <t>confounding</t>
  </si>
  <si>
    <t>unreproducible</t>
  </si>
  <si>
    <t>measurement_error</t>
  </si>
  <si>
    <t>sample_size</t>
  </si>
  <si>
    <t>cherry_picking</t>
  </si>
  <si>
    <t>moderate</t>
  </si>
  <si>
    <t>EVIDENCE CLASSIFICATION PROTOCOL — LIVE CALCULATOR</t>
  </si>
  <si>
    <t>A claim is only as strong as its evidence — and evidence is only as strong as its explanation.</t>
  </si>
  <si>
    <t>Five gates. Three channels. One formula. No raw evidence enters unstructured.</t>
  </si>
  <si>
    <t>CHANNELS</t>
  </si>
  <si>
    <t>SCORES</t>
  </si>
  <si>
    <t>GATE 1 — EVIDENCE IDENTITY (E1)</t>
  </si>
  <si>
    <t>"What IS this piece of evidence?" — Not the claim — the evidence itself.</t>
  </si>
  <si>
    <t>Evidence ID (auto-generated):</t>
  </si>
  <si>
    <t>Evidence Label (max 8 words):</t>
  </si>
  <si>
    <t>Evidence Format:</t>
  </si>
  <si>
    <t>Brief Description (what is it, where from, what it shows):</t>
  </si>
  <si>
    <t>GATE 2 — EVIDENCE TYPE (E2)</t>
  </si>
  <si>
    <t>"What kind of knowing is this?" — Two layers: epistemic class + evidence type.</t>
  </si>
  <si>
    <t>Epistemic Class:</t>
  </si>
  <si>
    <t>Evidence Type:</t>
  </si>
  <si>
    <t>Reliability Class:</t>
  </si>
  <si>
    <t>GATE 3 — STRENGTH SCORING (E3)  ·  Three Channels</t>
  </si>
  <si>
    <t>"How strong is each channel?" — Three independent channels multiply through completeness gates.</t>
  </si>
  <si>
    <t>CHANNEL 1: PHENOMENON STRENGTH (PS)</t>
  </si>
  <si>
    <t xml:space="preserve">  Reproducibility (weight: 0.4):</t>
  </si>
  <si>
    <t xml:space="preserve">  Effect Size (weight: 0.3):</t>
  </si>
  <si>
    <t xml:space="preserve">  Measurement Quality (weight: 0.3):</t>
  </si>
  <si>
    <t xml:space="preserve">  → PS Score:</t>
  </si>
  <si>
    <t>PS (Phenomenon):</t>
  </si>
  <si>
    <t>CHANNEL 2: EXPLANATORY DEPTH (ED)</t>
  </si>
  <si>
    <t xml:space="preserve">  Mechanism Clarity (weight: 0.4):</t>
  </si>
  <si>
    <t xml:space="preserve">  Constraint Consistency (weight: 0.3):</t>
  </si>
  <si>
    <t xml:space="preserve">  Scope (weight: 0.3):</t>
  </si>
  <si>
    <t xml:space="preserve">  → ED Score:</t>
  </si>
  <si>
    <t>ED (Explanatory):</t>
  </si>
  <si>
    <t>CHANNEL 3: EXPERIENTIAL COHERENCE (EC)</t>
  </si>
  <si>
    <t xml:space="preserve">  Internal Consistency (weight: 0.25):</t>
  </si>
  <si>
    <t xml:space="preserve">  Longitudinal Stability (weight: 0.25):</t>
  </si>
  <si>
    <t xml:space="preserve">  Behavioral Transformation (weight: 0.25):</t>
  </si>
  <si>
    <t xml:space="preserve">  Intersubjective Pattern (weight: 0.25):</t>
  </si>
  <si>
    <t xml:space="preserve">  → EC Score:</t>
  </si>
  <si>
    <t>EC (Experiential):</t>
  </si>
  <si>
    <t>THE COMPLETENESS FORMULA</t>
  </si>
  <si>
    <t>CF = (0.5 + 0.5 × ED) × (0.5 + 0.5 × EC)  |  E_final = PS × CF</t>
  </si>
  <si>
    <t>The Why-Penalty: If ED = 0, evidence strength is capped at 50%. Observed ≠ Explained. Repeatable ≠ Understood.</t>
  </si>
  <si>
    <t>Completeness Factor (CF):</t>
  </si>
  <si>
    <t>E_FINAL (Evidence Strength):</t>
  </si>
  <si>
    <t>Strength Classification:</t>
  </si>
  <si>
    <t>CF:</t>
  </si>
  <si>
    <t>E_FINAL:</t>
  </si>
  <si>
    <t>GATE 4 — LINKAGE (E4)</t>
  </si>
  <si>
    <t>"What does this connect to?" — Link evidence to claims.</t>
  </si>
  <si>
    <t>Supports Claims (claim IDs, comma-separated):</t>
  </si>
  <si>
    <t>Contradicts Claims (if any):</t>
  </si>
  <si>
    <t>Connection Type:</t>
  </si>
  <si>
    <t>Could this evidence equally support a competing model?</t>
  </si>
  <si>
    <t>If yes — name the competing model:</t>
  </si>
  <si>
    <t>GATE 5 — EVIDENCE KILL CONDITIONS (E5)</t>
  </si>
  <si>
    <t>"What could invalidate THIS EVIDENCE?" — Not the claim — the evidence itself.</t>
  </si>
  <si>
    <t>Vulnerability 1 — Type:</t>
  </si>
  <si>
    <t xml:space="preserve">  ↳ Description:</t>
  </si>
  <si>
    <t xml:space="preserve">  ↳ Severity:</t>
  </si>
  <si>
    <t>Vulnerability 2 — Type:</t>
  </si>
  <si>
    <t>Has anyone tried to invalidate this evidence?</t>
  </si>
  <si>
    <t>Attacked by (who tried to break it?):</t>
  </si>
  <si>
    <t>EPISTEMIC HONESTY RULES — Non-Negotiable, Enforced by the System</t>
  </si>
  <si>
    <t>"Observed" ≠ "Explained"</t>
  </si>
  <si>
    <t>High PS with low ED gets capped. Always.</t>
  </si>
  <si>
    <t>"Repeatable" ≠ "Understood"</t>
  </si>
  <si>
    <t>The system will not let you score high without answering why.</t>
  </si>
  <si>
    <t>"Evidence" ≠ "Complete evidence"</t>
  </si>
  <si>
    <t>Every evidence unit declares its limits.</t>
  </si>
  <si>
    <t>"Personal" ≠ "Transferable"</t>
  </si>
  <si>
    <t>Experiential evidence must always route through Q6 consequences.</t>
  </si>
  <si>
    <t>"Strong evidence" ≠ "Correct claim"</t>
  </si>
  <si>
    <t>Evidence strength and claim validity are computed separately and never collapsed.</t>
  </si>
  <si>
    <t>"Coherent" ≠ "True"</t>
  </si>
  <si>
    <t>A system can be internally coherent and still false. Necessary but not sufficient.</t>
  </si>
  <si>
    <t>"Unsupported" ≠ "False"</t>
  </si>
  <si>
    <t>Absence of evidence is not evidence of absence. Marked unknown, not dead.</t>
  </si>
  <si>
    <t>"A claim is only as strong as its evidence — and evidence is only as strong as its explanation."  —  David Lowe | POF 2828</t>
  </si>
  <si>
    <t>EVIDENCE CLASSIFICATION PROTOCOL — COMPLETE SPECIFICATION</t>
  </si>
  <si>
    <t>A claim is only as strong as its evidence — and evidence is only as strong as its explanation. Companion to the 7Q Engine Specification v1.0</t>
  </si>
  <si>
    <t>THE THREE CHANNELS — Independent axes that multiply, not add</t>
  </si>
  <si>
    <t>Channel</t>
  </si>
  <si>
    <t>Abbreviation</t>
  </si>
  <si>
    <t>Core Question</t>
  </si>
  <si>
    <t>Components</t>
  </si>
  <si>
    <t>Formula</t>
  </si>
  <si>
    <t>What Current Science Rewards vs. What This Adds</t>
  </si>
  <si>
    <t>CH1: Phenomenon Strength</t>
  </si>
  <si>
    <t>PS</t>
  </si>
  <si>
    <t>Primary</t>
  </si>
  <si>
    <t>"What do we reliably observe?"</t>
  </si>
  <si>
    <t>reproducibility (0.4) + effect_size (0.3) + measurement_quality (0.3)</t>
  </si>
  <si>
    <t>PS = Σ(component × weight)</t>
  </si>
  <si>
    <t>Science already does this well. Measurement, replication, signal detection.</t>
  </si>
  <si>
    <t>CH2: Explanatory Depth</t>
  </si>
  <si>
    <t>ED</t>
  </si>
  <si>
    <t>Gate</t>
  </si>
  <si>
    <t>"Do we understand WHY?"</t>
  </si>
  <si>
    <t>mechanism_clarity (0.4) + constraint_consistency (0.3) + scope (0.3)</t>
  </si>
  <si>
    <t>ED = Σ(component × weight)</t>
  </si>
  <si>
    <t>Science systematically avoids this. The Why-Penalty enforces it. ED=0 caps evidence at 50%.</t>
  </si>
  <si>
    <t>CH3: Experiential Coherence</t>
  </si>
  <si>
    <t>EC</t>
  </si>
  <si>
    <t>"Stable patterns across time, behavior, agents?"</t>
  </si>
  <si>
    <t>internal_consistency (0.25) + longitudinal_stability (0.25) + behavioral_transformation (0.25) + intersubjective_pattern (0.25)</t>
  </si>
  <si>
    <t>EC = Σ(component × weight)</t>
  </si>
  <si>
    <t>Not "I feel strongly." Does evidence produce consistent downstream effects in lived systems?</t>
  </si>
  <si>
    <t>COMPLETENESS FORMULA:  CF = (0.5 + 0.5 × ED) × (0.5 + 0.5 × EC)  →  E_final = PS × CF  |  The Why-Penalty: ED=0 caps evidence at 50% no matter how repeatable.</t>
  </si>
  <si>
    <t>SCENARIO TABLE — How the three channels interact</t>
  </si>
  <si>
    <t>Scenario</t>
  </si>
  <si>
    <t>CF</t>
  </si>
  <si>
    <t>E_final</t>
  </si>
  <si>
    <t>What It Means</t>
  </si>
  <si>
    <t>Strong + explained + lived</t>
  </si>
  <si>
    <t>Full weight earned — all three channels strong</t>
  </si>
  <si>
    <t>Strong + unexplained</t>
  </si>
  <si>
    <t>CAPPED — repeatable but blind. Why-Penalty active.</t>
  </si>
  <si>
    <t>Weak + well-explained</t>
  </si>
  <si>
    <t>Explanation can't save weak data</t>
  </si>
  <si>
    <t>Personal + stable + unexplained</t>
  </si>
  <si>
    <t>Modest but not dismissed</t>
  </si>
  <si>
    <t>Personal + stable + explained</t>
  </si>
  <si>
    <t>Stronger — mechanism helps</t>
  </si>
  <si>
    <t>Strong + explained + no lived</t>
  </si>
  <si>
    <t>Lab-only — untested in life</t>
  </si>
  <si>
    <t>Noise</t>
  </si>
  <si>
    <t>Collapses as it should</t>
  </si>
  <si>
    <t>THE FIVE GATES — Every evidence unit passes through all five before entering the system</t>
  </si>
  <si>
    <t>Description</t>
  </si>
  <si>
    <t>GATE 1: IDENTITY</t>
  </si>
  <si>
    <t>E1 — Identity</t>
  </si>
  <si>
    <t>UUID</t>
  </si>
  <si>
    <t>Unique evidence identifier</t>
  </si>
  <si>
    <t>e1_identity.id</t>
  </si>
  <si>
    <t>Auto-generated</t>
  </si>
  <si>
    <t>String (max 8)</t>
  </si>
  <si>
    <t>✓</t>
  </si>
  <si>
    <t>Short name for this evidence</t>
  </si>
  <si>
    <t>e1_identity.label</t>
  </si>
  <si>
    <t>evidence_format</t>
  </si>
  <si>
    <t>What form does this evidence take?</t>
  </si>
  <si>
    <t>e1_identity.evidence_format</t>
  </si>
  <si>
    <t>dataset | paper | observation | proof | protocol | prediction_result | isomorphism | testimony | synthesis</t>
  </si>
  <si>
    <t>GATE 2: TYPE</t>
  </si>
  <si>
    <t>E2 — Type</t>
  </si>
  <si>
    <t>epistemic_class</t>
  </si>
  <si>
    <t>What channel of knowledge?</t>
  </si>
  <si>
    <t>e2_type.epistemic_class</t>
  </si>
  <si>
    <t>empirical | logical | structural | experiential</t>
  </si>
  <si>
    <t>How was it obtained?</t>
  </si>
  <si>
    <t>e2_type.evidence_type</t>
  </si>
  <si>
    <t>experimental | observational | statistical | mathematical | logical | historical | scriptural | testimonial | inferential | isomorphic</t>
  </si>
  <si>
    <t>reliability</t>
  </si>
  <si>
    <t>How solid is the source?</t>
  </si>
  <si>
    <t>e2_type.reliability</t>
  </si>
  <si>
    <t>replicated | single_study | anecdotal | simulated | inferred</t>
  </si>
  <si>
    <t>GATE 3: STRENGTH (Three Channels — see scoring tables above)</t>
  </si>
  <si>
    <t>E3 — PS</t>
  </si>
  <si>
    <t>reproducibility</t>
  </si>
  <si>
    <t>Enum → 0-1</t>
  </si>
  <si>
    <t>Has it been replicated?</t>
  </si>
  <si>
    <t>e3.ps.reproducibility</t>
  </si>
  <si>
    <t>none(0) | single(0.3) | partial(0.6) | replicated(0.8) | massive(1.0)</t>
  </si>
  <si>
    <t>effect_size</t>
  </si>
  <si>
    <t>How large is the effect?</t>
  </si>
  <si>
    <t>e3.ps.effect_size</t>
  </si>
  <si>
    <t>noise(0) | weak(0.3) | moderate(0.6) | strong(0.8) | overwhelming(1.0)</t>
  </si>
  <si>
    <t>measurement_quality</t>
  </si>
  <si>
    <t>Direct, proxy, or inferred?</t>
  </si>
  <si>
    <t>e3.ps.measurement_quality</t>
  </si>
  <si>
    <t>inferred(0.2) | proxy(0.5) | direct(0.8) | precision(1.0)</t>
  </si>
  <si>
    <t>E3 — ED</t>
  </si>
  <si>
    <t>mechanism_clarity</t>
  </si>
  <si>
    <t>Is there a causal pathway?</t>
  </si>
  <si>
    <t>e3.ed.mechanism_clarity</t>
  </si>
  <si>
    <t>unknown(0) | speculative(0.2) | partial(0.5) | clear(0.8) | mechanistic(1.0)</t>
  </si>
  <si>
    <t>constraint_consistency</t>
  </si>
  <si>
    <t>Survives known physics/logic?</t>
  </si>
  <si>
    <t>e3.ed.constraint_consistency</t>
  </si>
  <si>
    <t>contradicts(0) | untested(0.3) | compatible(0.6) | derived(0.9)</t>
  </si>
  <si>
    <t>Explains adjacent cases?</t>
  </si>
  <si>
    <t>e3.ed.scope</t>
  </si>
  <si>
    <t>this_case(0.2) | domain(0.5) | cross_domain(0.8) | universal(1.0)</t>
  </si>
  <si>
    <t>E3 — EC</t>
  </si>
  <si>
    <t>internal_consistency</t>
  </si>
  <si>
    <t>Does the experience contradict itself?</t>
  </si>
  <si>
    <t>e3.ec.internal_consistency</t>
  </si>
  <si>
    <t>contradictory(0) | partial(0.4) | stable(0.7) | maximal(1.0)</t>
  </si>
  <si>
    <t>longitudinal_stability</t>
  </si>
  <si>
    <t>Persists over time?</t>
  </si>
  <si>
    <t>e3.ec.longitudinal_stability</t>
  </si>
  <si>
    <t>fluctuates(0.1) | recent(0.3) | years(0.6) | lifetime(0.9)</t>
  </si>
  <si>
    <t>behavioral_transformation</t>
  </si>
  <si>
    <t>Produces measurable behavior change?</t>
  </si>
  <si>
    <t>e3.ec.behavioral_transformation</t>
  </si>
  <si>
    <t>none(0) | minor(0.3) | significant(0.6) | total(0.9)</t>
  </si>
  <si>
    <t>intersubjective_pattern</t>
  </si>
  <si>
    <t>Independent individuals report similar?</t>
  </si>
  <si>
    <t>e3.ec.intersubjective_pattern</t>
  </si>
  <si>
    <t>unique(0.1) | small_group(0.3) | widespread(0.6) | cross_cultural(0.9)</t>
  </si>
  <si>
    <t>GATE 4: LINKAGE</t>
  </si>
  <si>
    <t>E4 — Linkage</t>
  </si>
  <si>
    <t>supports_claims</t>
  </si>
  <si>
    <t>Which claims this evidence supports</t>
  </si>
  <si>
    <t>e4.supports_claims</t>
  </si>
  <si>
    <t>Claim IDs (c_uuid)</t>
  </si>
  <si>
    <t>contradicts_claims</t>
  </si>
  <si>
    <t>Which claims this evidence weakens</t>
  </si>
  <si>
    <t>e4.contradicts_claims</t>
  </si>
  <si>
    <t>connection_type</t>
  </si>
  <si>
    <t>How direct is the connection?</t>
  </si>
  <si>
    <t>e4.connection_type</t>
  </si>
  <si>
    <t>direct | inferential | contextual</t>
  </si>
  <si>
    <t>Could this support a different claim equally?</t>
  </si>
  <si>
    <t>e4.competing_support</t>
  </si>
  <si>
    <t>If true → flag claim</t>
  </si>
  <si>
    <t>competing_model</t>
  </si>
  <si>
    <t>Name the competing model if applicable</t>
  </si>
  <si>
    <t>e4.competing_model</t>
  </si>
  <si>
    <t>Only if competing_support = true</t>
  </si>
  <si>
    <t>GATE 5: EVIDENCE KILL CONDITIONS</t>
  </si>
  <si>
    <t>E5 — Vulnerabilities</t>
  </si>
  <si>
    <t>vulnerability_type</t>
  </si>
  <si>
    <t>How could THIS evidence be wrong?</t>
  </si>
  <si>
    <t>e5.conditions[].type</t>
  </si>
  <si>
    <t>selection_bias | confounding | unreproducible | measurement_error | sample_size | cherry_picking</t>
  </si>
  <si>
    <t>How bad if triggered?</t>
  </si>
  <si>
    <t>e5.conditions[].severity</t>
  </si>
  <si>
    <t>minor | moderate | fatal</t>
  </si>
  <si>
    <t>Has anyone tried to break this evidence?</t>
  </si>
  <si>
    <t>e5.adversarial_tested</t>
  </si>
  <si>
    <t>true = attacked / false = unexamined</t>
  </si>
  <si>
    <t>attacked_by</t>
  </si>
  <si>
    <t>Who tried to invalidate it?</t>
  </si>
  <si>
    <t>e5.attacked_by</t>
  </si>
  <si>
    <t>Name/lab/paper</t>
  </si>
  <si>
    <t>HOW EVIDENCE FEEDS BACK INTO THE 7Q ENGINE</t>
  </si>
  <si>
    <t>Integration Point</t>
  </si>
  <si>
    <t>Rule</t>
  </si>
  <si>
    <t>E_final → Q4 → Truth Score</t>
  </si>
  <si>
    <t>7Q Truth Score variable "E" = mean(E_final) across all linked evidence units</t>
  </si>
  <si>
    <t>The Evidence Protocol IS Q4, fully specified.</t>
  </si>
  <si>
    <t>ED Cap Rule</t>
  </si>
  <si>
    <t>If mean(ED) &lt; 0.3 across all evidence → cap total Truth Score T at 0.70</t>
  </si>
  <si>
    <t>"Repeatable but nobody knows why — incomplete."</t>
  </si>
  <si>
    <t>EC Coherence Check</t>
  </si>
  <si>
    <t>If mean(EC) = 0 and epistemic_class = experiential → evidence flagged</t>
  </si>
  <si>
    <t>"Claims experiential but shows no coherence pattern."</t>
  </si>
  <si>
    <t>Competing Support Flag</t>
  </si>
  <si>
    <t>If competing_support = true on majority of evidence → flag claim</t>
  </si>
  <si>
    <t>"Evidence doesn't distinguish this claim from alternatives."</t>
  </si>
  <si>
    <t>SYSTEM FLOW:  Evidence Enters → E1: Identity → E2: Type → E3: Score (PS × ED × EC → E_final) → E4: Link → E5: Kill → Evidence Unit Stored → feeds Q4 → feeds Truth Score</t>
  </si>
  <si>
    <t>THE HISTORICAL THESIS:  Pre-1927, scientists who moved the needle asked WHY. Post-1927, instrumentalism correlated with fragmentation. Predictive success alone is insufficient. This protocol makes explanatory depth a first-class scoring channel alongside phenomenon strength. If you only measure "does it repeat?" you get 20+ QM interpretations and no unification in 100 years.</t>
  </si>
  <si>
    <t>"Five gates. Three channels. One formula. No raw evidence enters unstructured."  —  David Lowe | POF 2828 | Theophysics</t>
  </si>
  <si>
    <t>THE 7Q FRAMEWORK</t>
  </si>
  <si>
    <t>One Tree. Seven Lenses. One Physics Example.</t>
  </si>
  <si>
    <t>Every claim is a tree. We'll take one claim from physics and walk it through all seven questions — showing the classifications, the sub-questions, and what each stage actually produces.</t>
  </si>
  <si>
    <t>RUNNING EXAMPLE</t>
  </si>
  <si>
    <t>"Mass-energy curves spacetime, and objects follow geodesics through that curvature."</t>
  </si>
  <si>
    <t>7Q REVERSE — START WITH DESTRUCTION</t>
  </si>
  <si>
    <t>Start with destruction. End with a name. If it survives, it earned the right to exist.</t>
  </si>
  <si>
    <t>The traditional method starts with a seed and hopes it grows. This method starts with a forest fire and names what's still standing.</t>
  </si>
  <si>
    <t>SURVIVAL</t>
  </si>
  <si>
    <t>STEP 1 — DESTROY  (from Q7: Falsification)</t>
  </si>
  <si>
    <t>unknown → vulnerable  |  "If you can't name how it dies, you can't know if it's alive."</t>
  </si>
  <si>
    <t>Death Condition 1 — How could this idea die:</t>
  </si>
  <si>
    <t>Q0 — POSTURE ("You do not arrive already defending.")</t>
  </si>
  <si>
    <t>Death Condition 3 (if applicable):</t>
  </si>
  <si>
    <t>→ "These are the ways this idea dies. Watch what happens next."</t>
  </si>
  <si>
    <t>Step 1 Destroy:</t>
  </si>
  <si>
    <t>STEP 2 — FORCE  (from Q6: Consequences)</t>
  </si>
  <si>
    <t>vulnerable → constrained  |  "A surviving claim that generates nothing downstream explains nothing."</t>
  </si>
  <si>
    <t>Necessary Consequence 1 — What it MUST produce:</t>
  </si>
  <si>
    <t>Necessary Consequence 2:</t>
  </si>
  <si>
    <t>Necessary Consequence 3:</t>
  </si>
  <si>
    <t>Cross-Domain Prediction (if any):</t>
  </si>
  <si>
    <t>Consequence Type:</t>
  </si>
  <si>
    <t>→ "This is not a hypothesis anymore. This is what must follow."</t>
  </si>
  <si>
    <t>Step 2 Force:</t>
  </si>
  <si>
    <t>STEP 3 — GROUND  (from Q5: Dependencies)</t>
  </si>
  <si>
    <t>constrained → grounded  |  "The reader sees the foundations — not because you claimed them, but because the structure required them."</t>
  </si>
  <si>
    <t>Foundation 1 — What must be true for this to stand:</t>
  </si>
  <si>
    <t>Foundation 2:</t>
  </si>
  <si>
    <t>Foundation 3:</t>
  </si>
  <si>
    <t>Dependency Chain Terminates At:</t>
  </si>
  <si>
    <t xml:space="preserve">  ↳ Terminus Type:</t>
  </si>
  <si>
    <t>Hidden Assumptions / Open Wounds:</t>
  </si>
  <si>
    <t>→ "Now you see what holds it up. You decide if those foundations are solid."</t>
  </si>
  <si>
    <t>Step 3 Ground:</t>
  </si>
  <si>
    <t>STEP 4 — SUPPORT  (from Q4: Evidence)</t>
  </si>
  <si>
    <t>grounded → supported  |  "The evidence didn't build the case. It confirmed what survived."</t>
  </si>
  <si>
    <t>Evidence Unit 1 — What data confirms the survivor:</t>
  </si>
  <si>
    <t xml:space="preserve">  ↳ Evidence Type:</t>
  </si>
  <si>
    <t xml:space="preserve">  ↳ Channel: PS (Phenomenon Strength) score:</t>
  </si>
  <si>
    <t>Evidence Unit 2:</t>
  </si>
  <si>
    <t>Evidence Classification (composite):</t>
  </si>
  <si>
    <t>Is evidence CONFIRMATION, not CONSTRUCTION?</t>
  </si>
  <si>
    <t>→ "The structure survived. The data matches. This is not persuasion — this is confirmation."</t>
  </si>
  <si>
    <t>Step 4 Support:</t>
  </si>
  <si>
    <t>STEP 5 — STATE  (from Q3: Assertion)</t>
  </si>
  <si>
    <t>supported → stated  |  "This is not a hypothesis. This is what's left."</t>
  </si>
  <si>
    <t>Precise Claim — State what survived:</t>
  </si>
  <si>
    <t>Scope / Boundary Conditions:</t>
  </si>
  <si>
    <t xml:space="preserve">  ↳ What this claim does NOT cover:</t>
  </si>
  <si>
    <t>Strength (0.0–1.0):</t>
  </si>
  <si>
    <t>→ "This is not a hypothesis. This is what's left."</t>
  </si>
  <si>
    <t>Step 5 State:</t>
  </si>
  <si>
    <t>STEP 6 — GENERALIZE  (from Q2: Discipline)</t>
  </si>
  <si>
    <t>stated → located  |  "This isn't local. It survives across domains."</t>
  </si>
  <si>
    <t>Primary Discipline:</t>
  </si>
  <si>
    <t>Cross-Domain Presence 1 — Where else does the structure appear:</t>
  </si>
  <si>
    <t>Cross-Domain Presence 2:</t>
  </si>
  <si>
    <t>Isomorphism Level:</t>
  </si>
  <si>
    <t>Multi-Discipline Compatible?</t>
  </si>
  <si>
    <t>→ "This isn't local. It survives across domains."</t>
  </si>
  <si>
    <t>Step 6 Locate:</t>
  </si>
  <si>
    <t>STEP 7 — NAME  (from Q1: Identity — EARNED, not assumed)</t>
  </si>
  <si>
    <t>located → defined (earned)  |  "Now you know what it is. Because you watched everything else fail."</t>
  </si>
  <si>
    <t>Claim Name / Title:</t>
  </si>
  <si>
    <t>Full Identity Statement (earned through survival):</t>
  </si>
  <si>
    <t>Classification:</t>
  </si>
  <si>
    <t>Truth Score (T):</t>
  </si>
  <si>
    <t>Known Open Wounds / Limitations:</t>
  </si>
  <si>
    <t>UUID:</t>
  </si>
  <si>
    <t>→ "Now you know what it is. Because you watched everything else fail."</t>
  </si>
  <si>
    <t>Step 7 Name:</t>
  </si>
  <si>
    <t>SURVIVAL REPORT</t>
  </si>
  <si>
    <t>Steps Completed:</t>
  </si>
  <si>
    <t>Kill Conditions Defined:</t>
  </si>
  <si>
    <t>Consequences Mapped:</t>
  </si>
  <si>
    <t>Foundations Traced:</t>
  </si>
  <si>
    <t>Evidence Confirmed:</t>
  </si>
  <si>
    <t>Claim Stated:</t>
  </si>
  <si>
    <t>Cross-Domain:</t>
  </si>
  <si>
    <t>Identity Earned:</t>
  </si>
  <si>
    <t>AUTO SCORE</t>
  </si>
  <si>
    <t>Destruction (S):</t>
  </si>
  <si>
    <t>Consequences (E):</t>
  </si>
  <si>
    <t>Foundations (L):</t>
  </si>
  <si>
    <t>Evidence (D):</t>
  </si>
  <si>
    <t>Assertion (P):</t>
  </si>
  <si>
    <t>Location (C):</t>
  </si>
  <si>
    <t>Identity:</t>
  </si>
  <si>
    <t>REVERSE T:</t>
  </si>
  <si>
    <t>VERDICT:</t>
  </si>
  <si>
    <t>Death condition → consequence → dependency → evidence → assertion → location → identity.</t>
  </si>
  <si>
    <t>Same seven questions. Reverse order. The conclusion doesn't need to be believed — the reader watched everything else die.</t>
  </si>
  <si>
    <t>David Lowe · POF 2828 · Theophysics</t>
  </si>
  <si>
    <t>WORKED EXAMPLE 1 — General Relativity, Reversed</t>
  </si>
  <si>
    <t>The traditional method says: "Here is General Relativity. Here is the evidence." The reverse method says: "Here is everything that could kill it. Watch."</t>
  </si>
  <si>
    <t>Q0 — POSTURE</t>
  </si>
  <si>
    <t>STEP 1 — DESTROY</t>
  </si>
  <si>
    <t>GR dies if light does not bend around massive objects (gravitational lensing absent)</t>
  </si>
  <si>
    <t>GR dies if gravitational waves do not exist (no ripples in spacetime)</t>
  </si>
  <si>
    <t>Death Condition 3:</t>
  </si>
  <si>
    <t>GR dies if GPS systems work WITHOUT relativistic correction (time dilation absent)</t>
  </si>
  <si>
    <t>STEP 2 — FORCE</t>
  </si>
  <si>
    <t>Necessary Consequence 1:</t>
  </si>
  <si>
    <t>Black holes must exist (extreme curvature solutions to field equations)</t>
  </si>
  <si>
    <t>Gravitational waves must propagate (ripples in curvature, confirmed LIGO 2015)</t>
  </si>
  <si>
    <t>Time must run slower near massive objects (gravitational time dilation)</t>
  </si>
  <si>
    <t>Cross-Domain Prediction:</t>
  </si>
  <si>
    <t>Light must bend around galaxies — geodesic paths through curved space</t>
  </si>
  <si>
    <t>Deductive</t>
  </si>
  <si>
    <t>STEP 3 — GROUND</t>
  </si>
  <si>
    <t>Foundation 1:</t>
  </si>
  <si>
    <t>Equivalence principle — gravity and acceleration are locally indistinguishable</t>
  </si>
  <si>
    <t>Riemannian geometry — spacetime is a smooth manifold</t>
  </si>
  <si>
    <t>Constancy of c — speed of light is invariant in all reference frames</t>
  </si>
  <si>
    <t>Equivalence principle</t>
  </si>
  <si>
    <t>Axiom (bedrock)</t>
  </si>
  <si>
    <t>Smooth manifold assumption may break at quantum scales — this is the open wound</t>
  </si>
  <si>
    <t>STEP 4 — SUPPORT</t>
  </si>
  <si>
    <t>Evidence Unit 1:</t>
  </si>
  <si>
    <t>Mercury's orbital precession — predicted exactly by GR, unexplained by Newton</t>
  </si>
  <si>
    <t xml:space="preserve">  ↳ PS Score:</t>
  </si>
  <si>
    <t>Gravitational waves detected by LIGO (2015) — 100 years after prediction</t>
  </si>
  <si>
    <t>Evidence Classification:</t>
  </si>
  <si>
    <t>Confirmation, not construction?</t>
  </si>
  <si>
    <t>STEP 5 — STATE</t>
  </si>
  <si>
    <t>Precise Claim:</t>
  </si>
  <si>
    <t>The distribution of mass-energy determines the curvature of spacetime, and free-falling objects follow geodesics through that curvature.</t>
  </si>
  <si>
    <t>Scope / Boundary:</t>
  </si>
  <si>
    <t>Applies at all scales above quantum (Planck length ~1.6×10⁻³⁵ m)</t>
  </si>
  <si>
    <t xml:space="preserve">  ↳ Does NOT cover:</t>
  </si>
  <si>
    <t>Quantum-scale gravity — no reconciliation with quantum field theory yet</t>
  </si>
  <si>
    <t>Strength:</t>
  </si>
  <si>
    <t>STEP 6 — GENERALIZE</t>
  </si>
  <si>
    <t>Cross-Domain 1:</t>
  </si>
  <si>
    <t>Riemannian geometry appears in machine learning (manifold learning, dimensionality reduction)</t>
  </si>
  <si>
    <t>Cross-Domain 2:</t>
  </si>
  <si>
    <t>Information theory uses Fisher information geometry — same curved-space mathematics</t>
  </si>
  <si>
    <t>Formal Isomorphism</t>
  </si>
  <si>
    <t>STEP 7 — NAME (IDENTITY EARNED)</t>
  </si>
  <si>
    <t>Claim Name:</t>
  </si>
  <si>
    <t>General Relativity</t>
  </si>
  <si>
    <t>Full Identity Statement:</t>
  </si>
  <si>
    <t>General Relativity: a foundational causal theory of spacetime curvature, derived from the equivalence principle, confirmed across 100+ years of precision measurement, with one known open wound at quantum scales.</t>
  </si>
  <si>
    <t>Truth Score:</t>
  </si>
  <si>
    <t>Known Open Wounds:</t>
  </si>
  <si>
    <t>No quantum gravity reconciliation. Smooth manifold assumption unverified below Planck scale. Dark energy interaction unclear.</t>
  </si>
  <si>
    <t>7Q-R-PHYS-001</t>
  </si>
  <si>
    <t>SURVIVAL REPORT — General Relativity</t>
  </si>
  <si>
    <t>Kill Conditions Survived:</t>
  </si>
  <si>
    <t>Consequences Confirmed:</t>
  </si>
  <si>
    <t>Foundations:</t>
  </si>
  <si>
    <t>Axiom (equivalence principle) — bedrock</t>
  </si>
  <si>
    <t>3 domains (ML, info theory, economics)</t>
  </si>
  <si>
    <t>SURVIVED ✓  (T = 0.950)</t>
  </si>
  <si>
    <t>→ "That name means something because it was earned."</t>
  </si>
  <si>
    <t>WORKED EXAMPLE 2 — Supply &amp; Demand (Wounded Survivor)</t>
  </si>
  <si>
    <t>A claim that survives destruction but with visible wounds — the reverse method shows exactly where it's weak.</t>
  </si>
  <si>
    <t>Dies if Giffen goods are common (price up → demand up, contradicting the law)</t>
  </si>
  <si>
    <t>Dies if monopoly pricing shows NO supply curve (quantity supplied is indeterminate)</t>
  </si>
  <si>
    <t>Dies if behavioral economics shows humans don't respond to price signals rationally</t>
  </si>
  <si>
    <t>Price increases must reduce quantity demanded (ceteris paribus) — testable prediction</t>
  </si>
  <si>
    <t>Market equilibrium must exist where supply meets demand — surplus/shortage otherwise</t>
  </si>
  <si>
    <t>Predictive</t>
  </si>
  <si>
    <t>Foundation:</t>
  </si>
  <si>
    <t>Rational agent assumption — individuals maximize utility given constraints</t>
  </si>
  <si>
    <t>Terminus Type:</t>
  </si>
  <si>
    <t>Assertion (brute fact)</t>
  </si>
  <si>
    <t>Open Wounds:</t>
  </si>
  <si>
    <t>Rationality assumption fails systematically (Kahneman, Tversky). Ceteris paribus clause is unfalsifiable in real markets.</t>
  </si>
  <si>
    <t>Evidence:</t>
  </si>
  <si>
    <t>Agricultural commodity markets show strong S&amp;D behavior. Controlled lab experiments confirm basic price elasticity.</t>
  </si>
  <si>
    <t>Confirmation?</t>
  </si>
  <si>
    <t>TRUE — but only in competitive markets with homogeneous goods</t>
  </si>
  <si>
    <t>In competitive markets with rational agents and homogeneous goods, price and quantity are determined by the intersection of supply and demand schedules.</t>
  </si>
  <si>
    <t>Competitive markets only — breaks down in monopoly, oligopoly, behavioral contexts</t>
  </si>
  <si>
    <t>Auction theory (mechanism design), evolutionary biology (resource competition)</t>
  </si>
  <si>
    <t>Isomorphism:</t>
  </si>
  <si>
    <t>Analogical — structure is similar but requires modified assumptions</t>
  </si>
  <si>
    <t>STEP 7 — NAME</t>
  </si>
  <si>
    <t>Law of Supply and Demand</t>
  </si>
  <si>
    <t>Identity Statement:</t>
  </si>
  <si>
    <t>A constrained behavioral regularity in competitive markets, derived from rationality assumptions, confirmed in controlled settings, with significant wounds from behavioral economics and market complexity.</t>
  </si>
  <si>
    <t>Giffen goods exist (rare). Behavioral biases are systematic, not noise. Ceteris paribus is unfalsifiable. Monopoly pricing has no supply curve.</t>
  </si>
  <si>
    <t>SURVIVAL REPORT — Supply &amp; Demand</t>
  </si>
  <si>
    <t>Standing (wounded)  ⚠  (T = 0.650)</t>
  </si>
  <si>
    <t>→ "It survived — but you can see exactly where the wounds are. The reader decides if it's strong enough."</t>
  </si>
  <si>
    <t>7 of 7</t>
  </si>
  <si>
    <t>5 of 5 — all survived</t>
  </si>
  <si>
    <t>4 of 4 — all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</si>
</sst>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CCCCCC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88888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9"/>
      <color rgb="FF6C5CE7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E74C3C"/>
      <name val="Aptos Narrow"/>
      <family val="2"/>
      <scheme val="minor"/>
    </font>
    <font>
      <b/>
      <sz val="10"/>
      <color rgb="FFE74C3C"/>
      <name val="Aptos Narrow"/>
      <family val="2"/>
      <scheme val="minor"/>
    </font>
    <font>
      <i/>
      <sz val="9"/>
      <color rgb="FF0652DD"/>
      <name val="Aptos Narrow"/>
      <family val="2"/>
      <scheme val="minor"/>
    </font>
    <font>
      <b/>
      <sz val="10"/>
      <color rgb="FF0652DD"/>
      <name val="Aptos Narrow"/>
      <family val="2"/>
      <scheme val="minor"/>
    </font>
    <font>
      <i/>
      <sz val="9"/>
      <color rgb="FF27AE60"/>
      <name val="Aptos Narrow"/>
      <family val="2"/>
      <scheme val="minor"/>
    </font>
    <font>
      <sz val="10"/>
      <color rgb="FFE67E22"/>
      <name val="Aptos Narrow"/>
      <family val="2"/>
      <scheme val="minor"/>
    </font>
    <font>
      <b/>
      <sz val="10"/>
      <color rgb="FFE67E22"/>
      <name val="Aptos Narrow"/>
      <family val="2"/>
      <scheme val="minor"/>
    </font>
    <font>
      <sz val="9"/>
      <color rgb="FF555555"/>
      <name val="Aptos Narrow"/>
      <family val="2"/>
      <scheme val="minor"/>
    </font>
    <font>
      <b/>
      <sz val="10"/>
      <color rgb="FF27AE60"/>
      <name val="Aptos Narrow"/>
      <family val="2"/>
      <scheme val="minor"/>
    </font>
    <font>
      <i/>
      <sz val="9"/>
      <color rgb="FFE67E22"/>
      <name val="Aptos Narrow"/>
      <family val="2"/>
      <scheme val="minor"/>
    </font>
    <font>
      <b/>
      <sz val="9"/>
      <color rgb="FF555555"/>
      <name val="Aptos Narrow"/>
      <family val="2"/>
      <scheme val="minor"/>
    </font>
    <font>
      <i/>
      <sz val="9"/>
      <color rgb="FFC0392B"/>
      <name val="Aptos Narrow"/>
      <family val="2"/>
      <scheme val="minor"/>
    </font>
    <font>
      <b/>
      <sz val="10"/>
      <color rgb="FFC0392B"/>
      <name val="Aptos Narrow"/>
      <family val="2"/>
      <scheme val="minor"/>
    </font>
    <font>
      <i/>
      <sz val="9"/>
      <color rgb="FF8E44AD"/>
      <name val="Aptos Narrow"/>
      <family val="2"/>
      <scheme val="minor"/>
    </font>
    <font>
      <b/>
      <sz val="10"/>
      <color rgb="FF8E44AD"/>
      <name val="Aptos Narrow"/>
      <family val="2"/>
      <scheme val="minor"/>
    </font>
    <font>
      <i/>
      <sz val="9"/>
      <color rgb="FF00838F"/>
      <name val="Aptos Narrow"/>
      <family val="2"/>
      <scheme val="minor"/>
    </font>
    <font>
      <b/>
      <sz val="9"/>
      <color rgb="FF00838F"/>
      <name val="Aptos Narrow"/>
      <family val="2"/>
      <scheme val="minor"/>
    </font>
    <font>
      <b/>
      <sz val="10"/>
      <color rgb="FF00838F"/>
      <name val="Aptos Narrow"/>
      <family val="2"/>
      <scheme val="minor"/>
    </font>
    <font>
      <i/>
      <sz val="9"/>
      <color rgb="FF666666"/>
      <name val="Aptos Narrow"/>
      <family val="2"/>
      <scheme val="minor"/>
    </font>
    <font>
      <sz val="10"/>
      <color rgb="FF888888"/>
      <name val="Aptos Narrow"/>
      <family val="2"/>
      <scheme val="minor"/>
    </font>
    <font>
      <b/>
      <sz val="10"/>
      <color rgb="FF444444"/>
      <name val="Aptos Narrow"/>
      <family val="2"/>
      <scheme val="minor"/>
    </font>
    <font>
      <i/>
      <sz val="9"/>
      <color rgb="FFAAAAAA"/>
      <name val="Aptos Narrow"/>
      <family val="2"/>
      <scheme val="minor"/>
    </font>
    <font>
      <b/>
      <sz val="11"/>
      <color rgb="FF2D3436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1"/>
      <color rgb="FF0652DD"/>
      <name val="Aptos Narrow"/>
      <family val="2"/>
      <scheme val="minor"/>
    </font>
    <font>
      <sz val="10"/>
      <color rgb="FF0652DD"/>
      <name val="Aptos Narrow"/>
      <family val="2"/>
      <scheme val="minor"/>
    </font>
    <font>
      <b/>
      <sz val="11"/>
      <color rgb="FF27AE60"/>
      <name val="Aptos Narrow"/>
      <family val="2"/>
      <scheme val="minor"/>
    </font>
    <font>
      <sz val="10"/>
      <color rgb="FF27AE60"/>
      <name val="Aptos Narrow"/>
      <family val="2"/>
      <scheme val="minor"/>
    </font>
    <font>
      <b/>
      <sz val="11"/>
      <color rgb="FFE67E22"/>
      <name val="Aptos Narrow"/>
      <family val="2"/>
      <scheme val="minor"/>
    </font>
    <font>
      <b/>
      <sz val="11"/>
      <color rgb="FF8E44AD"/>
      <name val="Aptos Narrow"/>
      <family val="2"/>
      <scheme val="minor"/>
    </font>
    <font>
      <sz val="10"/>
      <color rgb="FF8E44AD"/>
      <name val="Aptos Narrow"/>
      <family val="2"/>
      <scheme val="minor"/>
    </font>
    <font>
      <b/>
      <sz val="11"/>
      <color rgb="FF1A1A2E"/>
      <name val="Aptos Narrow"/>
      <family val="2"/>
      <scheme val="minor"/>
    </font>
    <font>
      <sz val="10"/>
      <color rgb="FF1A1A2E"/>
      <name val="Aptos Narrow"/>
      <family val="2"/>
      <scheme val="minor"/>
    </font>
    <font>
      <i/>
      <sz val="10"/>
      <color rgb="FFCCCCCC"/>
      <name val="Aptos Narrow"/>
      <family val="2"/>
      <scheme val="minor"/>
    </font>
    <font>
      <b/>
      <sz val="11"/>
      <color rgb="FFFFEAA7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2980B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636E72"/>
      <name val="Aptos Narrow"/>
      <family val="2"/>
      <scheme val="minor"/>
    </font>
    <font>
      <i/>
      <sz val="9"/>
      <color rgb="FF888888"/>
      <name val="Aptos Narrow"/>
      <family val="2"/>
      <scheme val="minor"/>
    </font>
    <font>
      <b/>
      <i/>
      <sz val="10"/>
      <color rgb="FF888888"/>
      <name val="Aptos Narrow"/>
      <family val="2"/>
      <scheme val="minor"/>
    </font>
    <font>
      <b/>
      <sz val="16"/>
      <color rgb="FF2980B9"/>
      <name val="Aptos Narrow"/>
      <family val="2"/>
      <scheme val="minor"/>
    </font>
    <font>
      <b/>
      <sz val="12"/>
      <color rgb="FF2980B9"/>
      <name val="Aptos Narrow"/>
      <family val="2"/>
      <scheme val="minor"/>
    </font>
    <font>
      <i/>
      <sz val="11"/>
      <color rgb="FF888888"/>
      <name val="Aptos Narrow"/>
      <family val="2"/>
      <scheme val="minor"/>
    </font>
    <font>
      <sz val="10"/>
      <color theme="1"/>
      <name val="Consolas"/>
    </font>
    <font>
      <sz val="10"/>
      <color rgb="FFD4E6F1"/>
      <name val="Consolas"/>
    </font>
    <font>
      <sz val="9"/>
      <color theme="1"/>
      <name val="Consolas"/>
    </font>
    <font>
      <b/>
      <sz val="10"/>
      <color rgb="FF1A1A2E"/>
      <name val="Aptos Narrow"/>
      <family val="2"/>
      <scheme val="minor"/>
    </font>
    <font>
      <b/>
      <sz val="10"/>
      <color rgb="FF2D3436"/>
      <name val="Aptos Narrow"/>
      <family val="2"/>
      <scheme val="minor"/>
    </font>
    <font>
      <sz val="10"/>
      <color rgb="FF555555"/>
      <name val="Aptos Narrow"/>
      <family val="2"/>
      <scheme val="minor"/>
    </font>
    <font>
      <b/>
      <sz val="10"/>
      <color rgb="FF555555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i/>
      <sz val="11"/>
      <color rgb="FFFFEAA7"/>
      <name val="Aptos Narrow"/>
      <family val="2"/>
      <scheme val="minor"/>
    </font>
    <font>
      <b/>
      <sz val="10"/>
      <color rgb="FFFFEAA7"/>
      <name val="Aptos Narrow"/>
      <family val="2"/>
      <scheme val="minor"/>
    </font>
    <font>
      <i/>
      <sz val="10"/>
      <color rgb="FF6C5CE7"/>
      <name val="Aptos Narrow"/>
      <family val="2"/>
      <scheme val="minor"/>
    </font>
    <font>
      <sz val="9"/>
      <color rgb="FF888888"/>
      <name val="Consolas"/>
    </font>
    <font>
      <b/>
      <i/>
      <sz val="9"/>
      <color rgb="FF888888"/>
      <name val="Aptos Narrow"/>
      <family val="2"/>
      <scheme val="minor"/>
    </font>
    <font>
      <sz val="10"/>
      <color rgb="FF666666"/>
      <name val="Aptos Narrow"/>
      <family val="2"/>
      <scheme val="minor"/>
    </font>
    <font>
      <b/>
      <sz val="13"/>
      <color rgb="FFFFEAA7"/>
      <name val="Aptos Narrow"/>
      <family val="2"/>
      <scheme val="minor"/>
    </font>
    <font>
      <b/>
      <sz val="11"/>
      <color rgb="FFC0392B"/>
      <name val="Aptos Narrow"/>
      <family val="2"/>
      <scheme val="minor"/>
    </font>
    <font>
      <b/>
      <sz val="11"/>
      <color rgb="FF2980B9"/>
      <name val="Aptos Narrow"/>
      <family val="2"/>
      <scheme val="minor"/>
    </font>
    <font>
      <b/>
      <sz val="11"/>
      <color rgb="FF00838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1A1A2E"/>
      <name val="Aptos Narrow"/>
      <family val="2"/>
      <scheme val="minor"/>
    </font>
    <font>
      <b/>
      <sz val="18"/>
      <color rgb="FF0652DD"/>
      <name val="Aptos Narrow"/>
      <family val="2"/>
      <scheme val="minor"/>
    </font>
    <font>
      <sz val="9"/>
      <color rgb="FFAAAAAA"/>
      <name val="Aptos Narrow"/>
      <family val="2"/>
      <scheme val="minor"/>
    </font>
    <font>
      <sz val="9"/>
      <color rgb="FFFFFFFF"/>
      <name val="Aptos Narrow"/>
      <family val="2"/>
      <scheme val="minor"/>
    </font>
    <font>
      <i/>
      <sz val="10"/>
      <color rgb="FFFFEAA7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0"/>
      <color theme="1"/>
      <name val="Calibri"/>
    </font>
    <font>
      <b/>
      <sz val="9"/>
      <color rgb="FF6C5CE7"/>
      <name val="Aptos Narrow"/>
      <family val="2"/>
      <scheme val="minor"/>
    </font>
    <font>
      <b/>
      <sz val="9"/>
      <color rgb="FF0652DD"/>
      <name val="Aptos Narrow"/>
      <family val="2"/>
      <scheme val="minor"/>
    </font>
    <font>
      <b/>
      <sz val="9"/>
      <color rgb="FF27AE60"/>
      <name val="Aptos Narrow"/>
      <family val="2"/>
      <scheme val="minor"/>
    </font>
    <font>
      <b/>
      <sz val="9"/>
      <color rgb="FFE67E22"/>
      <name val="Aptos Narrow"/>
      <family val="2"/>
      <scheme val="minor"/>
    </font>
    <font>
      <b/>
      <sz val="9"/>
      <color rgb="FFC0392B"/>
      <name val="Aptos Narrow"/>
      <family val="2"/>
      <scheme val="minor"/>
    </font>
    <font>
      <b/>
      <sz val="9"/>
      <color rgb="FF8E44AD"/>
      <name val="Aptos Narrow"/>
      <family val="2"/>
      <scheme val="minor"/>
    </font>
    <font>
      <b/>
      <sz val="9"/>
      <color rgb="FF1A1A2E"/>
      <name val="Aptos Narrow"/>
      <family val="2"/>
      <scheme val="minor"/>
    </font>
    <font>
      <b/>
      <sz val="10"/>
      <color theme="1"/>
      <name val="Consolas"/>
    </font>
    <font>
      <b/>
      <sz val="14"/>
      <color rgb="FF27AE60"/>
      <name val="Calibri"/>
    </font>
    <font>
      <b/>
      <sz val="14"/>
      <color rgb="FF27AE60"/>
      <name val="Aptos Narrow"/>
      <family val="2"/>
      <scheme val="minor"/>
    </font>
    <font>
      <b/>
      <sz val="10"/>
      <color rgb="FFE84393"/>
      <name val="Aptos Narrow"/>
      <family val="2"/>
      <scheme val="minor"/>
    </font>
    <font>
      <b/>
      <sz val="14"/>
      <color rgb="FFE67E22"/>
      <name val="Aptos Narrow"/>
      <family val="2"/>
      <scheme val="minor"/>
    </font>
    <font>
      <b/>
      <sz val="10"/>
      <color rgb="FF6C5CE7"/>
      <name val="Aptos Narrow"/>
      <family val="2"/>
      <scheme val="minor"/>
    </font>
    <font>
      <b/>
      <sz val="14"/>
      <color rgb="FF2980B9"/>
      <name val="Aptos Narrow"/>
      <family val="2"/>
      <scheme val="minor"/>
    </font>
    <font>
      <b/>
      <i/>
      <sz val="12"/>
      <color rgb="FFCCCCCC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10"/>
      <color rgb="FFCCCCCC"/>
      <name val="Aptos Narrow"/>
      <family val="2"/>
      <scheme val="minor"/>
    </font>
    <font>
      <i/>
      <sz val="11"/>
      <color rgb="FFC0392B"/>
      <name val="Aptos Narrow"/>
      <family val="2"/>
      <scheme val="minor"/>
    </font>
    <font>
      <b/>
      <i/>
      <sz val="11"/>
      <color rgb="FFE67E22"/>
      <name val="Aptos Narrow"/>
      <family val="2"/>
      <scheme val="minor"/>
    </font>
    <font>
      <b/>
      <i/>
      <sz val="9"/>
      <color rgb="FF0652DD"/>
      <name val="Aptos Narrow"/>
      <family val="2"/>
      <scheme val="minor"/>
    </font>
    <font>
      <b/>
      <sz val="12"/>
      <color rgb="FFC0392B"/>
      <name val="Aptos Narrow"/>
      <family val="2"/>
      <scheme val="minor"/>
    </font>
    <font>
      <b/>
      <sz val="9"/>
      <color rgb="FF2980B9"/>
      <name val="Aptos Narrow"/>
      <family val="2"/>
      <scheme val="minor"/>
    </font>
    <font>
      <b/>
      <sz val="12"/>
      <color rgb="FF27AE60"/>
      <name val="Aptos Narrow"/>
      <family val="2"/>
      <scheme val="minor"/>
    </font>
    <font>
      <i/>
      <sz val="10"/>
      <color rgb="FF8E44AD"/>
      <name val="Aptos Narrow"/>
      <family val="2"/>
      <scheme val="minor"/>
    </font>
    <font>
      <b/>
      <sz val="14"/>
      <color rgb="FF8E44AD"/>
      <name val="Aptos Narrow"/>
      <family val="2"/>
      <scheme val="minor"/>
    </font>
    <font>
      <b/>
      <sz val="20"/>
      <color rgb="FF0652DD"/>
      <name val="Aptos Narrow"/>
      <family val="2"/>
      <scheme val="minor"/>
    </font>
    <font>
      <b/>
      <sz val="12"/>
      <color rgb="FF0652DD"/>
      <name val="Aptos Narrow"/>
      <family val="2"/>
      <scheme val="minor"/>
    </font>
    <font>
      <i/>
      <sz val="10"/>
      <color rgb="FF00838F"/>
      <name val="Aptos Narrow"/>
      <family val="2"/>
      <scheme val="minor"/>
    </font>
    <font>
      <b/>
      <i/>
      <sz val="10"/>
      <color rgb="FF666666"/>
      <name val="Aptos Narrow"/>
      <family val="2"/>
      <scheme val="minor"/>
    </font>
    <font>
      <i/>
      <sz val="12"/>
      <color rgb="FFCCCCCC"/>
      <name val="Aptos Narrow"/>
      <family val="2"/>
      <scheme val="minor"/>
    </font>
    <font>
      <sz val="11"/>
      <color rgb="FFE74C3C"/>
      <name val="Aptos Narrow"/>
      <family val="2"/>
      <scheme val="minor"/>
    </font>
    <font>
      <i/>
      <sz val="10"/>
      <color rgb="FF888888"/>
      <name val="Aptos Narrow"/>
      <family val="2"/>
      <scheme val="minor"/>
    </font>
    <font>
      <sz val="11"/>
      <color rgb="FFE8E6E1"/>
      <name val="Aptos Narrow"/>
      <family val="2"/>
      <scheme val="minor"/>
    </font>
    <font>
      <b/>
      <sz val="28"/>
      <color rgb="FFE8E6E1"/>
      <name val="Aptos Narrow"/>
      <family val="2"/>
      <scheme val="minor"/>
    </font>
    <font>
      <sz val="18"/>
      <color rgb="FFD4A853"/>
      <name val="Aptos Narrow"/>
      <family val="2"/>
      <scheme val="minor"/>
    </font>
    <font>
      <i/>
      <sz val="11"/>
      <color rgb="FF8A8D9B"/>
      <name val="Aptos Narrow"/>
      <family val="2"/>
      <scheme val="minor"/>
    </font>
    <font>
      <sz val="9"/>
      <color rgb="FFE8E6E1"/>
      <name val="Aptos Narrow"/>
      <family val="2"/>
      <scheme val="minor"/>
    </font>
    <font>
      <sz val="9"/>
      <color rgb="FF38BDF8"/>
      <name val="Aptos Narrow"/>
      <family val="2"/>
      <scheme val="minor"/>
    </font>
    <font>
      <b/>
      <sz val="9"/>
      <color rgb="FF38BDF8"/>
      <name val="Aptos Narrow"/>
      <family val="2"/>
      <scheme val="minor"/>
    </font>
    <font>
      <b/>
      <sz val="14"/>
      <color rgb="FFE8E6E1"/>
      <name val="Aptos Narrow"/>
      <family val="2"/>
      <scheme val="minor"/>
    </font>
    <font>
      <b/>
      <sz val="22"/>
      <color rgb="FFEF4444"/>
      <name val="Aptos Narrow"/>
      <family val="2"/>
      <scheme val="minor"/>
    </font>
    <font>
      <i/>
      <sz val="12"/>
      <color rgb="FFD4A853"/>
      <name val="Aptos Narrow"/>
      <family val="2"/>
      <scheme val="minor"/>
    </font>
    <font>
      <sz val="10"/>
      <color rgb="FFE8E6E1"/>
      <name val="Aptos Narrow"/>
      <family val="2"/>
      <scheme val="minor"/>
    </font>
    <font>
      <i/>
      <sz val="10"/>
      <color rgb="FF8A8D9B"/>
      <name val="Aptos Narrow"/>
      <family val="2"/>
      <scheme val="minor"/>
    </font>
    <font>
      <b/>
      <sz val="10"/>
      <color rgb="FFE8E6E1"/>
      <name val="Aptos Narrow"/>
      <family val="2"/>
      <scheme val="minor"/>
    </font>
    <font>
      <b/>
      <sz val="10"/>
      <color rgb="FFEF4444"/>
      <name val="Aptos Narrow"/>
      <family val="2"/>
      <scheme val="minor"/>
    </font>
    <font>
      <b/>
      <sz val="10"/>
      <color rgb="FFD4A853"/>
      <name val="Aptos Narrow"/>
      <family val="2"/>
      <scheme val="minor"/>
    </font>
    <font>
      <b/>
      <sz val="12"/>
      <color rgb="FF8A8D9B"/>
      <name val="Aptos Narrow"/>
      <family val="2"/>
      <scheme val="minor"/>
    </font>
    <font>
      <b/>
      <sz val="11"/>
      <color rgb="FFE8E6E1"/>
      <name val="Aptos Narrow"/>
      <family val="2"/>
      <scheme val="minor"/>
    </font>
    <font>
      <b/>
      <sz val="11"/>
      <color rgb="FF8A8D9B"/>
      <name val="Aptos Narrow"/>
      <family val="2"/>
      <scheme val="minor"/>
    </font>
    <font>
      <b/>
      <i/>
      <sz val="10"/>
      <color rgb="FF555869"/>
      <name val="Aptos Narrow"/>
      <family val="2"/>
      <scheme val="minor"/>
    </font>
    <font>
      <b/>
      <i/>
      <sz val="9"/>
      <color rgb="FFCC7777"/>
      <name val="Aptos Narrow"/>
      <family val="2"/>
      <scheme val="minor"/>
    </font>
    <font>
      <b/>
      <i/>
      <sz val="10"/>
      <color rgb="FFEF9A9A"/>
      <name val="Aptos Narrow"/>
      <family val="2"/>
      <scheme val="minor"/>
    </font>
    <font>
      <b/>
      <sz val="10"/>
      <color rgb="FF555869"/>
      <name val="Aptos Narrow"/>
      <family val="2"/>
      <scheme val="minor"/>
    </font>
    <font>
      <i/>
      <sz val="11"/>
      <color rgb="FFD4A853"/>
      <name val="Aptos Narrow"/>
      <family val="2"/>
      <scheme val="minor"/>
    </font>
    <font>
      <i/>
      <sz val="10"/>
      <color rgb="FFD4A853"/>
      <name val="Aptos Narrow"/>
      <family val="2"/>
      <scheme val="minor"/>
    </font>
    <font>
      <sz val="9"/>
      <color rgb="FFEF4444"/>
      <name val="Aptos Narrow"/>
      <family val="2"/>
      <scheme val="minor"/>
    </font>
    <font>
      <i/>
      <sz val="9"/>
      <color rgb="FFCC9966"/>
      <name val="Aptos Narrow"/>
      <family val="2"/>
      <scheme val="minor"/>
    </font>
    <font>
      <sz val="9"/>
      <color rgb="FFF97316"/>
      <name val="Aptos Narrow"/>
      <family val="2"/>
      <scheme val="minor"/>
    </font>
    <font>
      <i/>
      <sz val="9"/>
      <color rgb="FF997755"/>
      <name val="Aptos Narrow"/>
      <family val="2"/>
      <scheme val="minor"/>
    </font>
    <font>
      <sz val="9"/>
      <color rgb="FFA0724A"/>
      <name val="Aptos Narrow"/>
      <family val="2"/>
      <scheme val="minor"/>
    </font>
    <font>
      <i/>
      <sz val="9"/>
      <color rgb="FF7799BB"/>
      <name val="Aptos Narrow"/>
      <family val="2"/>
      <scheme val="minor"/>
    </font>
    <font>
      <i/>
      <sz val="9"/>
      <color rgb="FF9988CC"/>
      <name val="Aptos Narrow"/>
      <family val="2"/>
      <scheme val="minor"/>
    </font>
    <font>
      <sz val="9"/>
      <color rgb="FFA78BFA"/>
      <name val="Aptos Narrow"/>
      <family val="2"/>
      <scheme val="minor"/>
    </font>
    <font>
      <i/>
      <sz val="9"/>
      <color rgb="FFAA8866"/>
      <name val="Aptos Narrow"/>
      <family val="2"/>
      <scheme val="minor"/>
    </font>
    <font>
      <sz val="9"/>
      <color rgb="FF7C6340"/>
      <name val="Aptos Narrow"/>
      <family val="2"/>
      <scheme val="minor"/>
    </font>
    <font>
      <b/>
      <sz val="14"/>
      <color rgb="FF0A0B0F"/>
      <name val="Aptos Narrow"/>
      <family val="2"/>
      <scheme val="minor"/>
    </font>
    <font>
      <i/>
      <sz val="9"/>
      <color rgb="FFAA8844"/>
      <name val="Aptos Narrow"/>
      <family val="2"/>
      <scheme val="minor"/>
    </font>
    <font>
      <sz val="11"/>
      <color rgb="FF888888"/>
      <name val="Aptos Narrow"/>
      <family val="2"/>
      <scheme val="minor"/>
    </font>
    <font>
      <sz val="9"/>
      <color rgb="FFD4A853"/>
      <name val="Aptos Narrow"/>
      <family val="2"/>
      <scheme val="minor"/>
    </font>
    <font>
      <b/>
      <sz val="9"/>
      <color rgb="FFE8E6E1"/>
      <name val="Aptos Narrow"/>
      <family val="2"/>
      <scheme val="minor"/>
    </font>
    <font>
      <b/>
      <sz val="16"/>
      <color rgb="FFD4A853"/>
      <name val="Aptos Narrow"/>
      <family val="2"/>
      <scheme val="minor"/>
    </font>
    <font>
      <b/>
      <sz val="11"/>
      <color rgb="FFD4A853"/>
      <name val="Aptos Narrow"/>
      <family val="2"/>
      <scheme val="minor"/>
    </font>
    <font>
      <b/>
      <sz val="9"/>
      <color rgb="FFD4A853"/>
      <name val="Aptos Narrow"/>
      <family val="2"/>
      <scheme val="minor"/>
    </font>
    <font>
      <b/>
      <sz val="14"/>
      <color rgb="FFD4A853"/>
      <name val="Aptos Narrow"/>
      <family val="2"/>
      <scheme val="minor"/>
    </font>
    <font>
      <i/>
      <sz val="9"/>
      <color rgb="FF555555"/>
      <name val="Aptos Narrow"/>
      <family val="2"/>
      <scheme val="minor"/>
    </font>
    <font>
      <b/>
      <sz val="12"/>
      <color rgb="FF0A0B0F"/>
      <name val="Aptos Narrow"/>
      <family val="2"/>
      <scheme val="minor"/>
    </font>
    <font>
      <b/>
      <sz val="10"/>
      <color rgb="FF2DD4A0"/>
      <name val="Aptos Narrow"/>
      <family val="2"/>
      <scheme val="minor"/>
    </font>
    <font>
      <b/>
      <sz val="16"/>
      <color rgb="FFF59E0B"/>
      <name val="Aptos Narrow"/>
      <family val="2"/>
      <scheme val="minor"/>
    </font>
    <font>
      <b/>
      <sz val="14"/>
      <color rgb="FFF59E0B"/>
      <name val="Aptos Narrow"/>
      <family val="2"/>
      <scheme val="minor"/>
    </font>
    <font>
      <b/>
      <sz val="11"/>
      <color rgb="FFF59E0B"/>
      <name val="Aptos Narrow"/>
      <family val="2"/>
      <scheme val="minor"/>
    </font>
  </fonts>
  <fills count="86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6C5CE7"/>
        <bgColor indexed="64"/>
      </patternFill>
    </fill>
    <fill>
      <patternFill patternType="solid">
        <fgColor rgb="FFF3F0FF"/>
        <bgColor indexed="64"/>
      </patternFill>
    </fill>
    <fill>
      <patternFill patternType="solid">
        <fgColor rgb="FFFAF8FF"/>
        <bgColor indexed="64"/>
      </patternFill>
    </fill>
    <fill>
      <patternFill patternType="solid">
        <fgColor rgb="FF0652DD"/>
        <bgColor indexed="64"/>
      </patternFill>
    </fill>
    <fill>
      <patternFill patternType="solid">
        <fgColor rgb="FFEEF3FF"/>
        <bgColor indexed="64"/>
      </patternFill>
    </fill>
    <fill>
      <patternFill patternType="solid">
        <fgColor rgb="FFF8FAFF"/>
        <bgColor indexed="64"/>
      </patternFill>
    </fill>
    <fill>
      <patternFill patternType="solid">
        <fgColor rgb="FFDCE6FF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0FAF4"/>
        <bgColor indexed="64"/>
      </patternFill>
    </fill>
    <fill>
      <patternFill patternType="solid">
        <fgColor rgb="FFF5FDF8"/>
        <bgColor indexed="64"/>
      </patternFill>
    </fill>
    <fill>
      <patternFill patternType="solid">
        <fgColor rgb="FFEAFAEF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EF9F0"/>
        <bgColor indexed="64"/>
      </patternFill>
    </fill>
    <fill>
      <patternFill patternType="solid">
        <fgColor rgb="FFFDF6EC"/>
        <bgColor indexed="64"/>
      </patternFill>
    </fill>
    <fill>
      <patternFill patternType="solid">
        <fgColor rgb="FFFEF0D5"/>
        <bgColor indexed="64"/>
      </patternFill>
    </fill>
    <fill>
      <patternFill patternType="solid">
        <fgColor rgb="FFFDE3C8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DF2F2"/>
        <bgColor indexed="64"/>
      </patternFill>
    </fill>
    <fill>
      <patternFill patternType="solid">
        <fgColor rgb="FFFDF6F6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F5D0D0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F9F0FD"/>
        <bgColor indexed="64"/>
      </patternFill>
    </fill>
    <fill>
      <patternFill patternType="solid">
        <fgColor rgb="FFF7F0FC"/>
        <bgColor indexed="64"/>
      </patternFill>
    </fill>
    <fill>
      <patternFill patternType="solid">
        <fgColor rgb="FFEDE0F7"/>
        <bgColor indexed="64"/>
      </patternFill>
    </fill>
    <fill>
      <patternFill patternType="solid">
        <fgColor rgb="FFDCC8ED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F0FAFB"/>
        <bgColor indexed="64"/>
      </patternFill>
    </fill>
    <fill>
      <patternFill patternType="solid">
        <fgColor rgb="FFF0F9FA"/>
        <bgColor indexed="64"/>
      </patternFill>
    </fill>
    <fill>
      <patternFill patternType="solid">
        <fgColor rgb="FFD4F0F3"/>
        <bgColor indexed="64"/>
      </patternFill>
    </fill>
    <fill>
      <patternFill patternType="solid">
        <fgColor rgb="FFB2E0E5"/>
        <bgColor indexed="64"/>
      </patternFill>
    </fill>
    <fill>
      <patternFill patternType="solid">
        <fgColor rgb="FFF5F5F8"/>
        <bgColor indexed="64"/>
      </patternFill>
    </fill>
    <fill>
      <patternFill patternType="solid">
        <fgColor rgb="FFF7F7FA"/>
        <bgColor indexed="64"/>
      </patternFill>
    </fill>
    <fill>
      <patternFill patternType="solid">
        <fgColor rgb="FFE8E8F0"/>
        <bgColor indexed="64"/>
      </patternFill>
    </fill>
    <fill>
      <patternFill patternType="solid">
        <fgColor rgb="FFD0D0D8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383D40"/>
        <bgColor indexed="64"/>
      </patternFill>
    </fill>
    <fill>
      <patternFill patternType="solid">
        <fgColor rgb="FFF0F0F2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B2BEC3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36E72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D4E6F1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1E272E"/>
        <bgColor indexed="64"/>
      </patternFill>
    </fill>
    <fill>
      <patternFill patternType="solid">
        <fgColor rgb="FFDEE2E6"/>
        <bgColor indexed="64"/>
      </patternFill>
    </fill>
    <fill>
      <patternFill patternType="solid">
        <fgColor rgb="FFFCE8E8"/>
        <bgColor indexed="64"/>
      </patternFill>
    </fill>
    <fill>
      <patternFill patternType="solid">
        <fgColor rgb="FFF3EAF9"/>
        <bgColor indexed="64"/>
      </patternFill>
    </fill>
    <fill>
      <patternFill patternType="solid">
        <fgColor rgb="FFEDEDF0"/>
        <bgColor indexed="64"/>
      </patternFill>
    </fill>
    <fill>
      <patternFill patternType="solid">
        <fgColor rgb="FFE8E8EC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0F5FF"/>
        <bgColor indexed="64"/>
      </patternFill>
    </fill>
    <fill>
      <patternFill patternType="solid">
        <fgColor rgb="FFE84393"/>
        <bgColor indexed="64"/>
      </patternFill>
    </fill>
    <fill>
      <patternFill patternType="solid">
        <fgColor rgb="FFFDF0F7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0A0B0F"/>
        <bgColor indexed="64"/>
      </patternFill>
    </fill>
    <fill>
      <patternFill patternType="solid">
        <fgColor rgb="FF0E1420"/>
        <bgColor indexed="64"/>
      </patternFill>
    </fill>
    <fill>
      <patternFill patternType="solid">
        <fgColor rgb="FF1E2233"/>
        <bgColor indexed="64"/>
      </patternFill>
    </fill>
    <fill>
      <patternFill patternType="solid">
        <fgColor rgb="FF12141C"/>
        <bgColor indexed="64"/>
      </patternFill>
    </fill>
    <fill>
      <patternFill patternType="solid">
        <fgColor rgb="FFEF4444"/>
        <bgColor indexed="64"/>
      </patternFill>
    </fill>
    <fill>
      <patternFill patternType="solid">
        <fgColor rgb="FF1A0A0A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1A0F05"/>
        <bgColor indexed="64"/>
      </patternFill>
    </fill>
    <fill>
      <patternFill patternType="solid">
        <fgColor rgb="FFA0724A"/>
        <bgColor indexed="64"/>
      </patternFill>
    </fill>
    <fill>
      <patternFill patternType="solid">
        <fgColor rgb="FF120E08"/>
        <bgColor indexed="64"/>
      </patternFill>
    </fill>
    <fill>
      <patternFill patternType="solid">
        <fgColor rgb="FF38BDF8"/>
        <bgColor indexed="64"/>
      </patternFill>
    </fill>
    <fill>
      <patternFill patternType="solid">
        <fgColor rgb="FF080E15"/>
        <bgColor indexed="64"/>
      </patternFill>
    </fill>
    <fill>
      <patternFill patternType="solid">
        <fgColor rgb="FFA78BFA"/>
        <bgColor indexed="64"/>
      </patternFill>
    </fill>
    <fill>
      <patternFill patternType="solid">
        <fgColor rgb="FF0E0A15"/>
        <bgColor indexed="64"/>
      </patternFill>
    </fill>
    <fill>
      <patternFill patternType="solid">
        <fgColor rgb="FF7C6340"/>
        <bgColor indexed="64"/>
      </patternFill>
    </fill>
    <fill>
      <patternFill patternType="solid">
        <fgColor rgb="FF100C06"/>
        <bgColor indexed="64"/>
      </patternFill>
    </fill>
    <fill>
      <patternFill patternType="solid">
        <fgColor rgb="FFD4A853"/>
        <bgColor indexed="64"/>
      </patternFill>
    </fill>
    <fill>
      <patternFill patternType="solid">
        <fgColor rgb="FF15100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rgb="FFDEE2E6"/>
      </bottom>
      <diagonal/>
    </border>
    <border>
      <left/>
      <right/>
      <top style="thin">
        <color rgb="FFDEE2E6"/>
      </top>
      <bottom style="thin">
        <color rgb="FFDEE2E6"/>
      </bottom>
      <diagonal/>
    </border>
    <border>
      <left/>
      <right/>
      <top style="thin">
        <color rgb="FFDEE2E6"/>
      </top>
      <bottom/>
      <diagonal/>
    </border>
    <border>
      <left/>
      <right style="thin">
        <color rgb="FFDEE2E6"/>
      </right>
      <top/>
      <bottom style="thin">
        <color rgb="FFDEE2E6"/>
      </bottom>
      <diagonal/>
    </border>
    <border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>
      <left style="thin">
        <color rgb="FFDEE2E6"/>
      </left>
      <right/>
      <top/>
      <bottom style="thin">
        <color rgb="FFDEE2E6"/>
      </bottom>
      <diagonal/>
    </border>
    <border>
      <left/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/>
      <top style="thin">
        <color rgb="FFDEE2E6"/>
      </top>
      <bottom style="thin">
        <color rgb="FFDEE2E6"/>
      </bottom>
      <diagonal/>
    </border>
    <border>
      <left/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/>
      <top style="thin">
        <color rgb="FFDEE2E6"/>
      </top>
      <bottom/>
      <diagonal/>
    </border>
    <border>
      <left/>
      <right/>
      <top/>
      <bottom style="medium">
        <color rgb="FF6C5CE7"/>
      </bottom>
      <diagonal/>
    </border>
    <border>
      <left/>
      <right/>
      <top style="medium">
        <color rgb="FF0652DD"/>
      </top>
      <bottom/>
      <diagonal/>
    </border>
    <border>
      <left/>
      <right/>
      <top style="thin">
        <color rgb="FF0652DD"/>
      </top>
      <bottom style="thin">
        <color rgb="FF0652DD"/>
      </bottom>
      <diagonal/>
    </border>
    <border>
      <left/>
      <right/>
      <top style="thin">
        <color rgb="FF0652DD"/>
      </top>
      <bottom/>
      <diagonal/>
    </border>
    <border>
      <left/>
      <right/>
      <top style="thin">
        <color rgb="FF27AE60"/>
      </top>
      <bottom style="thin">
        <color rgb="FF27AE60"/>
      </bottom>
      <diagonal/>
    </border>
    <border>
      <left/>
      <right/>
      <top style="thin">
        <color rgb="FF27AE60"/>
      </top>
      <bottom/>
      <diagonal/>
    </border>
    <border>
      <left/>
      <right/>
      <top style="thin">
        <color rgb="FFE67E22"/>
      </top>
      <bottom style="thin">
        <color rgb="FFE67E22"/>
      </bottom>
      <diagonal/>
    </border>
    <border>
      <left/>
      <right/>
      <top style="thin">
        <color rgb="FFE67E22"/>
      </top>
      <bottom/>
      <diagonal/>
    </border>
    <border>
      <left/>
      <right/>
      <top style="thin">
        <color rgb="FFC0392B"/>
      </top>
      <bottom style="thin">
        <color rgb="FFC0392B"/>
      </bottom>
      <diagonal/>
    </border>
    <border>
      <left/>
      <right/>
      <top style="thin">
        <color rgb="FFC0392B"/>
      </top>
      <bottom/>
      <diagonal/>
    </border>
    <border>
      <left/>
      <right/>
      <top style="thin">
        <color rgb="FF8E44AD"/>
      </top>
      <bottom style="thin">
        <color rgb="FF8E44AD"/>
      </bottom>
      <diagonal/>
    </border>
    <border>
      <left/>
      <right/>
      <top style="thin">
        <color rgb="FF8E44AD"/>
      </top>
      <bottom/>
      <diagonal/>
    </border>
    <border>
      <left/>
      <right/>
      <top style="thin">
        <color rgb="FF00838F"/>
      </top>
      <bottom style="thin">
        <color rgb="FF00838F"/>
      </bottom>
      <diagonal/>
    </border>
    <border>
      <left/>
      <right/>
      <top style="thin">
        <color rgb="FF00838F"/>
      </top>
      <bottom/>
      <diagonal/>
    </border>
    <border>
      <left/>
      <right/>
      <top style="thin">
        <color rgb="FF1A1A2E"/>
      </top>
      <bottom/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1A1A2E"/>
      </top>
      <bottom style="thin">
        <color rgb="FF1A1A2E"/>
      </bottom>
      <diagonal/>
    </border>
    <border>
      <left/>
      <right/>
      <top style="thin">
        <color rgb="FF2980B9"/>
      </top>
      <bottom style="thin">
        <color rgb="FF2980B9"/>
      </bottom>
      <diagonal/>
    </border>
    <border>
      <left/>
      <right/>
      <top style="thin">
        <color rgb="FF2980B9"/>
      </top>
      <bottom/>
      <diagonal/>
    </border>
    <border>
      <left/>
      <right/>
      <top style="thin">
        <color rgb="FF38BDF8"/>
      </top>
      <bottom style="thin">
        <color rgb="FF38BDF8"/>
      </bottom>
      <diagonal/>
    </border>
    <border>
      <left/>
      <right/>
      <top/>
      <bottom style="thin">
        <color rgb="FF555869"/>
      </bottom>
      <diagonal/>
    </border>
    <border>
      <left/>
      <right/>
      <top/>
      <bottom style="thin">
        <color rgb="FF555555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/>
      <top style="thin">
        <color rgb="FFD4A853"/>
      </top>
      <bottom style="thin">
        <color rgb="FFD4A853"/>
      </bottom>
      <diagonal/>
    </border>
    <border>
      <left/>
      <right/>
      <top style="thin">
        <color rgb="FFD4A853"/>
      </top>
      <bottom/>
      <diagonal/>
    </border>
  </borders>
  <cellStyleXfs count="1">
    <xf numFmtId="0" fontId="0" fillId="0" borderId="0"/>
  </cellStyleXfs>
  <cellXfs count="677">
    <xf numFmtId="0" fontId="0" fillId="0" borderId="0" xfId="0"/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/>
    <xf numFmtId="0" fontId="6" fillId="0" borderId="0" xfId="0" applyFont="1"/>
    <xf numFmtId="0" fontId="7" fillId="4" borderId="0" xfId="0" applyFont="1" applyFill="1" applyAlignment="1">
      <alignment horizontal="center"/>
    </xf>
    <xf numFmtId="0" fontId="8" fillId="5" borderId="0" xfId="0" applyFont="1" applyFill="1"/>
    <xf numFmtId="0" fontId="0" fillId="5" borderId="0" xfId="0" applyFill="1"/>
    <xf numFmtId="0" fontId="10" fillId="6" borderId="0" xfId="0" applyFont="1" applyFill="1"/>
    <xf numFmtId="0" fontId="0" fillId="6" borderId="0" xfId="0" applyFill="1"/>
    <xf numFmtId="0" fontId="11" fillId="0" borderId="0" xfId="0" applyFont="1"/>
    <xf numFmtId="0" fontId="11" fillId="7" borderId="0" xfId="0" applyFont="1" applyFill="1" applyAlignment="1">
      <alignment wrapText="1"/>
    </xf>
    <xf numFmtId="0" fontId="13" fillId="7" borderId="0" xfId="0" applyFont="1" applyFill="1" applyAlignment="1">
      <alignment wrapText="1"/>
    </xf>
    <xf numFmtId="0" fontId="8" fillId="8" borderId="0" xfId="0" applyFont="1" applyFill="1"/>
    <xf numFmtId="0" fontId="0" fillId="8" borderId="0" xfId="0" applyFill="1"/>
    <xf numFmtId="0" fontId="14" fillId="9" borderId="0" xfId="0" applyFont="1" applyFill="1"/>
    <xf numFmtId="0" fontId="0" fillId="9" borderId="0" xfId="0" applyFill="1"/>
    <xf numFmtId="0" fontId="11" fillId="0" borderId="0" xfId="0" applyFont="1" applyAlignment="1">
      <alignment wrapText="1"/>
    </xf>
    <xf numFmtId="0" fontId="11" fillId="10" borderId="0" xfId="0" applyFont="1" applyFill="1" applyAlignment="1">
      <alignment wrapText="1"/>
    </xf>
    <xf numFmtId="0" fontId="13" fillId="10" borderId="0" xfId="0" applyFont="1" applyFill="1" applyAlignment="1">
      <alignment wrapText="1"/>
    </xf>
    <xf numFmtId="0" fontId="15" fillId="11" borderId="0" xfId="0" applyFont="1" applyFill="1" applyAlignment="1">
      <alignment wrapText="1"/>
    </xf>
    <xf numFmtId="0" fontId="11" fillId="11" borderId="0" xfId="0" applyFont="1" applyFill="1" applyAlignment="1">
      <alignment wrapText="1"/>
    </xf>
    <xf numFmtId="0" fontId="4" fillId="0" borderId="0" xfId="0" applyFont="1"/>
    <xf numFmtId="0" fontId="4" fillId="9" borderId="0" xfId="0" applyFont="1" applyFill="1" applyAlignment="1">
      <alignment wrapText="1"/>
    </xf>
    <xf numFmtId="0" fontId="9" fillId="9" borderId="0" xfId="0" applyFont="1" applyFill="1" applyAlignment="1">
      <alignment wrapText="1"/>
    </xf>
    <xf numFmtId="0" fontId="8" fillId="12" borderId="0" xfId="0" applyFont="1" applyFill="1" applyAlignment="1">
      <alignment wrapText="1"/>
    </xf>
    <xf numFmtId="0" fontId="4" fillId="12" borderId="0" xfId="0" applyFont="1" applyFill="1" applyAlignment="1">
      <alignment wrapText="1"/>
    </xf>
    <xf numFmtId="0" fontId="16" fillId="13" borderId="0" xfId="0" applyFont="1" applyFill="1" applyBorder="1" applyAlignment="1">
      <alignment wrapText="1"/>
    </xf>
    <xf numFmtId="0" fontId="4" fillId="13" borderId="0" xfId="0" applyFont="1" applyFill="1" applyBorder="1" applyAlignment="1">
      <alignment wrapText="1"/>
    </xf>
    <xf numFmtId="0" fontId="11" fillId="14" borderId="0" xfId="0" applyFont="1" applyFill="1" applyAlignment="1">
      <alignment wrapText="1"/>
    </xf>
    <xf numFmtId="0" fontId="13" fillId="14" borderId="0" xfId="0" applyFont="1" applyFill="1" applyAlignment="1">
      <alignment wrapText="1"/>
    </xf>
    <xf numFmtId="0" fontId="18" fillId="14" borderId="0" xfId="0" applyFont="1" applyFill="1" applyAlignment="1">
      <alignment wrapText="1"/>
    </xf>
    <xf numFmtId="0" fontId="19" fillId="15" borderId="0" xfId="0" applyFont="1" applyFill="1" applyAlignment="1">
      <alignment wrapText="1"/>
    </xf>
    <xf numFmtId="0" fontId="11" fillId="15" borderId="0" xfId="0" applyFont="1" applyFill="1" applyAlignment="1">
      <alignment wrapText="1"/>
    </xf>
    <xf numFmtId="0" fontId="20" fillId="16" borderId="0" xfId="0" applyFont="1" applyFill="1" applyBorder="1" applyAlignment="1">
      <alignment wrapText="1"/>
    </xf>
    <xf numFmtId="0" fontId="11" fillId="16" borderId="0" xfId="0" applyFont="1" applyFill="1" applyBorder="1" applyAlignment="1">
      <alignment wrapText="1"/>
    </xf>
    <xf numFmtId="0" fontId="4" fillId="15" borderId="0" xfId="0" applyFont="1" applyFill="1" applyAlignment="1">
      <alignment wrapText="1"/>
    </xf>
    <xf numFmtId="0" fontId="9" fillId="15" borderId="0" xfId="0" applyFont="1" applyFill="1" applyAlignment="1">
      <alignment wrapText="1"/>
    </xf>
    <xf numFmtId="0" fontId="8" fillId="17" borderId="0" xfId="0" applyFont="1" applyFill="1" applyAlignment="1">
      <alignment wrapText="1"/>
    </xf>
    <xf numFmtId="0" fontId="4" fillId="17" borderId="0" xfId="0" applyFont="1" applyFill="1" applyAlignment="1">
      <alignment wrapText="1"/>
    </xf>
    <xf numFmtId="0" fontId="21" fillId="18" borderId="0" xfId="0" applyFont="1" applyFill="1" applyBorder="1" applyAlignment="1">
      <alignment wrapText="1"/>
    </xf>
    <xf numFmtId="0" fontId="4" fillId="18" borderId="0" xfId="0" applyFont="1" applyFill="1" applyBorder="1" applyAlignment="1">
      <alignment wrapText="1"/>
    </xf>
    <xf numFmtId="0" fontId="11" fillId="19" borderId="0" xfId="0" applyFont="1" applyFill="1" applyAlignment="1">
      <alignment wrapText="1"/>
    </xf>
    <xf numFmtId="0" fontId="13" fillId="19" borderId="0" xfId="0" applyFont="1" applyFill="1" applyAlignment="1">
      <alignment wrapText="1"/>
    </xf>
    <xf numFmtId="0" fontId="22" fillId="20" borderId="0" xfId="0" applyFont="1" applyFill="1" applyAlignment="1">
      <alignment wrapText="1"/>
    </xf>
    <xf numFmtId="0" fontId="11" fillId="20" borderId="0" xfId="0" applyFont="1" applyFill="1" applyAlignment="1">
      <alignment wrapText="1"/>
    </xf>
    <xf numFmtId="0" fontId="18" fillId="21" borderId="0" xfId="0" applyFont="1" applyFill="1" applyBorder="1" applyAlignment="1">
      <alignment wrapText="1"/>
    </xf>
    <xf numFmtId="0" fontId="11" fillId="21" borderId="0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9" fillId="18" borderId="0" xfId="0" applyFont="1" applyFill="1" applyAlignment="1">
      <alignment wrapText="1"/>
    </xf>
    <xf numFmtId="0" fontId="8" fillId="22" borderId="0" xfId="0" applyFont="1" applyFill="1" applyAlignment="1">
      <alignment wrapText="1"/>
    </xf>
    <xf numFmtId="0" fontId="4" fillId="22" borderId="0" xfId="0" applyFont="1" applyFill="1" applyAlignment="1">
      <alignment wrapText="1"/>
    </xf>
    <xf numFmtId="0" fontId="23" fillId="23" borderId="0" xfId="0" applyFont="1" applyFill="1" applyBorder="1" applyAlignment="1">
      <alignment wrapText="1"/>
    </xf>
    <xf numFmtId="0" fontId="4" fillId="23" borderId="0" xfId="0" applyFont="1" applyFill="1" applyBorder="1" applyAlignment="1">
      <alignment wrapText="1"/>
    </xf>
    <xf numFmtId="0" fontId="11" fillId="24" borderId="0" xfId="0" applyFont="1" applyFill="1" applyAlignment="1">
      <alignment wrapText="1"/>
    </xf>
    <xf numFmtId="0" fontId="13" fillId="24" borderId="0" xfId="0" applyFont="1" applyFill="1" applyAlignment="1">
      <alignment wrapText="1"/>
    </xf>
    <xf numFmtId="0" fontId="22" fillId="25" borderId="0" xfId="0" applyFont="1" applyFill="1" applyAlignment="1">
      <alignment wrapText="1"/>
    </xf>
    <xf numFmtId="0" fontId="11" fillId="25" borderId="0" xfId="0" applyFont="1" applyFill="1" applyAlignment="1">
      <alignment wrapText="1"/>
    </xf>
    <xf numFmtId="0" fontId="24" fillId="26" borderId="0" xfId="0" applyFont="1" applyFill="1" applyBorder="1" applyAlignment="1">
      <alignment wrapText="1"/>
    </xf>
    <xf numFmtId="0" fontId="11" fillId="26" borderId="0" xfId="0" applyFont="1" applyFill="1" applyBorder="1" applyAlignment="1">
      <alignment wrapText="1"/>
    </xf>
    <xf numFmtId="0" fontId="4" fillId="23" borderId="0" xfId="0" applyFont="1" applyFill="1" applyAlignment="1">
      <alignment wrapText="1"/>
    </xf>
    <xf numFmtId="0" fontId="9" fillId="23" borderId="0" xfId="0" applyFont="1" applyFill="1" applyAlignment="1">
      <alignment wrapText="1"/>
    </xf>
    <xf numFmtId="0" fontId="8" fillId="27" borderId="0" xfId="0" applyFont="1" applyFill="1" applyAlignment="1">
      <alignment wrapText="1"/>
    </xf>
    <xf numFmtId="0" fontId="4" fillId="27" borderId="0" xfId="0" applyFont="1" applyFill="1" applyAlignment="1">
      <alignment wrapText="1"/>
    </xf>
    <xf numFmtId="0" fontId="25" fillId="28" borderId="0" xfId="0" applyFont="1" applyFill="1" applyBorder="1" applyAlignment="1">
      <alignment wrapText="1"/>
    </xf>
    <xf numFmtId="0" fontId="4" fillId="28" borderId="0" xfId="0" applyFont="1" applyFill="1" applyBorder="1" applyAlignment="1">
      <alignment wrapText="1"/>
    </xf>
    <xf numFmtId="0" fontId="11" fillId="29" borderId="0" xfId="0" applyFont="1" applyFill="1" applyAlignment="1">
      <alignment wrapText="1"/>
    </xf>
    <xf numFmtId="0" fontId="13" fillId="29" borderId="0" xfId="0" applyFont="1" applyFill="1" applyAlignment="1">
      <alignment wrapText="1"/>
    </xf>
    <xf numFmtId="0" fontId="19" fillId="30" borderId="0" xfId="0" applyFont="1" applyFill="1" applyAlignment="1">
      <alignment wrapText="1"/>
    </xf>
    <xf numFmtId="0" fontId="11" fillId="30" borderId="0" xfId="0" applyFont="1" applyFill="1" applyAlignment="1">
      <alignment wrapText="1"/>
    </xf>
    <xf numFmtId="0" fontId="26" fillId="31" borderId="0" xfId="0" applyFont="1" applyFill="1" applyBorder="1" applyAlignment="1">
      <alignment wrapText="1"/>
    </xf>
    <xf numFmtId="0" fontId="11" fillId="31" borderId="0" xfId="0" applyFont="1" applyFill="1" applyBorder="1" applyAlignment="1">
      <alignment wrapText="1"/>
    </xf>
    <xf numFmtId="0" fontId="4" fillId="28" borderId="0" xfId="0" applyFont="1" applyFill="1" applyAlignment="1">
      <alignment wrapText="1"/>
    </xf>
    <xf numFmtId="0" fontId="9" fillId="28" borderId="0" xfId="0" applyFont="1" applyFill="1" applyAlignment="1">
      <alignment wrapText="1"/>
    </xf>
    <xf numFmtId="0" fontId="8" fillId="32" borderId="0" xfId="0" applyFont="1" applyFill="1" applyAlignment="1">
      <alignment wrapText="1"/>
    </xf>
    <xf numFmtId="0" fontId="4" fillId="32" borderId="0" xfId="0" applyFont="1" applyFill="1" applyAlignment="1">
      <alignment wrapText="1"/>
    </xf>
    <xf numFmtId="0" fontId="27" fillId="33" borderId="0" xfId="0" applyFont="1" applyFill="1" applyBorder="1" applyAlignment="1">
      <alignment wrapText="1"/>
    </xf>
    <xf numFmtId="0" fontId="4" fillId="33" borderId="0" xfId="0" applyFont="1" applyFill="1" applyBorder="1" applyAlignment="1">
      <alignment wrapText="1"/>
    </xf>
    <xf numFmtId="0" fontId="11" fillId="34" borderId="0" xfId="0" applyFont="1" applyFill="1" applyAlignment="1">
      <alignment wrapText="1"/>
    </xf>
    <xf numFmtId="0" fontId="13" fillId="34" borderId="0" xfId="0" applyFont="1" applyFill="1" applyAlignment="1">
      <alignment wrapText="1"/>
    </xf>
    <xf numFmtId="0" fontId="28" fillId="35" borderId="0" xfId="0" applyFont="1" applyFill="1" applyAlignment="1">
      <alignment wrapText="1"/>
    </xf>
    <xf numFmtId="0" fontId="11" fillId="35" borderId="0" xfId="0" applyFont="1" applyFill="1" applyAlignment="1">
      <alignment wrapText="1"/>
    </xf>
    <xf numFmtId="0" fontId="29" fillId="36" borderId="0" xfId="0" applyFont="1" applyFill="1" applyBorder="1" applyAlignment="1">
      <alignment wrapText="1"/>
    </xf>
    <xf numFmtId="0" fontId="11" fillId="36" borderId="0" xfId="0" applyFont="1" applyFill="1" applyBorder="1" applyAlignment="1">
      <alignment wrapText="1"/>
    </xf>
    <xf numFmtId="0" fontId="4" fillId="33" borderId="0" xfId="0" applyFont="1" applyFill="1" applyAlignment="1">
      <alignment wrapText="1"/>
    </xf>
    <xf numFmtId="0" fontId="9" fillId="33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30" fillId="37" borderId="0" xfId="0" applyFont="1" applyFill="1" applyBorder="1" applyAlignment="1">
      <alignment wrapText="1"/>
    </xf>
    <xf numFmtId="0" fontId="4" fillId="37" borderId="0" xfId="0" applyFont="1" applyFill="1" applyBorder="1" applyAlignment="1">
      <alignment wrapText="1"/>
    </xf>
    <xf numFmtId="0" fontId="11" fillId="38" borderId="0" xfId="0" applyFont="1" applyFill="1" applyAlignment="1">
      <alignment wrapText="1"/>
    </xf>
    <xf numFmtId="0" fontId="13" fillId="38" borderId="0" xfId="0" applyFont="1" applyFill="1" applyAlignment="1">
      <alignment wrapText="1"/>
    </xf>
    <xf numFmtId="0" fontId="31" fillId="38" borderId="0" xfId="0" applyFont="1" applyFill="1" applyAlignment="1">
      <alignment wrapText="1"/>
    </xf>
    <xf numFmtId="0" fontId="22" fillId="39" borderId="0" xfId="0" applyFont="1" applyFill="1" applyAlignment="1">
      <alignment wrapText="1"/>
    </xf>
    <xf numFmtId="0" fontId="11" fillId="39" borderId="0" xfId="0" applyFont="1" applyFill="1" applyAlignment="1">
      <alignment wrapText="1"/>
    </xf>
    <xf numFmtId="0" fontId="32" fillId="40" borderId="0" xfId="0" applyFont="1" applyFill="1" applyBorder="1" applyAlignment="1">
      <alignment wrapText="1"/>
    </xf>
    <xf numFmtId="0" fontId="11" fillId="40" borderId="0" xfId="0" applyFont="1" applyFill="1" applyBorder="1" applyAlignment="1">
      <alignment wrapText="1"/>
    </xf>
    <xf numFmtId="0" fontId="4" fillId="37" borderId="0" xfId="0" applyFont="1" applyFill="1" applyAlignment="1">
      <alignment wrapText="1"/>
    </xf>
    <xf numFmtId="0" fontId="9" fillId="37" borderId="0" xfId="0" applyFont="1" applyFill="1" applyAlignment="1">
      <alignment wrapText="1"/>
    </xf>
    <xf numFmtId="0" fontId="8" fillId="41" borderId="0" xfId="0" applyFont="1" applyFill="1" applyAlignment="1">
      <alignment wrapText="1"/>
    </xf>
    <xf numFmtId="0" fontId="4" fillId="41" borderId="0" xfId="0" applyFont="1" applyFill="1" applyAlignment="1">
      <alignment wrapText="1"/>
    </xf>
    <xf numFmtId="0" fontId="33" fillId="42" borderId="0" xfId="0" applyFont="1" applyFill="1"/>
    <xf numFmtId="0" fontId="0" fillId="42" borderId="0" xfId="0" applyFill="1"/>
    <xf numFmtId="0" fontId="11" fillId="43" borderId="0" xfId="0" applyFont="1" applyFill="1" applyAlignment="1">
      <alignment wrapText="1"/>
    </xf>
    <xf numFmtId="0" fontId="1" fillId="0" borderId="0" xfId="0" applyFont="1"/>
    <xf numFmtId="0" fontId="34" fillId="44" borderId="0" xfId="0" applyFont="1" applyFill="1"/>
    <xf numFmtId="0" fontId="0" fillId="44" borderId="0" xfId="0" applyFill="1"/>
    <xf numFmtId="0" fontId="6" fillId="45" borderId="0" xfId="0" applyFont="1" applyFill="1"/>
    <xf numFmtId="0" fontId="11" fillId="46" borderId="0" xfId="0" applyFont="1" applyFill="1" applyAlignment="1">
      <alignment wrapText="1"/>
    </xf>
    <xf numFmtId="0" fontId="6" fillId="46" borderId="0" xfId="0" applyFont="1" applyFill="1" applyAlignment="1">
      <alignment wrapText="1"/>
    </xf>
    <xf numFmtId="0" fontId="6" fillId="47" borderId="0" xfId="0" applyFont="1" applyFill="1"/>
    <xf numFmtId="0" fontId="0" fillId="47" borderId="0" xfId="0" applyFill="1"/>
    <xf numFmtId="0" fontId="35" fillId="47" borderId="0" xfId="0" applyFont="1" applyFill="1" applyAlignment="1">
      <alignment vertical="top" wrapText="1"/>
    </xf>
    <xf numFmtId="0" fontId="37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7" fillId="41" borderId="0" xfId="0" applyFont="1" applyFill="1" applyBorder="1" applyAlignment="1">
      <alignment wrapText="1"/>
    </xf>
    <xf numFmtId="0" fontId="6" fillId="41" borderId="0" xfId="0" applyFont="1" applyFill="1" applyBorder="1" applyAlignment="1">
      <alignment wrapText="1"/>
    </xf>
    <xf numFmtId="0" fontId="0" fillId="41" borderId="0" xfId="0" applyFill="1"/>
    <xf numFmtId="0" fontId="38" fillId="41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11" fillId="48" borderId="0" xfId="0" applyFont="1" applyFill="1" applyAlignment="1">
      <alignment wrapText="1"/>
    </xf>
    <xf numFmtId="0" fontId="11" fillId="49" borderId="0" xfId="0" applyFont="1" applyFill="1" applyAlignment="1">
      <alignment wrapText="1"/>
    </xf>
    <xf numFmtId="0" fontId="0" fillId="4" borderId="0" xfId="0" applyFill="1"/>
    <xf numFmtId="0" fontId="7" fillId="4" borderId="0" xfId="0" applyFont="1" applyFill="1"/>
    <xf numFmtId="0" fontId="41" fillId="0" borderId="0" xfId="0" applyFont="1"/>
    <xf numFmtId="0" fontId="43" fillId="0" borderId="0" xfId="0" applyFont="1"/>
    <xf numFmtId="0" fontId="44" fillId="0" borderId="0" xfId="0" applyFont="1"/>
    <xf numFmtId="0" fontId="39" fillId="43" borderId="0" xfId="0" applyFont="1" applyFill="1"/>
    <xf numFmtId="0" fontId="41" fillId="43" borderId="0" xfId="0" applyFont="1" applyFill="1"/>
    <xf numFmtId="0" fontId="43" fillId="43" borderId="0" xfId="0" applyFont="1" applyFill="1"/>
    <xf numFmtId="0" fontId="44" fillId="43" borderId="0" xfId="0" applyFont="1" applyFill="1"/>
    <xf numFmtId="0" fontId="46" fillId="43" borderId="0" xfId="0" applyFont="1" applyFill="1"/>
    <xf numFmtId="0" fontId="1" fillId="43" borderId="0" xfId="0" applyFont="1" applyFill="1"/>
    <xf numFmtId="0" fontId="0" fillId="43" borderId="0" xfId="0" applyFill="1"/>
    <xf numFmtId="0" fontId="11" fillId="48" borderId="2" xfId="0" applyFont="1" applyFill="1" applyBorder="1" applyAlignment="1">
      <alignment wrapText="1"/>
    </xf>
    <xf numFmtId="0" fontId="11" fillId="49" borderId="2" xfId="0" applyFont="1" applyFill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9" fillId="48" borderId="7" xfId="0" applyFont="1" applyFill="1" applyBorder="1" applyAlignment="1">
      <alignment wrapText="1"/>
    </xf>
    <xf numFmtId="0" fontId="40" fillId="48" borderId="8" xfId="0" applyFont="1" applyFill="1" applyBorder="1" applyAlignment="1">
      <alignment wrapText="1"/>
    </xf>
    <xf numFmtId="0" fontId="11" fillId="48" borderId="8" xfId="0" applyFont="1" applyFill="1" applyBorder="1" applyAlignment="1">
      <alignment wrapText="1"/>
    </xf>
    <xf numFmtId="0" fontId="11" fillId="48" borderId="9" xfId="0" applyFont="1" applyFill="1" applyBorder="1" applyAlignment="1">
      <alignment wrapText="1"/>
    </xf>
    <xf numFmtId="0" fontId="39" fillId="49" borderId="7" xfId="0" applyFont="1" applyFill="1" applyBorder="1" applyAlignment="1">
      <alignment wrapText="1"/>
    </xf>
    <xf numFmtId="0" fontId="40" fillId="49" borderId="8" xfId="0" applyFont="1" applyFill="1" applyBorder="1" applyAlignment="1">
      <alignment wrapText="1"/>
    </xf>
    <xf numFmtId="0" fontId="11" fillId="49" borderId="8" xfId="0" applyFont="1" applyFill="1" applyBorder="1" applyAlignment="1">
      <alignment wrapText="1"/>
    </xf>
    <xf numFmtId="0" fontId="11" fillId="49" borderId="9" xfId="0" applyFont="1" applyFill="1" applyBorder="1" applyAlignment="1">
      <alignment wrapText="1"/>
    </xf>
    <xf numFmtId="0" fontId="41" fillId="48" borderId="7" xfId="0" applyFont="1" applyFill="1" applyBorder="1" applyAlignment="1">
      <alignment wrapText="1"/>
    </xf>
    <xf numFmtId="0" fontId="42" fillId="48" borderId="8" xfId="0" applyFont="1" applyFill="1" applyBorder="1" applyAlignment="1">
      <alignment wrapText="1"/>
    </xf>
    <xf numFmtId="0" fontId="41" fillId="49" borderId="7" xfId="0" applyFont="1" applyFill="1" applyBorder="1" applyAlignment="1">
      <alignment wrapText="1"/>
    </xf>
    <xf numFmtId="0" fontId="42" fillId="49" borderId="8" xfId="0" applyFont="1" applyFill="1" applyBorder="1" applyAlignment="1">
      <alignment wrapText="1"/>
    </xf>
    <xf numFmtId="0" fontId="43" fillId="48" borderId="7" xfId="0" applyFont="1" applyFill="1" applyBorder="1" applyAlignment="1">
      <alignment wrapText="1"/>
    </xf>
    <xf numFmtId="0" fontId="17" fillId="48" borderId="8" xfId="0" applyFont="1" applyFill="1" applyBorder="1" applyAlignment="1">
      <alignment wrapText="1"/>
    </xf>
    <xf numFmtId="0" fontId="43" fillId="49" borderId="7" xfId="0" applyFont="1" applyFill="1" applyBorder="1" applyAlignment="1">
      <alignment wrapText="1"/>
    </xf>
    <xf numFmtId="0" fontId="17" fillId="49" borderId="8" xfId="0" applyFont="1" applyFill="1" applyBorder="1" applyAlignment="1">
      <alignment wrapText="1"/>
    </xf>
    <xf numFmtId="0" fontId="44" fillId="48" borderId="7" xfId="0" applyFont="1" applyFill="1" applyBorder="1" applyAlignment="1">
      <alignment wrapText="1"/>
    </xf>
    <xf numFmtId="0" fontId="45" fillId="48" borderId="8" xfId="0" applyFont="1" applyFill="1" applyBorder="1" applyAlignment="1">
      <alignment wrapText="1"/>
    </xf>
    <xf numFmtId="0" fontId="44" fillId="49" borderId="7" xfId="0" applyFont="1" applyFill="1" applyBorder="1" applyAlignment="1">
      <alignment wrapText="1"/>
    </xf>
    <xf numFmtId="0" fontId="45" fillId="49" borderId="8" xfId="0" applyFont="1" applyFill="1" applyBorder="1" applyAlignment="1">
      <alignment wrapText="1"/>
    </xf>
    <xf numFmtId="0" fontId="46" fillId="48" borderId="7" xfId="0" applyFont="1" applyFill="1" applyBorder="1" applyAlignment="1">
      <alignment wrapText="1"/>
    </xf>
    <xf numFmtId="0" fontId="47" fillId="48" borderId="8" xfId="0" applyFont="1" applyFill="1" applyBorder="1" applyAlignment="1">
      <alignment wrapText="1"/>
    </xf>
    <xf numFmtId="0" fontId="46" fillId="49" borderId="7" xfId="0" applyFont="1" applyFill="1" applyBorder="1" applyAlignment="1">
      <alignment wrapText="1"/>
    </xf>
    <xf numFmtId="0" fontId="47" fillId="49" borderId="8" xfId="0" applyFont="1" applyFill="1" applyBorder="1" applyAlignment="1">
      <alignment wrapText="1"/>
    </xf>
    <xf numFmtId="0" fontId="46" fillId="49" borderId="10" xfId="0" applyFont="1" applyFill="1" applyBorder="1" applyAlignment="1">
      <alignment wrapText="1"/>
    </xf>
    <xf numFmtId="0" fontId="47" fillId="49" borderId="11" xfId="0" applyFont="1" applyFill="1" applyBorder="1" applyAlignment="1">
      <alignment wrapText="1"/>
    </xf>
    <xf numFmtId="0" fontId="11" fillId="49" borderId="11" xfId="0" applyFont="1" applyFill="1" applyBorder="1" applyAlignment="1">
      <alignment wrapText="1"/>
    </xf>
    <xf numFmtId="0" fontId="11" fillId="49" borderId="12" xfId="0" applyFont="1" applyFill="1" applyBorder="1" applyAlignment="1">
      <alignment wrapText="1"/>
    </xf>
    <xf numFmtId="0" fontId="48" fillId="2" borderId="0" xfId="0" applyFont="1" applyFill="1" applyAlignment="1">
      <alignment horizontal="center"/>
    </xf>
    <xf numFmtId="0" fontId="49" fillId="41" borderId="0" xfId="0" applyFont="1" applyFill="1"/>
    <xf numFmtId="0" fontId="49" fillId="41" borderId="0" xfId="0" applyFont="1" applyFill="1" applyAlignment="1">
      <alignment horizontal="center"/>
    </xf>
    <xf numFmtId="0" fontId="37" fillId="41" borderId="0" xfId="0" applyFont="1" applyFill="1"/>
    <xf numFmtId="0" fontId="7" fillId="50" borderId="0" xfId="0" applyFont="1" applyFill="1"/>
    <xf numFmtId="0" fontId="6" fillId="48" borderId="0" xfId="0" applyFont="1" applyFill="1" applyAlignment="1">
      <alignment wrapText="1"/>
    </xf>
    <xf numFmtId="0" fontId="6" fillId="49" borderId="0" xfId="0" applyFont="1" applyFill="1" applyAlignment="1">
      <alignment wrapText="1"/>
    </xf>
    <xf numFmtId="0" fontId="24" fillId="48" borderId="0" xfId="0" applyFont="1" applyFill="1" applyAlignment="1">
      <alignment wrapText="1"/>
    </xf>
    <xf numFmtId="0" fontId="18" fillId="49" borderId="0" xfId="0" applyFont="1" applyFill="1" applyAlignment="1">
      <alignment wrapText="1"/>
    </xf>
    <xf numFmtId="0" fontId="51" fillId="48" borderId="0" xfId="0" applyFont="1" applyFill="1" applyAlignment="1">
      <alignment wrapText="1"/>
    </xf>
    <xf numFmtId="0" fontId="26" fillId="49" borderId="0" xfId="0" applyFont="1" applyFill="1" applyAlignment="1">
      <alignment wrapText="1"/>
    </xf>
    <xf numFmtId="0" fontId="20" fillId="48" borderId="0" xfId="0" applyFont="1" applyFill="1" applyAlignment="1">
      <alignment wrapText="1"/>
    </xf>
    <xf numFmtId="0" fontId="29" fillId="49" borderId="0" xfId="0" applyFont="1" applyFill="1" applyAlignment="1">
      <alignment wrapText="1"/>
    </xf>
    <xf numFmtId="0" fontId="7" fillId="50" borderId="1" xfId="0" applyFont="1" applyFill="1" applyBorder="1"/>
    <xf numFmtId="0" fontId="24" fillId="48" borderId="2" xfId="0" applyFont="1" applyFill="1" applyBorder="1" applyAlignment="1">
      <alignment wrapText="1"/>
    </xf>
    <xf numFmtId="0" fontId="18" fillId="49" borderId="2" xfId="0" applyFont="1" applyFill="1" applyBorder="1" applyAlignment="1">
      <alignment wrapText="1"/>
    </xf>
    <xf numFmtId="0" fontId="51" fillId="48" borderId="2" xfId="0" applyFont="1" applyFill="1" applyBorder="1" applyAlignment="1">
      <alignment wrapText="1"/>
    </xf>
    <xf numFmtId="0" fontId="26" fillId="49" borderId="2" xfId="0" applyFont="1" applyFill="1" applyBorder="1" applyAlignment="1">
      <alignment wrapText="1"/>
    </xf>
    <xf numFmtId="0" fontId="20" fillId="48" borderId="2" xfId="0" applyFont="1" applyFill="1" applyBorder="1" applyAlignment="1">
      <alignment wrapText="1"/>
    </xf>
    <xf numFmtId="0" fontId="29" fillId="49" borderId="2" xfId="0" applyFont="1" applyFill="1" applyBorder="1" applyAlignment="1">
      <alignment wrapText="1"/>
    </xf>
    <xf numFmtId="0" fontId="52" fillId="22" borderId="0" xfId="0" applyFont="1" applyFill="1"/>
    <xf numFmtId="0" fontId="0" fillId="22" borderId="0" xfId="0" applyFill="1"/>
    <xf numFmtId="0" fontId="1" fillId="26" borderId="0" xfId="0" applyFont="1" applyFill="1"/>
    <xf numFmtId="0" fontId="52" fillId="17" borderId="0" xfId="0" applyFont="1" applyFill="1"/>
    <xf numFmtId="0" fontId="1" fillId="21" borderId="0" xfId="0" applyFont="1" applyFill="1"/>
    <xf numFmtId="0" fontId="52" fillId="51" borderId="0" xfId="0" applyFont="1" applyFill="1"/>
    <xf numFmtId="0" fontId="1" fillId="52" borderId="0" xfId="0" applyFont="1" applyFill="1"/>
    <xf numFmtId="0" fontId="52" fillId="27" borderId="0" xfId="0" applyFont="1" applyFill="1"/>
    <xf numFmtId="0" fontId="1" fillId="31" borderId="0" xfId="0" applyFont="1" applyFill="1"/>
    <xf numFmtId="0" fontId="52" fillId="12" borderId="0" xfId="0" applyFont="1" applyFill="1"/>
    <xf numFmtId="0" fontId="1" fillId="16" borderId="0" xfId="0" applyFont="1" applyFill="1"/>
    <xf numFmtId="0" fontId="52" fillId="32" borderId="0" xfId="0" applyFont="1" applyFill="1"/>
    <xf numFmtId="0" fontId="1" fillId="36" borderId="0" xfId="0" applyFont="1" applyFill="1"/>
    <xf numFmtId="0" fontId="20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37" fillId="41" borderId="0" xfId="0" applyFont="1" applyFill="1" applyAlignment="1">
      <alignment wrapText="1"/>
    </xf>
    <xf numFmtId="0" fontId="11" fillId="41" borderId="0" xfId="0" applyFont="1" applyFill="1" applyAlignment="1">
      <alignment wrapText="1"/>
    </xf>
    <xf numFmtId="0" fontId="51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53" fillId="0" borderId="0" xfId="0" applyFont="1" applyAlignment="1">
      <alignment wrapText="1"/>
    </xf>
    <xf numFmtId="0" fontId="11" fillId="16" borderId="0" xfId="0" applyFont="1" applyFill="1" applyAlignment="1">
      <alignment wrapText="1"/>
    </xf>
    <xf numFmtId="0" fontId="11" fillId="52" borderId="0" xfId="0" applyFont="1" applyFill="1" applyAlignment="1">
      <alignment wrapText="1"/>
    </xf>
    <xf numFmtId="0" fontId="11" fillId="53" borderId="0" xfId="0" applyFont="1" applyFill="1" applyAlignment="1">
      <alignment wrapText="1"/>
    </xf>
    <xf numFmtId="0" fontId="11" fillId="54" borderId="0" xfId="0" applyFont="1" applyFill="1" applyAlignment="1">
      <alignment wrapText="1"/>
    </xf>
    <xf numFmtId="0" fontId="11" fillId="55" borderId="0" xfId="0" applyFont="1" applyFill="1" applyAlignment="1">
      <alignment wrapText="1"/>
    </xf>
    <xf numFmtId="0" fontId="54" fillId="0" borderId="0" xfId="0" applyFont="1"/>
    <xf numFmtId="0" fontId="1" fillId="44" borderId="0" xfId="0" applyFont="1" applyFill="1"/>
    <xf numFmtId="0" fontId="0" fillId="0" borderId="0" xfId="0" applyFont="1"/>
    <xf numFmtId="0" fontId="0" fillId="0" borderId="0" xfId="0" applyFont="1" applyAlignment="1">
      <alignment horizontal="center"/>
    </xf>
    <xf numFmtId="0" fontId="55" fillId="0" borderId="0" xfId="0" applyFont="1"/>
    <xf numFmtId="0" fontId="37" fillId="8" borderId="0" xfId="0" applyFont="1" applyFill="1"/>
    <xf numFmtId="0" fontId="6" fillId="52" borderId="0" xfId="0" applyFont="1" applyFill="1"/>
    <xf numFmtId="0" fontId="6" fillId="48" borderId="0" xfId="0" applyFont="1" applyFill="1" applyAlignment="1">
      <alignment horizontal="center" wrapText="1"/>
    </xf>
    <xf numFmtId="16" fontId="11" fillId="48" borderId="0" xfId="0" applyNumberFormat="1" applyFont="1" applyFill="1" applyAlignment="1">
      <alignment horizontal="center" wrapText="1"/>
    </xf>
    <xf numFmtId="0" fontId="6" fillId="49" borderId="0" xfId="0" applyFont="1" applyFill="1" applyAlignment="1">
      <alignment horizontal="center" wrapText="1"/>
    </xf>
    <xf numFmtId="16" fontId="11" fillId="49" borderId="0" xfId="0" applyNumberFormat="1" applyFont="1" applyFill="1" applyAlignment="1">
      <alignment horizontal="center" wrapText="1"/>
    </xf>
    <xf numFmtId="0" fontId="36" fillId="0" borderId="0" xfId="0" applyFont="1"/>
    <xf numFmtId="0" fontId="36" fillId="47" borderId="0" xfId="0" applyFont="1" applyFill="1"/>
    <xf numFmtId="0" fontId="56" fillId="47" borderId="0" xfId="0" applyFont="1" applyFill="1" applyAlignment="1">
      <alignment horizontal="center"/>
    </xf>
    <xf numFmtId="0" fontId="57" fillId="0" borderId="0" xfId="0" applyFont="1"/>
    <xf numFmtId="0" fontId="58" fillId="0" borderId="0" xfId="0" applyFont="1"/>
    <xf numFmtId="0" fontId="60" fillId="56" borderId="0" xfId="0" applyFont="1" applyFill="1"/>
    <xf numFmtId="0" fontId="15" fillId="9" borderId="0" xfId="0" applyFont="1" applyFill="1"/>
    <xf numFmtId="0" fontId="11" fillId="9" borderId="0" xfId="0" applyFont="1" applyFill="1"/>
    <xf numFmtId="0" fontId="59" fillId="9" borderId="0" xfId="0" applyFont="1" applyFill="1"/>
    <xf numFmtId="0" fontId="61" fillId="9" borderId="0" xfId="0" applyFont="1" applyFill="1"/>
    <xf numFmtId="0" fontId="15" fillId="10" borderId="0" xfId="0" applyFont="1" applyFill="1"/>
    <xf numFmtId="0" fontId="11" fillId="10" borderId="0" xfId="0" applyFont="1" applyFill="1"/>
    <xf numFmtId="0" fontId="59" fillId="10" borderId="0" xfId="0" applyFont="1" applyFill="1"/>
    <xf numFmtId="0" fontId="61" fillId="10" borderId="0" xfId="0" applyFont="1" applyFill="1"/>
    <xf numFmtId="0" fontId="0" fillId="57" borderId="0" xfId="0" applyFill="1"/>
    <xf numFmtId="0" fontId="20" fillId="13" borderId="0" xfId="0" applyFont="1" applyFill="1"/>
    <xf numFmtId="0" fontId="11" fillId="13" borderId="0" xfId="0" applyFont="1" applyFill="1"/>
    <xf numFmtId="0" fontId="59" fillId="13" borderId="0" xfId="0" applyFont="1" applyFill="1"/>
    <xf numFmtId="0" fontId="61" fillId="13" borderId="0" xfId="0" applyFont="1" applyFill="1"/>
    <xf numFmtId="0" fontId="20" fillId="14" borderId="0" xfId="0" applyFont="1" applyFill="1"/>
    <xf numFmtId="0" fontId="11" fillId="14" borderId="0" xfId="0" applyFont="1" applyFill="1"/>
    <xf numFmtId="0" fontId="59" fillId="14" borderId="0" xfId="0" applyFont="1" applyFill="1"/>
    <xf numFmtId="0" fontId="61" fillId="14" borderId="0" xfId="0" applyFont="1" applyFill="1"/>
    <xf numFmtId="0" fontId="18" fillId="18" borderId="0" xfId="0" applyFont="1" applyFill="1"/>
    <xf numFmtId="0" fontId="11" fillId="18" borderId="0" xfId="0" applyFont="1" applyFill="1"/>
    <xf numFmtId="0" fontId="59" fillId="18" borderId="0" xfId="0" applyFont="1" applyFill="1"/>
    <xf numFmtId="0" fontId="61" fillId="18" borderId="0" xfId="0" applyFont="1" applyFill="1"/>
    <xf numFmtId="0" fontId="18" fillId="19" borderId="0" xfId="0" applyFont="1" applyFill="1"/>
    <xf numFmtId="0" fontId="11" fillId="19" borderId="0" xfId="0" applyFont="1" applyFill="1"/>
    <xf numFmtId="0" fontId="59" fillId="19" borderId="0" xfId="0" applyFont="1" applyFill="1"/>
    <xf numFmtId="0" fontId="61" fillId="19" borderId="0" xfId="0" applyFont="1" applyFill="1"/>
    <xf numFmtId="0" fontId="24" fillId="23" borderId="0" xfId="0" applyFont="1" applyFill="1"/>
    <xf numFmtId="0" fontId="11" fillId="23" borderId="0" xfId="0" applyFont="1" applyFill="1"/>
    <xf numFmtId="0" fontId="59" fillId="23" borderId="0" xfId="0" applyFont="1" applyFill="1"/>
    <xf numFmtId="0" fontId="61" fillId="23" borderId="0" xfId="0" applyFont="1" applyFill="1"/>
    <xf numFmtId="0" fontId="24" fillId="58" borderId="0" xfId="0" applyFont="1" applyFill="1"/>
    <xf numFmtId="0" fontId="11" fillId="58" borderId="0" xfId="0" applyFont="1" applyFill="1"/>
    <xf numFmtId="0" fontId="59" fillId="58" borderId="0" xfId="0" applyFont="1" applyFill="1"/>
    <xf numFmtId="0" fontId="61" fillId="58" borderId="0" xfId="0" applyFont="1" applyFill="1"/>
    <xf numFmtId="0" fontId="26" fillId="28" borderId="0" xfId="0" applyFont="1" applyFill="1"/>
    <xf numFmtId="0" fontId="11" fillId="28" borderId="0" xfId="0" applyFont="1" applyFill="1"/>
    <xf numFmtId="0" fontId="59" fillId="28" borderId="0" xfId="0" applyFont="1" applyFill="1"/>
    <xf numFmtId="0" fontId="61" fillId="28" borderId="0" xfId="0" applyFont="1" applyFill="1"/>
    <xf numFmtId="0" fontId="26" fillId="59" borderId="0" xfId="0" applyFont="1" applyFill="1"/>
    <xf numFmtId="0" fontId="11" fillId="59" borderId="0" xfId="0" applyFont="1" applyFill="1"/>
    <xf numFmtId="0" fontId="59" fillId="59" borderId="0" xfId="0" applyFont="1" applyFill="1"/>
    <xf numFmtId="0" fontId="61" fillId="59" borderId="0" xfId="0" applyFont="1" applyFill="1"/>
    <xf numFmtId="0" fontId="62" fillId="37" borderId="0" xfId="0" applyFont="1" applyFill="1"/>
    <xf numFmtId="0" fontId="11" fillId="37" borderId="0" xfId="0" applyFont="1" applyFill="1"/>
    <xf numFmtId="0" fontId="59" fillId="37" borderId="0" xfId="0" applyFont="1" applyFill="1"/>
    <xf numFmtId="0" fontId="61" fillId="37" borderId="0" xfId="0" applyFont="1" applyFill="1"/>
    <xf numFmtId="0" fontId="62" fillId="60" borderId="0" xfId="0" applyFont="1" applyFill="1"/>
    <xf numFmtId="0" fontId="11" fillId="60" borderId="0" xfId="0" applyFont="1" applyFill="1"/>
    <xf numFmtId="0" fontId="59" fillId="60" borderId="0" xfId="0" applyFont="1" applyFill="1"/>
    <xf numFmtId="0" fontId="61" fillId="60" borderId="0" xfId="0" applyFont="1" applyFill="1"/>
    <xf numFmtId="0" fontId="63" fillId="43" borderId="0" xfId="0" applyFont="1" applyFill="1"/>
    <xf numFmtId="0" fontId="11" fillId="43" borderId="0" xfId="0" applyFont="1" applyFill="1"/>
    <xf numFmtId="0" fontId="59" fillId="43" borderId="0" xfId="0" applyFont="1" applyFill="1"/>
    <xf numFmtId="0" fontId="61" fillId="43" borderId="0" xfId="0" applyFont="1" applyFill="1"/>
    <xf numFmtId="0" fontId="63" fillId="61" borderId="0" xfId="0" applyFont="1" applyFill="1"/>
    <xf numFmtId="0" fontId="11" fillId="61" borderId="0" xfId="0" applyFont="1" applyFill="1"/>
    <xf numFmtId="0" fontId="59" fillId="61" borderId="0" xfId="0" applyFont="1" applyFill="1"/>
    <xf numFmtId="0" fontId="61" fillId="61" borderId="0" xfId="0" applyFont="1" applyFill="1"/>
    <xf numFmtId="0" fontId="52" fillId="41" borderId="0" xfId="0" applyFont="1" applyFill="1"/>
    <xf numFmtId="0" fontId="64" fillId="48" borderId="0" xfId="0" applyFont="1" applyFill="1"/>
    <xf numFmtId="0" fontId="65" fillId="48" borderId="0" xfId="0" applyFont="1" applyFill="1"/>
    <xf numFmtId="0" fontId="66" fillId="2" borderId="0" xfId="0" applyFont="1" applyFill="1"/>
    <xf numFmtId="0" fontId="66" fillId="2" borderId="0" xfId="0" applyFont="1" applyFill="1" applyAlignment="1">
      <alignment horizontal="center"/>
    </xf>
    <xf numFmtId="0" fontId="7" fillId="8" borderId="0" xfId="0" applyFont="1" applyFill="1" applyAlignment="1">
      <alignment horizontal="center" wrapText="1"/>
    </xf>
    <xf numFmtId="0" fontId="7" fillId="12" borderId="0" xfId="0" applyFont="1" applyFill="1" applyAlignment="1">
      <alignment horizontal="center" wrapText="1"/>
    </xf>
    <xf numFmtId="0" fontId="7" fillId="17" borderId="0" xfId="0" applyFont="1" applyFill="1" applyAlignment="1">
      <alignment horizontal="center" wrapText="1"/>
    </xf>
    <xf numFmtId="0" fontId="7" fillId="22" borderId="0" xfId="0" applyFont="1" applyFill="1" applyAlignment="1">
      <alignment horizontal="center" wrapText="1"/>
    </xf>
    <xf numFmtId="0" fontId="7" fillId="27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59" fillId="27" borderId="0" xfId="0" applyFont="1" applyFill="1"/>
    <xf numFmtId="0" fontId="7" fillId="2" borderId="0" xfId="0" applyFont="1" applyFill="1" applyAlignment="1">
      <alignment horizontal="center" wrapText="1"/>
    </xf>
    <xf numFmtId="0" fontId="0" fillId="2" borderId="0" xfId="0" applyFill="1"/>
    <xf numFmtId="0" fontId="67" fillId="2" borderId="0" xfId="0" applyFont="1" applyFill="1" applyAlignment="1">
      <alignment horizontal="left"/>
    </xf>
    <xf numFmtId="0" fontId="68" fillId="2" borderId="0" xfId="0" applyFont="1" applyFill="1"/>
    <xf numFmtId="0" fontId="69" fillId="2" borderId="0" xfId="0" applyFont="1" applyFill="1"/>
    <xf numFmtId="0" fontId="69" fillId="2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70" fillId="6" borderId="0" xfId="0" applyFont="1" applyFill="1"/>
    <xf numFmtId="0" fontId="36" fillId="62" borderId="13" xfId="0" applyFont="1" applyFill="1" applyBorder="1"/>
    <xf numFmtId="0" fontId="0" fillId="8" borderId="0" xfId="0" applyFill="1"/>
    <xf numFmtId="0" fontId="0" fillId="9" borderId="0" xfId="0" applyFill="1"/>
    <xf numFmtId="0" fontId="71" fillId="0" borderId="0" xfId="0" applyFont="1"/>
    <xf numFmtId="0" fontId="50" fillId="62" borderId="0" xfId="0" applyFont="1" applyFill="1" applyBorder="1"/>
    <xf numFmtId="0" fontId="0" fillId="62" borderId="14" xfId="0" applyFont="1" applyFill="1" applyBorder="1"/>
    <xf numFmtId="0" fontId="0" fillId="62" borderId="16" xfId="0" applyFont="1" applyFill="1" applyBorder="1"/>
    <xf numFmtId="0" fontId="0" fillId="62" borderId="16" xfId="0" applyFont="1" applyFill="1" applyBorder="1" applyAlignment="1">
      <alignment wrapText="1"/>
    </xf>
    <xf numFmtId="0" fontId="11" fillId="62" borderId="15" xfId="0" applyFont="1" applyFill="1" applyBorder="1"/>
    <xf numFmtId="0" fontId="4" fillId="8" borderId="0" xfId="0" applyFont="1" applyFill="1"/>
    <xf numFmtId="0" fontId="0" fillId="12" borderId="0" xfId="0" applyFill="1"/>
    <xf numFmtId="0" fontId="8" fillId="12" borderId="0" xfId="0" applyFont="1" applyFill="1"/>
    <xf numFmtId="0" fontId="0" fillId="12" borderId="0" xfId="0" applyFill="1"/>
    <xf numFmtId="0" fontId="0" fillId="13" borderId="0" xfId="0" applyFill="1"/>
    <xf numFmtId="0" fontId="16" fillId="13" borderId="0" xfId="0" applyFont="1" applyFill="1"/>
    <xf numFmtId="0" fontId="0" fillId="13" borderId="0" xfId="0" applyFill="1"/>
    <xf numFmtId="0" fontId="0" fillId="62" borderId="0" xfId="0" applyFill="1" applyBorder="1"/>
    <xf numFmtId="0" fontId="0" fillId="62" borderId="17" xfId="0" applyFill="1" applyBorder="1"/>
    <xf numFmtId="0" fontId="0" fillId="62" borderId="18" xfId="0" applyFill="1" applyBorder="1"/>
    <xf numFmtId="0" fontId="4" fillId="12" borderId="0" xfId="0" applyFont="1" applyFill="1"/>
    <xf numFmtId="0" fontId="0" fillId="17" borderId="0" xfId="0" applyFill="1"/>
    <xf numFmtId="0" fontId="8" fillId="17" borderId="0" xfId="0" applyFont="1" applyFill="1"/>
    <xf numFmtId="0" fontId="0" fillId="17" borderId="0" xfId="0" applyFill="1"/>
    <xf numFmtId="0" fontId="0" fillId="18" borderId="0" xfId="0" applyFill="1"/>
    <xf numFmtId="0" fontId="21" fillId="18" borderId="0" xfId="0" applyFont="1" applyFill="1"/>
    <xf numFmtId="0" fontId="0" fillId="18" borderId="0" xfId="0" applyFill="1"/>
    <xf numFmtId="0" fontId="0" fillId="62" borderId="0" xfId="0" applyFont="1" applyFill="1" applyBorder="1" applyAlignment="1">
      <alignment wrapText="1"/>
    </xf>
    <xf numFmtId="0" fontId="0" fillId="62" borderId="19" xfId="0" applyFill="1" applyBorder="1"/>
    <xf numFmtId="0" fontId="0" fillId="62" borderId="20" xfId="0" applyFill="1" applyBorder="1"/>
    <xf numFmtId="0" fontId="11" fillId="62" borderId="19" xfId="0" applyFont="1" applyFill="1" applyBorder="1" applyAlignment="1">
      <alignment wrapText="1"/>
    </xf>
    <xf numFmtId="0" fontId="72" fillId="0" borderId="0" xfId="0" applyFont="1"/>
    <xf numFmtId="0" fontId="4" fillId="17" borderId="0" xfId="0" applyFont="1" applyFill="1"/>
    <xf numFmtId="0" fontId="0" fillId="22" borderId="0" xfId="0" applyFill="1"/>
    <xf numFmtId="0" fontId="8" fillId="22" borderId="0" xfId="0" applyFont="1" applyFill="1"/>
    <xf numFmtId="0" fontId="0" fillId="23" borderId="0" xfId="0" applyFill="1"/>
    <xf numFmtId="0" fontId="23" fillId="23" borderId="0" xfId="0" applyFont="1" applyFill="1"/>
    <xf numFmtId="0" fontId="0" fillId="23" borderId="0" xfId="0" applyFill="1"/>
    <xf numFmtId="0" fontId="0" fillId="62" borderId="21" xfId="0" applyFill="1" applyBorder="1"/>
    <xf numFmtId="0" fontId="0" fillId="62" borderId="22" xfId="0" applyFill="1" applyBorder="1"/>
    <xf numFmtId="0" fontId="0" fillId="62" borderId="21" xfId="0" applyFill="1" applyBorder="1" applyAlignment="1">
      <alignment wrapText="1"/>
    </xf>
    <xf numFmtId="0" fontId="0" fillId="62" borderId="22" xfId="0" applyFill="1" applyBorder="1" applyAlignment="1">
      <alignment wrapText="1"/>
    </xf>
    <xf numFmtId="0" fontId="4" fillId="22" borderId="0" xfId="0" applyFont="1" applyFill="1"/>
    <xf numFmtId="0" fontId="0" fillId="27" borderId="0" xfId="0" applyFill="1"/>
    <xf numFmtId="0" fontId="8" fillId="27" borderId="0" xfId="0" applyFont="1" applyFill="1"/>
    <xf numFmtId="0" fontId="0" fillId="27" borderId="0" xfId="0" applyFill="1"/>
    <xf numFmtId="0" fontId="0" fillId="28" borderId="0" xfId="0" applyFill="1"/>
    <xf numFmtId="0" fontId="25" fillId="28" borderId="0" xfId="0" applyFont="1" applyFill="1"/>
    <xf numFmtId="0" fontId="0" fillId="28" borderId="0" xfId="0" applyFill="1"/>
    <xf numFmtId="0" fontId="0" fillId="62" borderId="0" xfId="0" applyFill="1" applyBorder="1" applyAlignment="1">
      <alignment wrapText="1"/>
    </xf>
    <xf numFmtId="0" fontId="0" fillId="62" borderId="24" xfId="0" applyFill="1" applyBorder="1" applyAlignment="1">
      <alignment wrapText="1"/>
    </xf>
    <xf numFmtId="0" fontId="0" fillId="62" borderId="23" xfId="0" applyFill="1" applyBorder="1"/>
    <xf numFmtId="0" fontId="0" fillId="62" borderId="24" xfId="0" applyFill="1" applyBorder="1"/>
    <xf numFmtId="0" fontId="4" fillId="27" borderId="0" xfId="0" applyFont="1" applyFill="1"/>
    <xf numFmtId="0" fontId="0" fillId="32" borderId="0" xfId="0" applyFill="1"/>
    <xf numFmtId="0" fontId="8" fillId="32" borderId="0" xfId="0" applyFont="1" applyFill="1"/>
    <xf numFmtId="0" fontId="0" fillId="32" borderId="0" xfId="0" applyFill="1"/>
    <xf numFmtId="0" fontId="0" fillId="33" borderId="0" xfId="0" applyFill="1"/>
    <xf numFmtId="0" fontId="27" fillId="33" borderId="0" xfId="0" applyFont="1" applyFill="1"/>
    <xf numFmtId="0" fontId="0" fillId="33" borderId="0" xfId="0" applyFill="1"/>
    <xf numFmtId="0" fontId="0" fillId="62" borderId="26" xfId="0" applyFill="1" applyBorder="1" applyAlignment="1">
      <alignment wrapText="1"/>
    </xf>
    <xf numFmtId="0" fontId="0" fillId="62" borderId="25" xfId="0" applyFill="1" applyBorder="1"/>
    <xf numFmtId="0" fontId="4" fillId="32" borderId="0" xfId="0" applyFont="1" applyFill="1"/>
    <xf numFmtId="0" fontId="8" fillId="2" borderId="0" xfId="0" applyFont="1" applyFill="1"/>
    <xf numFmtId="0" fontId="6" fillId="2" borderId="0" xfId="0" applyFont="1" applyFill="1"/>
    <xf numFmtId="0" fontId="0" fillId="37" borderId="0" xfId="0" applyFill="1"/>
    <xf numFmtId="0" fontId="30" fillId="37" borderId="0" xfId="0" applyFont="1" applyFill="1"/>
    <xf numFmtId="0" fontId="0" fillId="37" borderId="0" xfId="0" applyFill="1"/>
    <xf numFmtId="0" fontId="73" fillId="0" borderId="0" xfId="0" applyFont="1"/>
    <xf numFmtId="0" fontId="0" fillId="62" borderId="27" xfId="0" applyFill="1" applyBorder="1"/>
    <xf numFmtId="0" fontId="0" fillId="62" borderId="28" xfId="0" applyFill="1" applyBorder="1" applyAlignment="1">
      <alignment wrapText="1"/>
    </xf>
    <xf numFmtId="0" fontId="0" fillId="62" borderId="28" xfId="0" applyFill="1" applyBorder="1"/>
    <xf numFmtId="0" fontId="0" fillId="62" borderId="29" xfId="0" applyFill="1" applyBorder="1"/>
    <xf numFmtId="0" fontId="4" fillId="2" borderId="0" xfId="0" applyFont="1" applyFill="1"/>
    <xf numFmtId="0" fontId="0" fillId="41" borderId="0" xfId="0" applyFill="1"/>
    <xf numFmtId="0" fontId="74" fillId="41" borderId="0" xfId="0" applyFont="1" applyFill="1"/>
    <xf numFmtId="0" fontId="1" fillId="41" borderId="0" xfId="0" applyFont="1" applyFill="1"/>
    <xf numFmtId="0" fontId="33" fillId="41" borderId="0" xfId="0" applyFont="1" applyFill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0" fillId="47" borderId="0" xfId="0" applyFill="1"/>
    <xf numFmtId="0" fontId="79" fillId="47" borderId="0" xfId="0" applyFont="1" applyFill="1"/>
    <xf numFmtId="0" fontId="80" fillId="47" borderId="0" xfId="0" applyFont="1" applyFill="1"/>
    <xf numFmtId="0" fontId="78" fillId="47" borderId="0" xfId="0" applyFont="1" applyFill="1"/>
    <xf numFmtId="0" fontId="69" fillId="41" borderId="0" xfId="0" applyFont="1" applyFill="1"/>
    <xf numFmtId="0" fontId="7" fillId="41" borderId="0" xfId="0" applyFont="1" applyFill="1"/>
    <xf numFmtId="0" fontId="81" fillId="41" borderId="0" xfId="0" applyFont="1" applyFill="1"/>
    <xf numFmtId="0" fontId="82" fillId="41" borderId="0" xfId="0" applyFont="1" applyFill="1"/>
    <xf numFmtId="0" fontId="83" fillId="2" borderId="0" xfId="0" applyFont="1" applyFill="1" applyAlignment="1">
      <alignment horizontal="center"/>
    </xf>
    <xf numFmtId="0" fontId="84" fillId="8" borderId="0" xfId="0" applyFont="1" applyFill="1" applyAlignment="1">
      <alignment horizontal="left"/>
    </xf>
    <xf numFmtId="0" fontId="86" fillId="63" borderId="0" xfId="0" applyFont="1" applyFill="1" applyAlignment="1">
      <alignment wrapText="1"/>
    </xf>
    <xf numFmtId="0" fontId="6" fillId="63" borderId="0" xfId="0" applyFont="1" applyFill="1" applyAlignment="1">
      <alignment wrapText="1"/>
    </xf>
    <xf numFmtId="0" fontId="85" fillId="63" borderId="0" xfId="0" applyFont="1" applyFill="1" applyAlignment="1">
      <alignment wrapText="1"/>
    </xf>
    <xf numFmtId="0" fontId="87" fillId="63" borderId="0" xfId="0" applyFont="1" applyFill="1" applyAlignment="1">
      <alignment wrapText="1"/>
    </xf>
    <xf numFmtId="0" fontId="11" fillId="63" borderId="0" xfId="0" applyFont="1" applyFill="1" applyAlignment="1">
      <alignment wrapText="1"/>
    </xf>
    <xf numFmtId="0" fontId="88" fillId="63" borderId="0" xfId="0" applyFont="1" applyFill="1" applyAlignment="1">
      <alignment wrapText="1"/>
    </xf>
    <xf numFmtId="0" fontId="89" fillId="63" borderId="0" xfId="0" applyFont="1" applyFill="1" applyAlignment="1">
      <alignment wrapText="1"/>
    </xf>
    <xf numFmtId="0" fontId="90" fillId="63" borderId="0" xfId="0" applyFont="1" applyFill="1" applyAlignment="1">
      <alignment wrapText="1"/>
    </xf>
    <xf numFmtId="0" fontId="91" fillId="63" borderId="0" xfId="0" applyFont="1" applyFill="1" applyAlignment="1">
      <alignment wrapText="1"/>
    </xf>
    <xf numFmtId="0" fontId="28" fillId="63" borderId="0" xfId="0" applyFont="1" applyFill="1" applyAlignment="1">
      <alignment wrapText="1"/>
    </xf>
    <xf numFmtId="0" fontId="92" fillId="63" borderId="0" xfId="0" applyFont="1" applyFill="1" applyAlignment="1">
      <alignment wrapText="1"/>
    </xf>
    <xf numFmtId="0" fontId="46" fillId="47" borderId="0" xfId="0" applyFont="1" applyFill="1"/>
    <xf numFmtId="0" fontId="93" fillId="47" borderId="0" xfId="0" applyFont="1" applyFill="1" applyAlignment="1">
      <alignment wrapText="1"/>
    </xf>
    <xf numFmtId="0" fontId="94" fillId="47" borderId="0" xfId="0" applyFont="1" applyFill="1" applyAlignment="1">
      <alignment wrapText="1"/>
    </xf>
    <xf numFmtId="0" fontId="84" fillId="12" borderId="0" xfId="0" applyFont="1" applyFill="1" applyAlignment="1">
      <alignment wrapText="1"/>
    </xf>
    <xf numFmtId="0" fontId="6" fillId="12" borderId="0" xfId="0" applyFont="1" applyFill="1" applyAlignment="1">
      <alignment wrapText="1"/>
    </xf>
    <xf numFmtId="0" fontId="20" fillId="13" borderId="0" xfId="0" applyFont="1" applyFill="1" applyAlignment="1">
      <alignment wrapText="1"/>
    </xf>
    <xf numFmtId="0" fontId="6" fillId="13" borderId="0" xfId="0" applyFont="1" applyFill="1" applyAlignment="1">
      <alignment wrapText="1"/>
    </xf>
    <xf numFmtId="0" fontId="11" fillId="13" borderId="0" xfId="0" applyFont="1" applyFill="1" applyAlignment="1">
      <alignment wrapText="1"/>
    </xf>
    <xf numFmtId="0" fontId="1" fillId="47" borderId="0" xfId="0" applyFont="1" applyFill="1"/>
    <xf numFmtId="0" fontId="95" fillId="47" borderId="0" xfId="0" applyFont="1" applyFill="1" applyAlignment="1">
      <alignment wrapText="1"/>
    </xf>
    <xf numFmtId="0" fontId="0" fillId="64" borderId="0" xfId="0" applyFill="1"/>
    <xf numFmtId="0" fontId="84" fillId="64" borderId="0" xfId="0" applyFont="1" applyFill="1" applyAlignment="1">
      <alignment wrapText="1"/>
    </xf>
    <xf numFmtId="0" fontId="6" fillId="64" borderId="0" xfId="0" applyFont="1" applyFill="1" applyAlignment="1">
      <alignment wrapText="1"/>
    </xf>
    <xf numFmtId="0" fontId="96" fillId="65" borderId="0" xfId="0" applyFont="1" applyFill="1" applyAlignment="1">
      <alignment wrapText="1"/>
    </xf>
    <xf numFmtId="0" fontId="6" fillId="65" borderId="0" xfId="0" applyFont="1" applyFill="1" applyAlignment="1">
      <alignment wrapText="1"/>
    </xf>
    <xf numFmtId="0" fontId="11" fillId="65" borderId="0" xfId="0" applyFont="1" applyFill="1" applyAlignment="1">
      <alignment wrapText="1"/>
    </xf>
    <xf numFmtId="0" fontId="84" fillId="17" borderId="0" xfId="0" applyFont="1" applyFill="1" applyAlignment="1">
      <alignment wrapText="1"/>
    </xf>
    <xf numFmtId="0" fontId="6" fillId="17" borderId="0" xfId="0" applyFont="1" applyFill="1" applyAlignment="1">
      <alignment wrapText="1"/>
    </xf>
    <xf numFmtId="0" fontId="18" fillId="18" borderId="0" xfId="0" applyFont="1" applyFill="1" applyAlignment="1">
      <alignment wrapText="1"/>
    </xf>
    <xf numFmtId="0" fontId="6" fillId="18" borderId="0" xfId="0" applyFont="1" applyFill="1" applyAlignment="1">
      <alignment wrapText="1"/>
    </xf>
    <xf numFmtId="0" fontId="11" fillId="18" borderId="0" xfId="0" applyFont="1" applyFill="1" applyAlignment="1">
      <alignment wrapText="1"/>
    </xf>
    <xf numFmtId="0" fontId="97" fillId="47" borderId="0" xfId="0" applyFont="1" applyFill="1" applyAlignment="1">
      <alignment wrapText="1"/>
    </xf>
    <xf numFmtId="0" fontId="84" fillId="5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98" fillId="6" borderId="0" xfId="0" applyFont="1" applyFill="1" applyAlignment="1">
      <alignment wrapText="1"/>
    </xf>
    <xf numFmtId="0" fontId="6" fillId="6" borderId="0" xfId="0" applyFont="1" applyFill="1" applyAlignment="1">
      <alignment wrapText="1"/>
    </xf>
    <xf numFmtId="0" fontId="11" fillId="6" borderId="0" xfId="0" applyFont="1" applyFill="1" applyAlignment="1">
      <alignment wrapText="1"/>
    </xf>
    <xf numFmtId="0" fontId="99" fillId="47" borderId="0" xfId="0" applyFont="1" applyFill="1" applyAlignment="1">
      <alignment wrapText="1"/>
    </xf>
    <xf numFmtId="0" fontId="100" fillId="2" borderId="0" xfId="0" applyFont="1" applyFill="1" applyAlignment="1">
      <alignment horizontal="center" wrapText="1"/>
    </xf>
    <xf numFmtId="0" fontId="84" fillId="22" borderId="0" xfId="0" applyFont="1" applyFill="1"/>
    <xf numFmtId="0" fontId="101" fillId="22" borderId="0" xfId="0" applyFont="1" applyFill="1" applyAlignment="1">
      <alignment wrapText="1"/>
    </xf>
    <xf numFmtId="0" fontId="101" fillId="22" borderId="0" xfId="0" applyFont="1" applyFill="1" applyAlignment="1">
      <alignment horizontal="center" wrapText="1"/>
    </xf>
    <xf numFmtId="0" fontId="102" fillId="2" borderId="0" xfId="0" applyFont="1" applyFill="1"/>
    <xf numFmtId="0" fontId="1" fillId="17" borderId="0" xfId="0" applyFont="1" applyFill="1"/>
    <xf numFmtId="0" fontId="1" fillId="18" borderId="0" xfId="0" applyFont="1" applyFill="1" applyBorder="1"/>
    <xf numFmtId="0" fontId="103" fillId="23" borderId="0" xfId="0" applyFont="1" applyFill="1"/>
    <xf numFmtId="0" fontId="0" fillId="3" borderId="0" xfId="0" applyFont="1" applyFill="1"/>
    <xf numFmtId="0" fontId="104" fillId="18" borderId="0" xfId="0" applyFont="1" applyFill="1" applyBorder="1"/>
    <xf numFmtId="0" fontId="1" fillId="8" borderId="0" xfId="0" applyFont="1" applyFill="1"/>
    <xf numFmtId="0" fontId="105" fillId="9" borderId="0" xfId="0" applyFont="1" applyFill="1" applyBorder="1"/>
    <xf numFmtId="0" fontId="1" fillId="9" borderId="0" xfId="0" applyFont="1" applyFill="1" applyBorder="1"/>
    <xf numFmtId="0" fontId="0" fillId="58" borderId="0" xfId="0" applyFill="1"/>
    <xf numFmtId="0" fontId="75" fillId="58" borderId="0" xfId="0" applyFont="1" applyFill="1"/>
    <xf numFmtId="0" fontId="0" fillId="58" borderId="0" xfId="0" applyFill="1"/>
    <xf numFmtId="0" fontId="106" fillId="58" borderId="0" xfId="0" applyFont="1" applyFill="1"/>
    <xf numFmtId="0" fontId="90" fillId="58" borderId="0" xfId="0" applyFont="1" applyFill="1"/>
    <xf numFmtId="0" fontId="1" fillId="58" borderId="0" xfId="0" applyFont="1" applyFill="1"/>
    <xf numFmtId="0" fontId="0" fillId="52" borderId="0" xfId="0" applyFill="1"/>
    <xf numFmtId="0" fontId="0" fillId="52" borderId="0" xfId="0" applyFill="1"/>
    <xf numFmtId="0" fontId="0" fillId="62" borderId="30" xfId="0" applyFill="1" applyBorder="1"/>
    <xf numFmtId="0" fontId="0" fillId="62" borderId="31" xfId="0" applyFill="1" applyBorder="1"/>
    <xf numFmtId="0" fontId="57" fillId="52" borderId="0" xfId="0" applyFont="1" applyFill="1"/>
    <xf numFmtId="0" fontId="107" fillId="52" borderId="0" xfId="0" applyFont="1" applyFill="1"/>
    <xf numFmtId="0" fontId="0" fillId="16" borderId="0" xfId="0" applyFill="1"/>
    <xf numFmtId="0" fontId="0" fillId="16" borderId="0" xfId="0" applyFill="1"/>
    <xf numFmtId="0" fontId="108" fillId="16" borderId="0" xfId="0" applyFont="1" applyFill="1"/>
    <xf numFmtId="0" fontId="88" fillId="16" borderId="0" xfId="0" applyFont="1" applyFill="1"/>
    <xf numFmtId="0" fontId="51" fillId="52" borderId="0" xfId="0" applyFont="1" applyFill="1"/>
    <xf numFmtId="0" fontId="51" fillId="52" borderId="0" xfId="0" applyFont="1" applyFill="1"/>
    <xf numFmtId="0" fontId="20" fillId="16" borderId="0" xfId="0" applyFont="1" applyFill="1"/>
    <xf numFmtId="0" fontId="20" fillId="16" borderId="0" xfId="0" applyFont="1" applyFill="1"/>
    <xf numFmtId="0" fontId="11" fillId="27" borderId="0" xfId="0" applyFont="1" applyFill="1"/>
    <xf numFmtId="0" fontId="0" fillId="59" borderId="0" xfId="0" applyFill="1"/>
    <xf numFmtId="0" fontId="109" fillId="59" borderId="0" xfId="0" applyFont="1" applyFill="1"/>
    <xf numFmtId="0" fontId="0" fillId="59" borderId="0" xfId="0" applyFill="1"/>
    <xf numFmtId="0" fontId="110" fillId="0" borderId="0" xfId="0" applyFont="1"/>
    <xf numFmtId="0" fontId="111" fillId="47" borderId="0" xfId="0" applyFont="1" applyFill="1"/>
    <xf numFmtId="0" fontId="1" fillId="27" borderId="0" xfId="0" applyFont="1" applyFill="1"/>
    <xf numFmtId="0" fontId="44" fillId="27" borderId="0" xfId="0" applyFont="1" applyFill="1"/>
    <xf numFmtId="0" fontId="112" fillId="47" borderId="0" xfId="0" applyFont="1" applyFill="1"/>
    <xf numFmtId="0" fontId="0" fillId="62" borderId="26" xfId="0" applyFill="1" applyBorder="1"/>
    <xf numFmtId="0" fontId="1" fillId="2" borderId="0" xfId="0" applyFont="1" applyFill="1"/>
    <xf numFmtId="0" fontId="1" fillId="37" borderId="0" xfId="0" applyFont="1" applyFill="1" applyBorder="1"/>
    <xf numFmtId="0" fontId="0" fillId="62" borderId="27" xfId="0" applyFill="1" applyBorder="1" applyAlignment="1">
      <alignment wrapText="1"/>
    </xf>
    <xf numFmtId="0" fontId="7" fillId="32" borderId="0" xfId="0" applyFont="1" applyFill="1"/>
    <xf numFmtId="0" fontId="113" fillId="33" borderId="0" xfId="0" applyFont="1" applyFill="1"/>
    <xf numFmtId="0" fontId="11" fillId="3" borderId="0" xfId="0" applyFont="1" applyFill="1"/>
    <xf numFmtId="0" fontId="7" fillId="2" borderId="0" xfId="0" applyFont="1" applyFill="1"/>
    <xf numFmtId="0" fontId="114" fillId="37" borderId="0" xfId="0" applyFont="1" applyFill="1" applyBorder="1"/>
    <xf numFmtId="0" fontId="0" fillId="48" borderId="0" xfId="0" applyFill="1"/>
    <xf numFmtId="0" fontId="24" fillId="48" borderId="0" xfId="0" applyFont="1" applyFill="1"/>
    <xf numFmtId="0" fontId="0" fillId="49" borderId="0" xfId="0" applyFill="1"/>
    <xf numFmtId="0" fontId="24" fillId="49" borderId="0" xfId="0" applyFont="1" applyFill="1"/>
    <xf numFmtId="0" fontId="64" fillId="49" borderId="0" xfId="0" applyFont="1" applyFill="1"/>
    <xf numFmtId="0" fontId="115" fillId="2" borderId="0" xfId="0" applyFont="1" applyFill="1" applyAlignment="1">
      <alignment horizontal="center"/>
    </xf>
    <xf numFmtId="0" fontId="68" fillId="2" borderId="0" xfId="0" applyFont="1" applyFill="1" applyAlignment="1">
      <alignment horizontal="center"/>
    </xf>
    <xf numFmtId="0" fontId="8" fillId="41" borderId="0" xfId="0" applyFont="1" applyFill="1"/>
    <xf numFmtId="0" fontId="7" fillId="50" borderId="0" xfId="0" applyFont="1" applyFill="1" applyAlignment="1">
      <alignment horizontal="center"/>
    </xf>
    <xf numFmtId="0" fontId="6" fillId="58" borderId="0" xfId="0" applyFont="1" applyFill="1" applyAlignment="1">
      <alignment wrapText="1"/>
    </xf>
    <xf numFmtId="0" fontId="11" fillId="58" borderId="0" xfId="0" applyFont="1" applyFill="1" applyAlignment="1">
      <alignment wrapText="1"/>
    </xf>
    <xf numFmtId="0" fontId="24" fillId="58" borderId="0" xfId="0" applyFont="1" applyFill="1" applyAlignment="1">
      <alignment wrapText="1"/>
    </xf>
    <xf numFmtId="0" fontId="51" fillId="52" borderId="0" xfId="0" applyFont="1" applyFill="1" applyAlignment="1">
      <alignment wrapText="1"/>
    </xf>
    <xf numFmtId="0" fontId="20" fillId="16" borderId="0" xfId="0" applyFont="1" applyFill="1" applyAlignment="1">
      <alignment wrapText="1"/>
    </xf>
    <xf numFmtId="0" fontId="37" fillId="27" borderId="0" xfId="0" applyFont="1" applyFill="1" applyAlignment="1">
      <alignment wrapText="1"/>
    </xf>
    <xf numFmtId="0" fontId="6" fillId="45" borderId="1" xfId="0" applyFont="1" applyFill="1" applyBorder="1"/>
    <xf numFmtId="0" fontId="6" fillId="48" borderId="2" xfId="0" applyFont="1" applyFill="1" applyBorder="1" applyAlignment="1">
      <alignment wrapText="1"/>
    </xf>
    <xf numFmtId="0" fontId="11" fillId="48" borderId="2" xfId="0" applyFont="1" applyFill="1" applyBorder="1" applyAlignment="1">
      <alignment horizontal="center" wrapText="1"/>
    </xf>
    <xf numFmtId="0" fontId="6" fillId="53" borderId="2" xfId="0" applyFont="1" applyFill="1" applyBorder="1" applyAlignment="1">
      <alignment wrapText="1"/>
    </xf>
    <xf numFmtId="0" fontId="11" fillId="53" borderId="2" xfId="0" applyFont="1" applyFill="1" applyBorder="1" applyAlignment="1">
      <alignment horizontal="center" wrapText="1"/>
    </xf>
    <xf numFmtId="0" fontId="18" fillId="53" borderId="2" xfId="0" applyFont="1" applyFill="1" applyBorder="1" applyAlignment="1">
      <alignment horizontal="center" wrapText="1"/>
    </xf>
    <xf numFmtId="0" fontId="11" fillId="53" borderId="2" xfId="0" applyFont="1" applyFill="1" applyBorder="1" applyAlignment="1">
      <alignment wrapText="1"/>
    </xf>
    <xf numFmtId="0" fontId="6" fillId="49" borderId="2" xfId="0" applyFont="1" applyFill="1" applyBorder="1" applyAlignment="1">
      <alignment wrapText="1"/>
    </xf>
    <xf numFmtId="0" fontId="11" fillId="49" borderId="2" xfId="0" applyFont="1" applyFill="1" applyBorder="1" applyAlignment="1">
      <alignment horizontal="center" wrapText="1"/>
    </xf>
    <xf numFmtId="0" fontId="6" fillId="48" borderId="3" xfId="0" applyFont="1" applyFill="1" applyBorder="1" applyAlignment="1">
      <alignment wrapText="1"/>
    </xf>
    <xf numFmtId="0" fontId="11" fillId="48" borderId="3" xfId="0" applyFont="1" applyFill="1" applyBorder="1" applyAlignment="1">
      <alignment horizontal="center" wrapText="1"/>
    </xf>
    <xf numFmtId="0" fontId="11" fillId="48" borderId="3" xfId="0" applyFont="1" applyFill="1" applyBorder="1" applyAlignment="1">
      <alignment wrapText="1"/>
    </xf>
    <xf numFmtId="0" fontId="11" fillId="23" borderId="0" xfId="0" applyFont="1" applyFill="1" applyAlignment="1">
      <alignment wrapText="1"/>
    </xf>
    <xf numFmtId="0" fontId="52" fillId="8" borderId="0" xfId="0" applyFont="1" applyFill="1"/>
    <xf numFmtId="0" fontId="11" fillId="66" borderId="0" xfId="0" applyFont="1" applyFill="1" applyAlignment="1">
      <alignment wrapText="1"/>
    </xf>
    <xf numFmtId="0" fontId="11" fillId="67" borderId="0" xfId="0" applyFont="1" applyFill="1" applyAlignment="1">
      <alignment wrapText="1"/>
    </xf>
    <xf numFmtId="0" fontId="11" fillId="33" borderId="0" xfId="0" applyFont="1" applyFill="1" applyAlignment="1">
      <alignment wrapText="1"/>
    </xf>
    <xf numFmtId="0" fontId="52" fillId="2" borderId="0" xfId="0" applyFont="1" applyFill="1"/>
    <xf numFmtId="0" fontId="11" fillId="37" borderId="0" xfId="0" applyFont="1" applyFill="1" applyAlignment="1">
      <alignment wrapText="1"/>
    </xf>
    <xf numFmtId="0" fontId="6" fillId="23" borderId="0" xfId="0" applyFont="1" applyFill="1" applyAlignment="1">
      <alignment wrapText="1"/>
    </xf>
    <xf numFmtId="0" fontId="6" fillId="66" borderId="0" xfId="0" applyFont="1" applyFill="1" applyAlignment="1">
      <alignment wrapText="1"/>
    </xf>
    <xf numFmtId="0" fontId="6" fillId="67" borderId="0" xfId="0" applyFont="1" applyFill="1" applyAlignment="1">
      <alignment wrapText="1"/>
    </xf>
    <xf numFmtId="0" fontId="6" fillId="33" borderId="0" xfId="0" applyFont="1" applyFill="1" applyAlignment="1">
      <alignment wrapText="1"/>
    </xf>
    <xf numFmtId="0" fontId="6" fillId="37" borderId="0" xfId="0" applyFont="1" applyFill="1" applyAlignment="1">
      <alignment wrapText="1"/>
    </xf>
    <xf numFmtId="0" fontId="12" fillId="23" borderId="0" xfId="0" applyFont="1" applyFill="1" applyAlignment="1">
      <alignment wrapText="1"/>
    </xf>
    <xf numFmtId="0" fontId="116" fillId="17" borderId="0" xfId="0" applyFont="1" applyFill="1"/>
    <xf numFmtId="0" fontId="12" fillId="18" borderId="0" xfId="0" applyFont="1" applyFill="1" applyAlignment="1">
      <alignment wrapText="1"/>
    </xf>
    <xf numFmtId="0" fontId="116" fillId="8" borderId="0" xfId="0" applyFont="1" applyFill="1"/>
    <xf numFmtId="0" fontId="12" fillId="58" borderId="0" xfId="0" applyFont="1" applyFill="1" applyAlignment="1">
      <alignment wrapText="1"/>
    </xf>
    <xf numFmtId="0" fontId="12" fillId="66" borderId="0" xfId="0" applyFont="1" applyFill="1" applyAlignment="1">
      <alignment wrapText="1"/>
    </xf>
    <xf numFmtId="0" fontId="12" fillId="67" borderId="0" xfId="0" applyFont="1" applyFill="1" applyAlignment="1">
      <alignment wrapText="1"/>
    </xf>
    <xf numFmtId="0" fontId="116" fillId="32" borderId="0" xfId="0" applyFont="1" applyFill="1"/>
    <xf numFmtId="0" fontId="12" fillId="33" borderId="0" xfId="0" applyFont="1" applyFill="1" applyAlignment="1">
      <alignment wrapText="1"/>
    </xf>
    <xf numFmtId="0" fontId="116" fillId="2" borderId="0" xfId="0" applyFont="1" applyFill="1"/>
    <xf numFmtId="0" fontId="12" fillId="37" borderId="0" xfId="0" applyFont="1" applyFill="1" applyAlignment="1">
      <alignment wrapText="1"/>
    </xf>
    <xf numFmtId="0" fontId="52" fillId="50" borderId="0" xfId="0" applyFont="1" applyFill="1"/>
    <xf numFmtId="0" fontId="52" fillId="8" borderId="0" xfId="0" applyFont="1" applyFill="1" applyAlignment="1">
      <alignment wrapText="1"/>
    </xf>
    <xf numFmtId="0" fontId="117" fillId="0" borderId="0" xfId="0" applyFont="1" applyAlignment="1">
      <alignment wrapText="1"/>
    </xf>
    <xf numFmtId="0" fontId="118" fillId="68" borderId="0" xfId="0" applyFont="1" applyFill="1"/>
    <xf numFmtId="0" fontId="118" fillId="68" borderId="0" xfId="0" applyFont="1" applyFill="1"/>
    <xf numFmtId="0" fontId="119" fillId="68" borderId="0" xfId="0" applyFont="1" applyFill="1" applyAlignment="1">
      <alignment horizontal="center"/>
    </xf>
    <xf numFmtId="0" fontId="120" fillId="68" borderId="0" xfId="0" applyFont="1" applyFill="1" applyAlignment="1">
      <alignment horizontal="center"/>
    </xf>
    <xf numFmtId="0" fontId="121" fillId="68" borderId="0" xfId="0" applyFont="1" applyFill="1" applyAlignment="1">
      <alignment horizontal="center" wrapText="1"/>
    </xf>
    <xf numFmtId="0" fontId="123" fillId="68" borderId="0" xfId="0" applyFont="1" applyFill="1"/>
    <xf numFmtId="0" fontId="124" fillId="69" borderId="32" xfId="0" applyFont="1" applyFill="1" applyBorder="1" applyAlignment="1">
      <alignment horizontal="right"/>
    </xf>
    <xf numFmtId="0" fontId="125" fillId="69" borderId="32" xfId="0" applyFont="1" applyFill="1" applyBorder="1"/>
    <xf numFmtId="0" fontId="126" fillId="68" borderId="0" xfId="0" applyFont="1" applyFill="1" applyAlignment="1">
      <alignment horizontal="center"/>
    </xf>
    <xf numFmtId="0" fontId="127" fillId="68" borderId="0" xfId="0" applyFont="1" applyFill="1" applyAlignment="1">
      <alignment horizontal="center"/>
    </xf>
    <xf numFmtId="0" fontId="129" fillId="68" borderId="0" xfId="0" applyFont="1" applyFill="1" applyAlignment="1">
      <alignment horizontal="center" wrapText="1"/>
    </xf>
    <xf numFmtId="0" fontId="130" fillId="68" borderId="0" xfId="0" applyFont="1" applyFill="1"/>
    <xf numFmtId="0" fontId="131" fillId="68" borderId="0" xfId="0" applyFont="1" applyFill="1"/>
    <xf numFmtId="0" fontId="132" fillId="68" borderId="0" xfId="0" applyFont="1" applyFill="1"/>
    <xf numFmtId="0" fontId="118" fillId="70" borderId="0" xfId="0" applyFont="1" applyFill="1"/>
    <xf numFmtId="0" fontId="118" fillId="2" borderId="0" xfId="0" applyFont="1" applyFill="1"/>
    <xf numFmtId="0" fontId="133" fillId="2" borderId="0" xfId="0" applyFont="1" applyFill="1"/>
    <xf numFmtId="0" fontId="118" fillId="2" borderId="0" xfId="0" applyFont="1" applyFill="1"/>
    <xf numFmtId="0" fontId="134" fillId="68" borderId="0" xfId="0" applyFont="1" applyFill="1"/>
    <xf numFmtId="0" fontId="118" fillId="71" borderId="0" xfId="0" applyFont="1" applyFill="1"/>
    <xf numFmtId="0" fontId="118" fillId="72" borderId="0" xfId="0" applyFont="1" applyFill="1"/>
    <xf numFmtId="0" fontId="84" fillId="72" borderId="0" xfId="0" applyFont="1" applyFill="1"/>
    <xf numFmtId="0" fontId="118" fillId="72" borderId="0" xfId="0" applyFont="1" applyFill="1"/>
    <xf numFmtId="0" fontId="118" fillId="73" borderId="0" xfId="0" applyFont="1" applyFill="1"/>
    <xf numFmtId="0" fontId="135" fillId="2" borderId="0" xfId="0" applyFont="1" applyFill="1"/>
    <xf numFmtId="0" fontId="136" fillId="68" borderId="0" xfId="0" applyFont="1" applyFill="1"/>
    <xf numFmtId="0" fontId="118" fillId="71" borderId="34" xfId="0" applyFont="1" applyFill="1" applyBorder="1"/>
    <xf numFmtId="0" fontId="134" fillId="70" borderId="0" xfId="0" applyFont="1" applyFill="1"/>
    <xf numFmtId="0" fontId="118" fillId="70" borderId="33" xfId="0" applyFont="1" applyFill="1" applyBorder="1"/>
    <xf numFmtId="0" fontId="137" fillId="73" borderId="0" xfId="0" applyFont="1" applyFill="1"/>
    <xf numFmtId="0" fontId="84" fillId="73" borderId="0" xfId="0" applyFont="1" applyFill="1"/>
    <xf numFmtId="0" fontId="138" fillId="73" borderId="0" xfId="0" applyFont="1" applyFill="1"/>
    <xf numFmtId="0" fontId="65" fillId="68" borderId="0" xfId="0" applyFont="1" applyFill="1"/>
    <xf numFmtId="0" fontId="118" fillId="71" borderId="0" xfId="0" applyFont="1" applyFill="1" applyBorder="1" applyAlignment="1">
      <alignment wrapText="1"/>
    </xf>
    <xf numFmtId="0" fontId="118" fillId="71" borderId="35" xfId="0" applyFont="1" applyFill="1" applyBorder="1" applyAlignment="1">
      <alignment wrapText="1"/>
    </xf>
    <xf numFmtId="0" fontId="139" fillId="68" borderId="0" xfId="0" applyFont="1" applyFill="1"/>
    <xf numFmtId="0" fontId="118" fillId="71" borderId="36" xfId="0" applyFont="1" applyFill="1" applyBorder="1" applyAlignment="1">
      <alignment wrapText="1"/>
    </xf>
    <xf numFmtId="0" fontId="64" fillId="68" borderId="0" xfId="0" applyFont="1" applyFill="1"/>
    <xf numFmtId="0" fontId="140" fillId="68" borderId="0" xfId="0" applyFont="1" applyFill="1"/>
    <xf numFmtId="0" fontId="141" fillId="68" borderId="0" xfId="0" applyFont="1" applyFill="1"/>
    <xf numFmtId="0" fontId="122" fillId="72" borderId="0" xfId="0" applyFont="1" applyFill="1"/>
    <xf numFmtId="0" fontId="142" fillId="72" borderId="0" xfId="0" applyFont="1" applyFill="1"/>
    <xf numFmtId="0" fontId="118" fillId="74" borderId="0" xfId="0" applyFont="1" applyFill="1"/>
    <xf numFmtId="0" fontId="84" fillId="74" borderId="0" xfId="0" applyFont="1" applyFill="1"/>
    <xf numFmtId="0" fontId="118" fillId="74" borderId="0" xfId="0" applyFont="1" applyFill="1"/>
    <xf numFmtId="0" fontId="118" fillId="75" borderId="0" xfId="0" applyFont="1" applyFill="1"/>
    <xf numFmtId="0" fontId="143" fillId="75" borderId="0" xfId="0" applyFont="1" applyFill="1"/>
    <xf numFmtId="0" fontId="118" fillId="75" borderId="0" xfId="0" applyFont="1" applyFill="1"/>
    <xf numFmtId="0" fontId="118" fillId="71" borderId="0" xfId="0" applyFont="1" applyFill="1" applyBorder="1" applyAlignment="1">
      <alignment wrapText="1"/>
    </xf>
    <xf numFmtId="0" fontId="122" fillId="74" borderId="0" xfId="0" applyFont="1" applyFill="1"/>
    <xf numFmtId="0" fontId="144" fillId="74" borderId="0" xfId="0" applyFont="1" applyFill="1"/>
    <xf numFmtId="0" fontId="118" fillId="76" borderId="0" xfId="0" applyFont="1" applyFill="1"/>
    <xf numFmtId="0" fontId="84" fillId="76" borderId="0" xfId="0" applyFont="1" applyFill="1"/>
    <xf numFmtId="0" fontId="118" fillId="76" borderId="0" xfId="0" applyFont="1" applyFill="1"/>
    <xf numFmtId="0" fontId="118" fillId="77" borderId="0" xfId="0" applyFont="1" applyFill="1"/>
    <xf numFmtId="0" fontId="145" fillId="77" borderId="0" xfId="0" applyFont="1" applyFill="1"/>
    <xf numFmtId="0" fontId="118" fillId="77" borderId="0" xfId="0" applyFont="1" applyFill="1"/>
    <xf numFmtId="0" fontId="122" fillId="76" borderId="0" xfId="0" applyFont="1" applyFill="1"/>
    <xf numFmtId="0" fontId="146" fillId="76" borderId="0" xfId="0" applyFont="1" applyFill="1"/>
    <xf numFmtId="0" fontId="118" fillId="78" borderId="0" xfId="0" applyFont="1" applyFill="1"/>
    <xf numFmtId="0" fontId="84" fillId="78" borderId="0" xfId="0" applyFont="1" applyFill="1"/>
    <xf numFmtId="0" fontId="118" fillId="78" borderId="0" xfId="0" applyFont="1" applyFill="1"/>
    <xf numFmtId="0" fontId="118" fillId="79" borderId="0" xfId="0" applyFont="1" applyFill="1"/>
    <xf numFmtId="0" fontId="147" fillId="79" borderId="0" xfId="0" applyFont="1" applyFill="1"/>
    <xf numFmtId="0" fontId="118" fillId="79" borderId="0" xfId="0" applyFont="1" applyFill="1"/>
    <xf numFmtId="0" fontId="122" fillId="78" borderId="0" xfId="0" applyFont="1" applyFill="1"/>
    <xf numFmtId="0" fontId="123" fillId="78" borderId="0" xfId="0" applyFont="1" applyFill="1"/>
    <xf numFmtId="0" fontId="118" fillId="80" borderId="0" xfId="0" applyFont="1" applyFill="1"/>
    <xf numFmtId="0" fontId="84" fillId="80" borderId="0" xfId="0" applyFont="1" applyFill="1"/>
    <xf numFmtId="0" fontId="118" fillId="80" borderId="0" xfId="0" applyFont="1" applyFill="1"/>
    <xf numFmtId="0" fontId="118" fillId="81" borderId="0" xfId="0" applyFont="1" applyFill="1"/>
    <xf numFmtId="0" fontId="148" fillId="81" borderId="0" xfId="0" applyFont="1" applyFill="1"/>
    <xf numFmtId="0" fontId="118" fillId="81" borderId="0" xfId="0" applyFont="1" applyFill="1"/>
    <xf numFmtId="0" fontId="122" fillId="80" borderId="0" xfId="0" applyFont="1" applyFill="1"/>
    <xf numFmtId="0" fontId="149" fillId="80" borderId="0" xfId="0" applyFont="1" applyFill="1"/>
    <xf numFmtId="0" fontId="118" fillId="82" borderId="0" xfId="0" applyFont="1" applyFill="1"/>
    <xf numFmtId="0" fontId="84" fillId="82" borderId="0" xfId="0" applyFont="1" applyFill="1"/>
    <xf numFmtId="0" fontId="118" fillId="82" borderId="0" xfId="0" applyFont="1" applyFill="1"/>
    <xf numFmtId="0" fontId="118" fillId="83" borderId="0" xfId="0" applyFont="1" applyFill="1"/>
    <xf numFmtId="0" fontId="150" fillId="83" borderId="0" xfId="0" applyFont="1" applyFill="1"/>
    <xf numFmtId="0" fontId="118" fillId="83" borderId="0" xfId="0" applyFont="1" applyFill="1"/>
    <xf numFmtId="0" fontId="122" fillId="82" borderId="0" xfId="0" applyFont="1" applyFill="1"/>
    <xf numFmtId="0" fontId="151" fillId="82" borderId="0" xfId="0" applyFont="1" applyFill="1"/>
    <xf numFmtId="0" fontId="118" fillId="84" borderId="0" xfId="0" applyFont="1" applyFill="1"/>
    <xf numFmtId="0" fontId="152" fillId="84" borderId="0" xfId="0" applyFont="1" applyFill="1"/>
    <xf numFmtId="0" fontId="118" fillId="84" borderId="0" xfId="0" applyFont="1" applyFill="1"/>
    <xf numFmtId="0" fontId="118" fillId="85" borderId="0" xfId="0" applyFont="1" applyFill="1"/>
    <xf numFmtId="0" fontId="153" fillId="85" borderId="0" xfId="0" applyFont="1" applyFill="1"/>
    <xf numFmtId="0" fontId="118" fillId="85" borderId="0" xfId="0" applyFont="1" applyFill="1"/>
    <xf numFmtId="0" fontId="118" fillId="71" borderId="37" xfId="0" applyFont="1" applyFill="1" applyBorder="1" applyAlignment="1">
      <alignment wrapText="1"/>
    </xf>
    <xf numFmtId="0" fontId="118" fillId="71" borderId="38" xfId="0" applyFont="1" applyFill="1" applyBorder="1" applyAlignment="1">
      <alignment wrapText="1"/>
    </xf>
    <xf numFmtId="0" fontId="154" fillId="71" borderId="37" xfId="0" applyFont="1" applyFill="1" applyBorder="1" applyAlignment="1">
      <alignment wrapText="1"/>
    </xf>
    <xf numFmtId="0" fontId="155" fillId="84" borderId="0" xfId="0" applyFont="1" applyFill="1"/>
    <xf numFmtId="0" fontId="156" fillId="84" borderId="0" xfId="0" applyFont="1" applyFill="1"/>
    <xf numFmtId="0" fontId="157" fillId="2" borderId="0" xfId="0" applyFont="1" applyFill="1"/>
    <xf numFmtId="0" fontId="118" fillId="71" borderId="0" xfId="0" applyFont="1" applyFill="1" applyBorder="1"/>
    <xf numFmtId="0" fontId="118" fillId="71" borderId="36" xfId="0" applyFont="1" applyFill="1" applyBorder="1"/>
    <xf numFmtId="0" fontId="158" fillId="71" borderId="35" xfId="0" applyFont="1" applyFill="1" applyBorder="1"/>
    <xf numFmtId="0" fontId="159" fillId="2" borderId="0" xfId="0" applyFont="1" applyFill="1"/>
    <xf numFmtId="0" fontId="142" fillId="73" borderId="0" xfId="0" applyFont="1" applyFill="1"/>
    <xf numFmtId="0" fontId="144" fillId="68" borderId="0" xfId="0" applyFont="1" applyFill="1"/>
    <xf numFmtId="0" fontId="122" fillId="71" borderId="0" xfId="0" applyFont="1" applyFill="1" applyBorder="1"/>
    <xf numFmtId="0" fontId="122" fillId="71" borderId="35" xfId="0" applyFont="1" applyFill="1" applyBorder="1"/>
    <xf numFmtId="0" fontId="146" fillId="68" borderId="0" xfId="0" applyFont="1" applyFill="1"/>
    <xf numFmtId="0" fontId="122" fillId="71" borderId="36" xfId="0" applyFont="1" applyFill="1" applyBorder="1"/>
    <xf numFmtId="0" fontId="149" fillId="68" borderId="0" xfId="0" applyFont="1" applyFill="1"/>
    <xf numFmtId="0" fontId="151" fillId="68" borderId="0" xfId="0" applyFont="1" applyFill="1"/>
    <xf numFmtId="0" fontId="155" fillId="68" borderId="0" xfId="0" applyFont="1" applyFill="1"/>
    <xf numFmtId="0" fontId="158" fillId="70" borderId="0" xfId="0" applyFont="1" applyFill="1"/>
    <xf numFmtId="0" fontId="160" fillId="2" borderId="0" xfId="0" applyFont="1" applyFill="1"/>
    <xf numFmtId="0" fontId="156" fillId="75" borderId="0" xfId="0" applyFont="1" applyFill="1"/>
    <xf numFmtId="0" fontId="22" fillId="75" borderId="0" xfId="0" applyFont="1" applyFill="1"/>
    <xf numFmtId="0" fontId="141" fillId="68" borderId="0" xfId="0" applyFont="1" applyFill="1" applyAlignment="1">
      <alignment horizontal="center"/>
    </xf>
    <xf numFmtId="0" fontId="161" fillId="68" borderId="0" xfId="0" applyFont="1" applyFill="1" applyAlignment="1">
      <alignment horizontal="center" wrapText="1"/>
    </xf>
    <xf numFmtId="0" fontId="22" fillId="68" borderId="0" xfId="0" applyFont="1" applyFill="1" applyAlignment="1">
      <alignment horizontal="center"/>
    </xf>
    <xf numFmtId="0" fontId="129" fillId="68" borderId="0" xfId="0" applyFont="1" applyFill="1" applyAlignment="1">
      <alignment wrapText="1"/>
    </xf>
    <xf numFmtId="0" fontId="37" fillId="72" borderId="0" xfId="0" applyFont="1" applyFill="1"/>
    <xf numFmtId="0" fontId="37" fillId="74" borderId="0" xfId="0" applyFont="1" applyFill="1"/>
    <xf numFmtId="0" fontId="37" fillId="76" borderId="0" xfId="0" applyFont="1" applyFill="1"/>
    <xf numFmtId="0" fontId="37" fillId="78" borderId="0" xfId="0" applyFont="1" applyFill="1"/>
    <xf numFmtId="0" fontId="37" fillId="80" borderId="0" xfId="0" applyFont="1" applyFill="1"/>
    <xf numFmtId="0" fontId="37" fillId="82" borderId="0" xfId="0" applyFont="1" applyFill="1"/>
    <xf numFmtId="0" fontId="162" fillId="84" borderId="0" xfId="0" applyFont="1" applyFill="1"/>
    <xf numFmtId="0" fontId="160" fillId="2" borderId="0" xfId="0" applyFont="1" applyFill="1"/>
    <xf numFmtId="0" fontId="128" fillId="71" borderId="36" xfId="0" applyFont="1" applyFill="1" applyBorder="1"/>
    <xf numFmtId="0" fontId="163" fillId="71" borderId="35" xfId="0" applyFont="1" applyFill="1" applyBorder="1"/>
    <xf numFmtId="0" fontId="164" fillId="2" borderId="0" xfId="0" applyFont="1" applyFill="1"/>
    <xf numFmtId="0" fontId="165" fillId="2" borderId="0" xfId="0" applyFont="1" applyFill="1"/>
    <xf numFmtId="0" fontId="166" fillId="71" borderId="0" xfId="0" applyFont="1" applyFill="1"/>
    <xf numFmtId="49" fontId="128" fillId="71" borderId="0" xfId="0" applyNumberFormat="1" applyFont="1" applyFill="1" applyBorder="1"/>
    <xf numFmtId="49" fontId="128" fillId="71" borderId="3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49D44A-AFBA-4D00-9A35-F48BFFCE7273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F747-0C88-4B21-A3A4-900233F9B487}">
  <dimension ref="A1:D200"/>
  <sheetViews>
    <sheetView workbookViewId="0"/>
  </sheetViews>
  <sheetFormatPr defaultRowHeight="14.4" x14ac:dyDescent="0.3"/>
  <cols>
    <col min="1" max="1" width="2.77734375" customWidth="1"/>
    <col min="2" max="2" width="25.88671875" customWidth="1"/>
    <col min="3" max="3" width="125.88671875" customWidth="1"/>
    <col min="4" max="4" width="2.77734375" customWidth="1"/>
  </cols>
  <sheetData>
    <row r="1" spans="1:4" ht="55.05" customHeight="1" x14ac:dyDescent="0.7">
      <c r="A1" s="546"/>
      <c r="B1" s="548" t="s">
        <v>1620</v>
      </c>
      <c r="C1" s="547"/>
      <c r="D1" s="546"/>
    </row>
    <row r="2" spans="1:4" ht="31.95" customHeight="1" x14ac:dyDescent="0.45">
      <c r="A2" s="546"/>
      <c r="B2" s="549" t="s">
        <v>1621</v>
      </c>
      <c r="C2" s="547"/>
      <c r="D2" s="546"/>
    </row>
    <row r="3" spans="1:4" ht="36" customHeight="1" x14ac:dyDescent="0.3">
      <c r="A3" s="546"/>
      <c r="B3" s="550" t="s">
        <v>1622</v>
      </c>
      <c r="C3" s="547"/>
      <c r="D3" s="546"/>
    </row>
    <row r="4" spans="1:4" ht="10.050000000000001" customHeight="1" x14ac:dyDescent="0.3">
      <c r="A4" s="546"/>
      <c r="B4" s="546"/>
      <c r="C4" s="546"/>
      <c r="D4" s="546"/>
    </row>
    <row r="5" spans="1:4" ht="30" customHeight="1" x14ac:dyDescent="0.35">
      <c r="A5" s="546"/>
      <c r="B5" s="552" t="s">
        <v>1623</v>
      </c>
      <c r="C5" s="553" t="s">
        <v>1624</v>
      </c>
      <c r="D5" s="546"/>
    </row>
    <row r="6" spans="1:4" ht="10.050000000000001" customHeight="1" x14ac:dyDescent="0.3">
      <c r="A6" s="546"/>
      <c r="B6" s="546"/>
      <c r="C6" s="546"/>
      <c r="D6" s="546"/>
    </row>
    <row r="7" spans="1:4" x14ac:dyDescent="0.3">
      <c r="A7" s="546"/>
      <c r="B7" s="546"/>
      <c r="C7" s="546"/>
      <c r="D7" s="546"/>
    </row>
    <row r="8" spans="1:4" x14ac:dyDescent="0.3">
      <c r="A8" s="546"/>
      <c r="B8" s="546"/>
      <c r="C8" s="546"/>
      <c r="D8" s="546"/>
    </row>
    <row r="9" spans="1:4" x14ac:dyDescent="0.3">
      <c r="A9" s="546"/>
      <c r="B9" s="546"/>
      <c r="C9" s="546"/>
      <c r="D9" s="546"/>
    </row>
    <row r="10" spans="1:4" x14ac:dyDescent="0.3">
      <c r="A10" s="546"/>
      <c r="B10" s="546"/>
      <c r="C10" s="546"/>
      <c r="D10" s="546"/>
    </row>
    <row r="11" spans="1:4" x14ac:dyDescent="0.3">
      <c r="A11" s="546"/>
      <c r="B11" s="546"/>
      <c r="C11" s="546"/>
      <c r="D11" s="546"/>
    </row>
    <row r="12" spans="1:4" x14ac:dyDescent="0.3">
      <c r="A12" s="546"/>
      <c r="B12" s="546"/>
      <c r="C12" s="546"/>
      <c r="D12" s="546"/>
    </row>
    <row r="13" spans="1:4" x14ac:dyDescent="0.3">
      <c r="A13" s="546"/>
      <c r="B13" s="546"/>
      <c r="C13" s="546"/>
      <c r="D13" s="546"/>
    </row>
    <row r="14" spans="1:4" x14ac:dyDescent="0.3">
      <c r="A14" s="546"/>
      <c r="B14" s="546"/>
      <c r="C14" s="546"/>
      <c r="D14" s="546"/>
    </row>
    <row r="15" spans="1:4" x14ac:dyDescent="0.3">
      <c r="A15" s="546"/>
      <c r="B15" s="546"/>
      <c r="C15" s="546"/>
      <c r="D15" s="546"/>
    </row>
    <row r="16" spans="1:4" x14ac:dyDescent="0.3">
      <c r="A16" s="546"/>
      <c r="B16" s="546"/>
      <c r="C16" s="546"/>
      <c r="D16" s="546"/>
    </row>
    <row r="17" spans="1:4" x14ac:dyDescent="0.3">
      <c r="A17" s="546"/>
      <c r="B17" s="546"/>
      <c r="C17" s="546"/>
      <c r="D17" s="546"/>
    </row>
    <row r="18" spans="1:4" x14ac:dyDescent="0.3">
      <c r="A18" s="546"/>
      <c r="B18" s="546"/>
      <c r="C18" s="546"/>
      <c r="D18" s="546"/>
    </row>
    <row r="19" spans="1:4" x14ac:dyDescent="0.3">
      <c r="A19" s="546"/>
      <c r="B19" s="546"/>
      <c r="C19" s="546"/>
      <c r="D19" s="546"/>
    </row>
    <row r="20" spans="1:4" x14ac:dyDescent="0.3">
      <c r="A20" s="546"/>
      <c r="B20" s="546"/>
      <c r="C20" s="546"/>
      <c r="D20" s="546"/>
    </row>
    <row r="21" spans="1:4" x14ac:dyDescent="0.3">
      <c r="A21" s="546"/>
      <c r="B21" s="546"/>
      <c r="C21" s="546"/>
      <c r="D21" s="546"/>
    </row>
    <row r="22" spans="1:4" x14ac:dyDescent="0.3">
      <c r="A22" s="546"/>
      <c r="B22" s="546"/>
      <c r="C22" s="546"/>
      <c r="D22" s="546"/>
    </row>
    <row r="23" spans="1:4" x14ac:dyDescent="0.3">
      <c r="A23" s="546"/>
      <c r="B23" s="546"/>
      <c r="C23" s="546"/>
      <c r="D23" s="546"/>
    </row>
    <row r="24" spans="1:4" x14ac:dyDescent="0.3">
      <c r="A24" s="546"/>
      <c r="B24" s="546"/>
      <c r="C24" s="546"/>
      <c r="D24" s="546"/>
    </row>
    <row r="25" spans="1:4" x14ac:dyDescent="0.3">
      <c r="A25" s="546"/>
      <c r="B25" s="546"/>
      <c r="C25" s="546"/>
      <c r="D25" s="546"/>
    </row>
    <row r="26" spans="1:4" x14ac:dyDescent="0.3">
      <c r="A26" s="546"/>
      <c r="B26" s="546"/>
      <c r="C26" s="546"/>
      <c r="D26" s="546"/>
    </row>
    <row r="27" spans="1:4" x14ac:dyDescent="0.3">
      <c r="A27" s="546"/>
      <c r="B27" s="546"/>
      <c r="C27" s="546"/>
      <c r="D27" s="546"/>
    </row>
    <row r="28" spans="1:4" x14ac:dyDescent="0.3">
      <c r="A28" s="546"/>
      <c r="B28" s="546"/>
      <c r="C28" s="546"/>
      <c r="D28" s="546"/>
    </row>
    <row r="29" spans="1:4" x14ac:dyDescent="0.3">
      <c r="A29" s="546"/>
      <c r="B29" s="546"/>
      <c r="C29" s="546"/>
      <c r="D29" s="546"/>
    </row>
    <row r="30" spans="1:4" x14ac:dyDescent="0.3">
      <c r="A30" s="546"/>
      <c r="B30" s="546"/>
      <c r="C30" s="546"/>
      <c r="D30" s="546"/>
    </row>
    <row r="31" spans="1:4" x14ac:dyDescent="0.3">
      <c r="A31" s="546"/>
      <c r="B31" s="546"/>
      <c r="C31" s="546"/>
      <c r="D31" s="546"/>
    </row>
    <row r="32" spans="1:4" x14ac:dyDescent="0.3">
      <c r="A32" s="546"/>
      <c r="B32" s="546"/>
      <c r="C32" s="546"/>
      <c r="D32" s="546"/>
    </row>
    <row r="33" spans="1:4" x14ac:dyDescent="0.3">
      <c r="A33" s="546"/>
      <c r="B33" s="546"/>
      <c r="C33" s="546"/>
      <c r="D33" s="546"/>
    </row>
    <row r="34" spans="1:4" x14ac:dyDescent="0.3">
      <c r="A34" s="546"/>
      <c r="B34" s="546"/>
      <c r="C34" s="546"/>
      <c r="D34" s="546"/>
    </row>
    <row r="35" spans="1:4" x14ac:dyDescent="0.3">
      <c r="A35" s="546"/>
      <c r="B35" s="546"/>
      <c r="C35" s="546"/>
      <c r="D35" s="546"/>
    </row>
    <row r="36" spans="1:4" x14ac:dyDescent="0.3">
      <c r="A36" s="546"/>
      <c r="B36" s="546"/>
      <c r="C36" s="546"/>
      <c r="D36" s="546"/>
    </row>
    <row r="37" spans="1:4" x14ac:dyDescent="0.3">
      <c r="A37" s="546"/>
      <c r="B37" s="546"/>
      <c r="C37" s="546"/>
      <c r="D37" s="546"/>
    </row>
    <row r="38" spans="1:4" x14ac:dyDescent="0.3">
      <c r="A38" s="546"/>
      <c r="B38" s="546"/>
      <c r="C38" s="546"/>
      <c r="D38" s="546"/>
    </row>
    <row r="39" spans="1:4" x14ac:dyDescent="0.3">
      <c r="A39" s="546"/>
      <c r="B39" s="546"/>
      <c r="C39" s="546"/>
      <c r="D39" s="546"/>
    </row>
    <row r="40" spans="1:4" x14ac:dyDescent="0.3">
      <c r="A40" s="546"/>
      <c r="B40" s="546"/>
      <c r="C40" s="546"/>
      <c r="D40" s="546"/>
    </row>
    <row r="41" spans="1:4" x14ac:dyDescent="0.3">
      <c r="A41" s="546"/>
      <c r="B41" s="546"/>
      <c r="C41" s="546"/>
      <c r="D41" s="546"/>
    </row>
    <row r="42" spans="1:4" x14ac:dyDescent="0.3">
      <c r="A42" s="546"/>
      <c r="B42" s="546"/>
      <c r="C42" s="546"/>
      <c r="D42" s="546"/>
    </row>
    <row r="43" spans="1:4" x14ac:dyDescent="0.3">
      <c r="A43" s="546"/>
      <c r="B43" s="546"/>
      <c r="C43" s="546"/>
      <c r="D43" s="546"/>
    </row>
    <row r="44" spans="1:4" x14ac:dyDescent="0.3">
      <c r="A44" s="546"/>
      <c r="B44" s="546"/>
      <c r="C44" s="546"/>
      <c r="D44" s="546"/>
    </row>
    <row r="45" spans="1:4" x14ac:dyDescent="0.3">
      <c r="A45" s="546"/>
      <c r="B45" s="546"/>
      <c r="C45" s="546"/>
      <c r="D45" s="546"/>
    </row>
    <row r="46" spans="1:4" x14ac:dyDescent="0.3">
      <c r="A46" s="546"/>
      <c r="B46" s="546"/>
      <c r="C46" s="546"/>
      <c r="D46" s="546"/>
    </row>
    <row r="47" spans="1:4" x14ac:dyDescent="0.3">
      <c r="A47" s="546"/>
      <c r="B47" s="546"/>
      <c r="C47" s="546"/>
      <c r="D47" s="546"/>
    </row>
    <row r="48" spans="1:4" x14ac:dyDescent="0.3">
      <c r="A48" s="546"/>
      <c r="B48" s="546"/>
      <c r="C48" s="546"/>
      <c r="D48" s="546"/>
    </row>
    <row r="49" spans="1:4" x14ac:dyDescent="0.3">
      <c r="A49" s="546"/>
      <c r="B49" s="546"/>
      <c r="C49" s="546"/>
      <c r="D49" s="546"/>
    </row>
    <row r="50" spans="1:4" x14ac:dyDescent="0.3">
      <c r="A50" s="546"/>
      <c r="B50" s="546"/>
      <c r="C50" s="546"/>
      <c r="D50" s="546"/>
    </row>
    <row r="51" spans="1:4" x14ac:dyDescent="0.3">
      <c r="A51" s="546"/>
      <c r="B51" s="546"/>
      <c r="C51" s="546"/>
      <c r="D51" s="546"/>
    </row>
    <row r="52" spans="1:4" x14ac:dyDescent="0.3">
      <c r="A52" s="546"/>
      <c r="B52" s="546"/>
      <c r="C52" s="546"/>
      <c r="D52" s="546"/>
    </row>
    <row r="53" spans="1:4" x14ac:dyDescent="0.3">
      <c r="A53" s="546"/>
      <c r="B53" s="546"/>
      <c r="C53" s="546"/>
      <c r="D53" s="546"/>
    </row>
    <row r="54" spans="1:4" x14ac:dyDescent="0.3">
      <c r="A54" s="546"/>
      <c r="B54" s="546"/>
      <c r="C54" s="546"/>
      <c r="D54" s="546"/>
    </row>
    <row r="55" spans="1:4" x14ac:dyDescent="0.3">
      <c r="A55" s="546"/>
      <c r="B55" s="546"/>
      <c r="C55" s="546"/>
      <c r="D55" s="546"/>
    </row>
    <row r="56" spans="1:4" x14ac:dyDescent="0.3">
      <c r="A56" s="546"/>
      <c r="B56" s="546"/>
      <c r="C56" s="546"/>
      <c r="D56" s="546"/>
    </row>
    <row r="57" spans="1:4" x14ac:dyDescent="0.3">
      <c r="A57" s="546"/>
      <c r="B57" s="546"/>
      <c r="C57" s="546"/>
      <c r="D57" s="546"/>
    </row>
    <row r="58" spans="1:4" x14ac:dyDescent="0.3">
      <c r="A58" s="546"/>
      <c r="B58" s="546"/>
      <c r="C58" s="546"/>
      <c r="D58" s="546"/>
    </row>
    <row r="59" spans="1:4" x14ac:dyDescent="0.3">
      <c r="A59" s="546"/>
      <c r="B59" s="546"/>
      <c r="C59" s="546"/>
      <c r="D59" s="546"/>
    </row>
    <row r="60" spans="1:4" x14ac:dyDescent="0.3">
      <c r="A60" s="546"/>
      <c r="B60" s="546"/>
      <c r="C60" s="546"/>
      <c r="D60" s="546"/>
    </row>
    <row r="61" spans="1:4" x14ac:dyDescent="0.3">
      <c r="A61" s="546"/>
      <c r="B61" s="546"/>
      <c r="C61" s="546"/>
      <c r="D61" s="546"/>
    </row>
    <row r="62" spans="1:4" x14ac:dyDescent="0.3">
      <c r="A62" s="546"/>
      <c r="B62" s="546"/>
      <c r="C62" s="546"/>
      <c r="D62" s="546"/>
    </row>
    <row r="63" spans="1:4" x14ac:dyDescent="0.3">
      <c r="A63" s="546"/>
      <c r="B63" s="546"/>
      <c r="C63" s="546"/>
      <c r="D63" s="546"/>
    </row>
    <row r="64" spans="1:4" x14ac:dyDescent="0.3">
      <c r="A64" s="546"/>
      <c r="B64" s="546"/>
      <c r="C64" s="546"/>
      <c r="D64" s="546"/>
    </row>
    <row r="65" spans="1:4" x14ac:dyDescent="0.3">
      <c r="A65" s="546"/>
      <c r="B65" s="546"/>
      <c r="C65" s="546"/>
      <c r="D65" s="546"/>
    </row>
    <row r="66" spans="1:4" x14ac:dyDescent="0.3">
      <c r="A66" s="546"/>
      <c r="B66" s="546"/>
      <c r="C66" s="546"/>
      <c r="D66" s="546"/>
    </row>
    <row r="67" spans="1:4" x14ac:dyDescent="0.3">
      <c r="A67" s="546"/>
      <c r="B67" s="546"/>
      <c r="C67" s="546"/>
      <c r="D67" s="546"/>
    </row>
    <row r="68" spans="1:4" x14ac:dyDescent="0.3">
      <c r="A68" s="546"/>
      <c r="B68" s="546"/>
      <c r="C68" s="546"/>
      <c r="D68" s="546"/>
    </row>
    <row r="69" spans="1:4" x14ac:dyDescent="0.3">
      <c r="A69" s="546"/>
      <c r="B69" s="546"/>
      <c r="C69" s="546"/>
      <c r="D69" s="546"/>
    </row>
    <row r="70" spans="1:4" x14ac:dyDescent="0.3">
      <c r="A70" s="546"/>
      <c r="B70" s="546"/>
      <c r="C70" s="546"/>
      <c r="D70" s="546"/>
    </row>
    <row r="71" spans="1:4" x14ac:dyDescent="0.3">
      <c r="A71" s="546"/>
      <c r="B71" s="546"/>
      <c r="C71" s="546"/>
      <c r="D71" s="546"/>
    </row>
    <row r="72" spans="1:4" x14ac:dyDescent="0.3">
      <c r="A72" s="546"/>
      <c r="B72" s="546"/>
      <c r="C72" s="546"/>
      <c r="D72" s="546"/>
    </row>
    <row r="73" spans="1:4" x14ac:dyDescent="0.3">
      <c r="A73" s="546"/>
      <c r="B73" s="546"/>
      <c r="C73" s="546"/>
      <c r="D73" s="546"/>
    </row>
    <row r="74" spans="1:4" x14ac:dyDescent="0.3">
      <c r="A74" s="546"/>
      <c r="B74" s="546"/>
      <c r="C74" s="546"/>
      <c r="D74" s="546"/>
    </row>
    <row r="75" spans="1:4" x14ac:dyDescent="0.3">
      <c r="A75" s="546"/>
      <c r="B75" s="546"/>
      <c r="C75" s="546"/>
      <c r="D75" s="546"/>
    </row>
    <row r="76" spans="1:4" x14ac:dyDescent="0.3">
      <c r="A76" s="546"/>
      <c r="B76" s="546"/>
      <c r="C76" s="546"/>
      <c r="D76" s="546"/>
    </row>
    <row r="77" spans="1:4" x14ac:dyDescent="0.3">
      <c r="A77" s="546"/>
      <c r="B77" s="546"/>
      <c r="C77" s="546"/>
      <c r="D77" s="546"/>
    </row>
    <row r="78" spans="1:4" x14ac:dyDescent="0.3">
      <c r="A78" s="546"/>
      <c r="B78" s="546"/>
      <c r="C78" s="546"/>
      <c r="D78" s="546"/>
    </row>
    <row r="79" spans="1:4" x14ac:dyDescent="0.3">
      <c r="A79" s="546"/>
      <c r="B79" s="546"/>
      <c r="C79" s="546"/>
      <c r="D79" s="546"/>
    </row>
    <row r="80" spans="1:4" x14ac:dyDescent="0.3">
      <c r="A80" s="546"/>
      <c r="B80" s="546"/>
      <c r="C80" s="546"/>
      <c r="D80" s="546"/>
    </row>
    <row r="81" spans="1:4" x14ac:dyDescent="0.3">
      <c r="A81" s="546"/>
      <c r="B81" s="546"/>
      <c r="C81" s="546"/>
      <c r="D81" s="546"/>
    </row>
    <row r="82" spans="1:4" x14ac:dyDescent="0.3">
      <c r="A82" s="546"/>
      <c r="B82" s="546"/>
      <c r="C82" s="546"/>
      <c r="D82" s="546"/>
    </row>
    <row r="83" spans="1:4" x14ac:dyDescent="0.3">
      <c r="A83" s="546"/>
      <c r="B83" s="546"/>
      <c r="C83" s="546"/>
      <c r="D83" s="546"/>
    </row>
    <row r="84" spans="1:4" x14ac:dyDescent="0.3">
      <c r="A84" s="546"/>
      <c r="B84" s="546"/>
      <c r="C84" s="546"/>
      <c r="D84" s="546"/>
    </row>
    <row r="85" spans="1:4" x14ac:dyDescent="0.3">
      <c r="A85" s="546"/>
      <c r="B85" s="546"/>
      <c r="C85" s="546"/>
      <c r="D85" s="546"/>
    </row>
    <row r="86" spans="1:4" x14ac:dyDescent="0.3">
      <c r="A86" s="546"/>
      <c r="B86" s="546"/>
      <c r="C86" s="546"/>
      <c r="D86" s="546"/>
    </row>
    <row r="87" spans="1:4" x14ac:dyDescent="0.3">
      <c r="A87" s="546"/>
      <c r="B87" s="546"/>
      <c r="C87" s="546"/>
      <c r="D87" s="546"/>
    </row>
    <row r="88" spans="1:4" x14ac:dyDescent="0.3">
      <c r="A88" s="546"/>
      <c r="B88" s="546"/>
      <c r="C88" s="546"/>
      <c r="D88" s="546"/>
    </row>
    <row r="89" spans="1:4" x14ac:dyDescent="0.3">
      <c r="A89" s="546"/>
      <c r="B89" s="546"/>
      <c r="C89" s="546"/>
      <c r="D89" s="546"/>
    </row>
    <row r="90" spans="1:4" x14ac:dyDescent="0.3">
      <c r="A90" s="546"/>
      <c r="B90" s="546"/>
      <c r="C90" s="546"/>
      <c r="D90" s="546"/>
    </row>
    <row r="91" spans="1:4" x14ac:dyDescent="0.3">
      <c r="A91" s="546"/>
      <c r="B91" s="546"/>
      <c r="C91" s="546"/>
      <c r="D91" s="546"/>
    </row>
    <row r="92" spans="1:4" x14ac:dyDescent="0.3">
      <c r="A92" s="546"/>
      <c r="B92" s="546"/>
      <c r="C92" s="546"/>
      <c r="D92" s="546"/>
    </row>
    <row r="93" spans="1:4" x14ac:dyDescent="0.3">
      <c r="A93" s="546"/>
      <c r="B93" s="546"/>
      <c r="C93" s="546"/>
      <c r="D93" s="546"/>
    </row>
    <row r="94" spans="1:4" x14ac:dyDescent="0.3">
      <c r="A94" s="546"/>
      <c r="B94" s="546"/>
      <c r="C94" s="546"/>
      <c r="D94" s="546"/>
    </row>
    <row r="95" spans="1:4" x14ac:dyDescent="0.3">
      <c r="A95" s="546"/>
      <c r="B95" s="546"/>
      <c r="C95" s="546"/>
      <c r="D95" s="546"/>
    </row>
    <row r="96" spans="1:4" x14ac:dyDescent="0.3">
      <c r="A96" s="546"/>
      <c r="B96" s="546"/>
      <c r="C96" s="546"/>
      <c r="D96" s="546"/>
    </row>
    <row r="97" spans="1:4" x14ac:dyDescent="0.3">
      <c r="A97" s="546"/>
      <c r="B97" s="546"/>
      <c r="C97" s="546"/>
      <c r="D97" s="546"/>
    </row>
    <row r="98" spans="1:4" x14ac:dyDescent="0.3">
      <c r="A98" s="546"/>
      <c r="B98" s="546"/>
      <c r="C98" s="546"/>
      <c r="D98" s="546"/>
    </row>
    <row r="99" spans="1:4" x14ac:dyDescent="0.3">
      <c r="A99" s="546"/>
      <c r="B99" s="546"/>
      <c r="C99" s="546"/>
      <c r="D99" s="546"/>
    </row>
    <row r="100" spans="1:4" x14ac:dyDescent="0.3">
      <c r="A100" s="546"/>
      <c r="B100" s="546"/>
      <c r="C100" s="546"/>
      <c r="D100" s="546"/>
    </row>
    <row r="101" spans="1:4" x14ac:dyDescent="0.3">
      <c r="A101" s="546"/>
      <c r="B101" s="546"/>
      <c r="C101" s="546"/>
      <c r="D101" s="546"/>
    </row>
    <row r="102" spans="1:4" x14ac:dyDescent="0.3">
      <c r="A102" s="546"/>
      <c r="B102" s="546"/>
      <c r="C102" s="546"/>
      <c r="D102" s="546"/>
    </row>
    <row r="103" spans="1:4" x14ac:dyDescent="0.3">
      <c r="A103" s="546"/>
      <c r="B103" s="546"/>
      <c r="C103" s="546"/>
      <c r="D103" s="546"/>
    </row>
    <row r="104" spans="1:4" x14ac:dyDescent="0.3">
      <c r="A104" s="546"/>
      <c r="B104" s="546"/>
      <c r="C104" s="546"/>
      <c r="D104" s="546"/>
    </row>
    <row r="105" spans="1:4" x14ac:dyDescent="0.3">
      <c r="A105" s="546"/>
      <c r="B105" s="546"/>
      <c r="C105" s="546"/>
      <c r="D105" s="546"/>
    </row>
    <row r="106" spans="1:4" x14ac:dyDescent="0.3">
      <c r="A106" s="546"/>
      <c r="B106" s="546"/>
      <c r="C106" s="546"/>
      <c r="D106" s="546"/>
    </row>
    <row r="107" spans="1:4" x14ac:dyDescent="0.3">
      <c r="A107" s="546"/>
      <c r="B107" s="546"/>
      <c r="C107" s="546"/>
      <c r="D107" s="546"/>
    </row>
    <row r="108" spans="1:4" x14ac:dyDescent="0.3">
      <c r="A108" s="546"/>
      <c r="B108" s="546"/>
      <c r="C108" s="546"/>
      <c r="D108" s="546"/>
    </row>
    <row r="109" spans="1:4" x14ac:dyDescent="0.3">
      <c r="A109" s="546"/>
      <c r="B109" s="546"/>
      <c r="C109" s="546"/>
      <c r="D109" s="546"/>
    </row>
    <row r="110" spans="1:4" x14ac:dyDescent="0.3">
      <c r="A110" s="546"/>
      <c r="B110" s="546"/>
      <c r="C110" s="546"/>
      <c r="D110" s="546"/>
    </row>
    <row r="111" spans="1:4" x14ac:dyDescent="0.3">
      <c r="A111" s="546"/>
      <c r="B111" s="546"/>
      <c r="C111" s="546"/>
      <c r="D111" s="546"/>
    </row>
    <row r="112" spans="1:4" x14ac:dyDescent="0.3">
      <c r="A112" s="546"/>
      <c r="B112" s="546"/>
      <c r="C112" s="546"/>
      <c r="D112" s="546"/>
    </row>
    <row r="113" spans="1:4" x14ac:dyDescent="0.3">
      <c r="A113" s="546"/>
      <c r="B113" s="546"/>
      <c r="C113" s="546"/>
      <c r="D113" s="546"/>
    </row>
    <row r="114" spans="1:4" x14ac:dyDescent="0.3">
      <c r="A114" s="546"/>
      <c r="B114" s="546"/>
      <c r="C114" s="546"/>
      <c r="D114" s="546"/>
    </row>
    <row r="115" spans="1:4" x14ac:dyDescent="0.3">
      <c r="A115" s="546"/>
      <c r="B115" s="546"/>
      <c r="C115" s="546"/>
      <c r="D115" s="546"/>
    </row>
    <row r="116" spans="1:4" x14ac:dyDescent="0.3">
      <c r="A116" s="546"/>
      <c r="B116" s="546"/>
      <c r="C116" s="546"/>
      <c r="D116" s="546"/>
    </row>
    <row r="117" spans="1:4" x14ac:dyDescent="0.3">
      <c r="A117" s="546"/>
      <c r="B117" s="546"/>
      <c r="C117" s="546"/>
      <c r="D117" s="546"/>
    </row>
    <row r="118" spans="1:4" x14ac:dyDescent="0.3">
      <c r="A118" s="546"/>
      <c r="B118" s="546"/>
      <c r="C118" s="546"/>
      <c r="D118" s="546"/>
    </row>
    <row r="119" spans="1:4" x14ac:dyDescent="0.3">
      <c r="A119" s="546"/>
      <c r="B119" s="546"/>
      <c r="C119" s="546"/>
      <c r="D119" s="546"/>
    </row>
    <row r="120" spans="1:4" x14ac:dyDescent="0.3">
      <c r="A120" s="546"/>
      <c r="B120" s="546"/>
      <c r="C120" s="546"/>
      <c r="D120" s="546"/>
    </row>
    <row r="121" spans="1:4" x14ac:dyDescent="0.3">
      <c r="A121" s="546"/>
      <c r="B121" s="546"/>
      <c r="C121" s="546"/>
      <c r="D121" s="546"/>
    </row>
    <row r="122" spans="1:4" x14ac:dyDescent="0.3">
      <c r="A122" s="546"/>
      <c r="B122" s="546"/>
      <c r="C122" s="546"/>
      <c r="D122" s="546"/>
    </row>
    <row r="123" spans="1:4" x14ac:dyDescent="0.3">
      <c r="A123" s="546"/>
      <c r="B123" s="546"/>
      <c r="C123" s="546"/>
      <c r="D123" s="546"/>
    </row>
    <row r="124" spans="1:4" x14ac:dyDescent="0.3">
      <c r="A124" s="546"/>
      <c r="B124" s="546"/>
      <c r="C124" s="546"/>
      <c r="D124" s="546"/>
    </row>
    <row r="125" spans="1:4" x14ac:dyDescent="0.3">
      <c r="A125" s="546"/>
      <c r="B125" s="546"/>
      <c r="C125" s="546"/>
      <c r="D125" s="546"/>
    </row>
    <row r="126" spans="1:4" x14ac:dyDescent="0.3">
      <c r="A126" s="546"/>
      <c r="B126" s="546"/>
      <c r="C126" s="546"/>
      <c r="D126" s="546"/>
    </row>
    <row r="127" spans="1:4" x14ac:dyDescent="0.3">
      <c r="A127" s="546"/>
      <c r="B127" s="546"/>
      <c r="C127" s="546"/>
      <c r="D127" s="546"/>
    </row>
    <row r="128" spans="1:4" x14ac:dyDescent="0.3">
      <c r="A128" s="546"/>
      <c r="B128" s="546"/>
      <c r="C128" s="546"/>
      <c r="D128" s="546"/>
    </row>
    <row r="129" spans="1:4" x14ac:dyDescent="0.3">
      <c r="A129" s="546"/>
      <c r="B129" s="546"/>
      <c r="C129" s="546"/>
      <c r="D129" s="546"/>
    </row>
    <row r="130" spans="1:4" x14ac:dyDescent="0.3">
      <c r="A130" s="546"/>
      <c r="B130" s="546"/>
      <c r="C130" s="546"/>
      <c r="D130" s="546"/>
    </row>
    <row r="131" spans="1:4" x14ac:dyDescent="0.3">
      <c r="A131" s="546"/>
      <c r="B131" s="546"/>
      <c r="C131" s="546"/>
      <c r="D131" s="546"/>
    </row>
    <row r="132" spans="1:4" x14ac:dyDescent="0.3">
      <c r="A132" s="546"/>
      <c r="B132" s="546"/>
      <c r="C132" s="546"/>
      <c r="D132" s="546"/>
    </row>
    <row r="133" spans="1:4" x14ac:dyDescent="0.3">
      <c r="A133" s="546"/>
      <c r="B133" s="546"/>
      <c r="C133" s="546"/>
      <c r="D133" s="546"/>
    </row>
    <row r="134" spans="1:4" x14ac:dyDescent="0.3">
      <c r="A134" s="546"/>
      <c r="B134" s="546"/>
      <c r="C134" s="546"/>
      <c r="D134" s="546"/>
    </row>
    <row r="135" spans="1:4" x14ac:dyDescent="0.3">
      <c r="A135" s="546"/>
      <c r="B135" s="546"/>
      <c r="C135" s="546"/>
      <c r="D135" s="546"/>
    </row>
    <row r="136" spans="1:4" x14ac:dyDescent="0.3">
      <c r="A136" s="546"/>
      <c r="B136" s="546"/>
      <c r="C136" s="546"/>
      <c r="D136" s="546"/>
    </row>
    <row r="137" spans="1:4" x14ac:dyDescent="0.3">
      <c r="A137" s="546"/>
      <c r="B137" s="546"/>
      <c r="C137" s="546"/>
      <c r="D137" s="546"/>
    </row>
    <row r="138" spans="1:4" x14ac:dyDescent="0.3">
      <c r="A138" s="546"/>
      <c r="B138" s="546"/>
      <c r="C138" s="546"/>
      <c r="D138" s="546"/>
    </row>
    <row r="139" spans="1:4" x14ac:dyDescent="0.3">
      <c r="A139" s="546"/>
      <c r="B139" s="546"/>
      <c r="C139" s="546"/>
      <c r="D139" s="546"/>
    </row>
    <row r="140" spans="1:4" x14ac:dyDescent="0.3">
      <c r="A140" s="546"/>
      <c r="B140" s="546"/>
      <c r="C140" s="546"/>
      <c r="D140" s="546"/>
    </row>
    <row r="141" spans="1:4" x14ac:dyDescent="0.3">
      <c r="A141" s="546"/>
      <c r="B141" s="546"/>
      <c r="C141" s="546"/>
      <c r="D141" s="546"/>
    </row>
    <row r="142" spans="1:4" x14ac:dyDescent="0.3">
      <c r="A142" s="546"/>
      <c r="B142" s="546"/>
      <c r="C142" s="546"/>
      <c r="D142" s="546"/>
    </row>
    <row r="143" spans="1:4" x14ac:dyDescent="0.3">
      <c r="A143" s="546"/>
      <c r="B143" s="546"/>
      <c r="C143" s="546"/>
      <c r="D143" s="546"/>
    </row>
    <row r="144" spans="1:4" x14ac:dyDescent="0.3">
      <c r="A144" s="546"/>
      <c r="B144" s="546"/>
      <c r="C144" s="546"/>
      <c r="D144" s="546"/>
    </row>
    <row r="145" spans="1:4" x14ac:dyDescent="0.3">
      <c r="A145" s="546"/>
      <c r="B145" s="546"/>
      <c r="C145" s="546"/>
      <c r="D145" s="546"/>
    </row>
    <row r="146" spans="1:4" x14ac:dyDescent="0.3">
      <c r="A146" s="546"/>
      <c r="B146" s="546"/>
      <c r="C146" s="546"/>
      <c r="D146" s="546"/>
    </row>
    <row r="147" spans="1:4" x14ac:dyDescent="0.3">
      <c r="A147" s="546"/>
      <c r="B147" s="546"/>
      <c r="C147" s="546"/>
      <c r="D147" s="546"/>
    </row>
    <row r="148" spans="1:4" x14ac:dyDescent="0.3">
      <c r="A148" s="546"/>
      <c r="B148" s="546"/>
      <c r="C148" s="546"/>
      <c r="D148" s="546"/>
    </row>
    <row r="149" spans="1:4" x14ac:dyDescent="0.3">
      <c r="A149" s="546"/>
      <c r="B149" s="546"/>
      <c r="C149" s="546"/>
      <c r="D149" s="546"/>
    </row>
    <row r="150" spans="1:4" x14ac:dyDescent="0.3">
      <c r="A150" s="546"/>
      <c r="B150" s="546"/>
      <c r="C150" s="546"/>
      <c r="D150" s="546"/>
    </row>
    <row r="151" spans="1:4" x14ac:dyDescent="0.3">
      <c r="A151" s="546"/>
      <c r="B151" s="546"/>
      <c r="C151" s="546"/>
      <c r="D151" s="546"/>
    </row>
    <row r="152" spans="1:4" x14ac:dyDescent="0.3">
      <c r="A152" s="546"/>
      <c r="B152" s="546"/>
      <c r="C152" s="546"/>
      <c r="D152" s="546"/>
    </row>
    <row r="153" spans="1:4" x14ac:dyDescent="0.3">
      <c r="A153" s="546"/>
      <c r="B153" s="546"/>
      <c r="C153" s="546"/>
      <c r="D153" s="546"/>
    </row>
    <row r="154" spans="1:4" x14ac:dyDescent="0.3">
      <c r="A154" s="546"/>
      <c r="B154" s="546"/>
      <c r="C154" s="546"/>
      <c r="D154" s="546"/>
    </row>
    <row r="155" spans="1:4" x14ac:dyDescent="0.3">
      <c r="A155" s="546"/>
      <c r="B155" s="546"/>
      <c r="C155" s="546"/>
      <c r="D155" s="546"/>
    </row>
    <row r="156" spans="1:4" x14ac:dyDescent="0.3">
      <c r="A156" s="546"/>
      <c r="B156" s="546"/>
      <c r="C156" s="546"/>
      <c r="D156" s="546"/>
    </row>
    <row r="157" spans="1:4" x14ac:dyDescent="0.3">
      <c r="A157" s="546"/>
      <c r="B157" s="546"/>
      <c r="C157" s="546"/>
      <c r="D157" s="546"/>
    </row>
    <row r="158" spans="1:4" x14ac:dyDescent="0.3">
      <c r="A158" s="546"/>
      <c r="B158" s="546"/>
      <c r="C158" s="546"/>
      <c r="D158" s="546"/>
    </row>
    <row r="159" spans="1:4" x14ac:dyDescent="0.3">
      <c r="A159" s="546"/>
      <c r="B159" s="546"/>
      <c r="C159" s="546"/>
      <c r="D159" s="546"/>
    </row>
    <row r="160" spans="1:4" x14ac:dyDescent="0.3">
      <c r="A160" s="546"/>
      <c r="B160" s="546"/>
      <c r="C160" s="546"/>
      <c r="D160" s="546"/>
    </row>
    <row r="161" spans="1:4" x14ac:dyDescent="0.3">
      <c r="A161" s="546"/>
      <c r="B161" s="546"/>
      <c r="C161" s="546"/>
      <c r="D161" s="546"/>
    </row>
    <row r="162" spans="1:4" x14ac:dyDescent="0.3">
      <c r="A162" s="546"/>
      <c r="B162" s="546"/>
      <c r="C162" s="546"/>
      <c r="D162" s="546"/>
    </row>
    <row r="163" spans="1:4" x14ac:dyDescent="0.3">
      <c r="A163" s="546"/>
      <c r="B163" s="546"/>
      <c r="C163" s="546"/>
      <c r="D163" s="546"/>
    </row>
    <row r="164" spans="1:4" x14ac:dyDescent="0.3">
      <c r="A164" s="546"/>
      <c r="B164" s="546"/>
      <c r="C164" s="546"/>
      <c r="D164" s="546"/>
    </row>
    <row r="165" spans="1:4" x14ac:dyDescent="0.3">
      <c r="A165" s="546"/>
      <c r="B165" s="546"/>
      <c r="C165" s="546"/>
      <c r="D165" s="546"/>
    </row>
    <row r="166" spans="1:4" x14ac:dyDescent="0.3">
      <c r="A166" s="546"/>
      <c r="B166" s="546"/>
      <c r="C166" s="546"/>
      <c r="D166" s="546"/>
    </row>
    <row r="167" spans="1:4" x14ac:dyDescent="0.3">
      <c r="A167" s="546"/>
      <c r="B167" s="546"/>
      <c r="C167" s="546"/>
      <c r="D167" s="546"/>
    </row>
    <row r="168" spans="1:4" x14ac:dyDescent="0.3">
      <c r="A168" s="546"/>
      <c r="B168" s="546"/>
      <c r="C168" s="546"/>
      <c r="D168" s="546"/>
    </row>
    <row r="169" spans="1:4" x14ac:dyDescent="0.3">
      <c r="A169" s="546"/>
      <c r="B169" s="546"/>
      <c r="C169" s="546"/>
      <c r="D169" s="546"/>
    </row>
    <row r="170" spans="1:4" x14ac:dyDescent="0.3">
      <c r="A170" s="546"/>
      <c r="B170" s="546"/>
      <c r="C170" s="546"/>
      <c r="D170" s="546"/>
    </row>
    <row r="171" spans="1:4" x14ac:dyDescent="0.3">
      <c r="A171" s="546"/>
      <c r="B171" s="546"/>
      <c r="C171" s="546"/>
      <c r="D171" s="546"/>
    </row>
    <row r="172" spans="1:4" x14ac:dyDescent="0.3">
      <c r="A172" s="546"/>
      <c r="B172" s="546"/>
      <c r="C172" s="546"/>
      <c r="D172" s="546"/>
    </row>
    <row r="173" spans="1:4" x14ac:dyDescent="0.3">
      <c r="A173" s="546"/>
      <c r="B173" s="546"/>
      <c r="C173" s="546"/>
      <c r="D173" s="546"/>
    </row>
    <row r="174" spans="1:4" x14ac:dyDescent="0.3">
      <c r="A174" s="546"/>
      <c r="B174" s="546"/>
      <c r="C174" s="546"/>
      <c r="D174" s="546"/>
    </row>
    <row r="175" spans="1:4" x14ac:dyDescent="0.3">
      <c r="A175" s="546"/>
      <c r="B175" s="546"/>
      <c r="C175" s="546"/>
      <c r="D175" s="546"/>
    </row>
    <row r="176" spans="1:4" x14ac:dyDescent="0.3">
      <c r="A176" s="546"/>
      <c r="B176" s="546"/>
      <c r="C176" s="546"/>
      <c r="D176" s="546"/>
    </row>
    <row r="177" spans="1:4" x14ac:dyDescent="0.3">
      <c r="A177" s="546"/>
      <c r="B177" s="546"/>
      <c r="C177" s="546"/>
      <c r="D177" s="546"/>
    </row>
    <row r="178" spans="1:4" x14ac:dyDescent="0.3">
      <c r="A178" s="546"/>
      <c r="B178" s="546"/>
      <c r="C178" s="546"/>
      <c r="D178" s="546"/>
    </row>
    <row r="179" spans="1:4" x14ac:dyDescent="0.3">
      <c r="A179" s="546"/>
      <c r="B179" s="546"/>
      <c r="C179" s="546"/>
      <c r="D179" s="546"/>
    </row>
    <row r="180" spans="1:4" x14ac:dyDescent="0.3">
      <c r="A180" s="546"/>
      <c r="B180" s="546"/>
      <c r="C180" s="546"/>
      <c r="D180" s="546"/>
    </row>
    <row r="181" spans="1:4" x14ac:dyDescent="0.3">
      <c r="A181" s="546"/>
      <c r="B181" s="546"/>
      <c r="C181" s="546"/>
      <c r="D181" s="546"/>
    </row>
    <row r="182" spans="1:4" x14ac:dyDescent="0.3">
      <c r="A182" s="546"/>
      <c r="B182" s="546"/>
      <c r="C182" s="546"/>
      <c r="D182" s="546"/>
    </row>
    <row r="183" spans="1:4" x14ac:dyDescent="0.3">
      <c r="A183" s="546"/>
      <c r="B183" s="546"/>
      <c r="C183" s="546"/>
      <c r="D183" s="546"/>
    </row>
    <row r="184" spans="1:4" x14ac:dyDescent="0.3">
      <c r="A184" s="546"/>
      <c r="B184" s="546"/>
      <c r="C184" s="546"/>
      <c r="D184" s="546"/>
    </row>
    <row r="185" spans="1:4" x14ac:dyDescent="0.3">
      <c r="A185" s="546"/>
      <c r="B185" s="546"/>
      <c r="C185" s="546"/>
      <c r="D185" s="546"/>
    </row>
    <row r="186" spans="1:4" x14ac:dyDescent="0.3">
      <c r="A186" s="546"/>
      <c r="B186" s="546"/>
      <c r="C186" s="546"/>
      <c r="D186" s="546"/>
    </row>
    <row r="187" spans="1:4" x14ac:dyDescent="0.3">
      <c r="A187" s="546"/>
      <c r="B187" s="546"/>
      <c r="C187" s="546"/>
      <c r="D187" s="546"/>
    </row>
    <row r="188" spans="1:4" x14ac:dyDescent="0.3">
      <c r="A188" s="546"/>
      <c r="B188" s="546"/>
      <c r="C188" s="546"/>
      <c r="D188" s="546"/>
    </row>
    <row r="189" spans="1:4" x14ac:dyDescent="0.3">
      <c r="A189" s="546"/>
      <c r="B189" s="546"/>
      <c r="C189" s="546"/>
      <c r="D189" s="546"/>
    </row>
    <row r="190" spans="1:4" x14ac:dyDescent="0.3">
      <c r="A190" s="546"/>
      <c r="B190" s="546"/>
      <c r="C190" s="546"/>
      <c r="D190" s="546"/>
    </row>
    <row r="191" spans="1:4" x14ac:dyDescent="0.3">
      <c r="A191" s="546"/>
      <c r="B191" s="546"/>
      <c r="C191" s="546"/>
      <c r="D191" s="546"/>
    </row>
    <row r="192" spans="1:4" x14ac:dyDescent="0.3">
      <c r="A192" s="546"/>
      <c r="B192" s="546"/>
      <c r="C192" s="546"/>
      <c r="D192" s="546"/>
    </row>
    <row r="193" spans="1:4" x14ac:dyDescent="0.3">
      <c r="A193" s="546"/>
      <c r="B193" s="546"/>
      <c r="C193" s="546"/>
      <c r="D193" s="546"/>
    </row>
    <row r="194" spans="1:4" x14ac:dyDescent="0.3">
      <c r="A194" s="546"/>
      <c r="B194" s="546"/>
      <c r="C194" s="546"/>
      <c r="D194" s="546"/>
    </row>
    <row r="195" spans="1:4" x14ac:dyDescent="0.3">
      <c r="A195" s="546"/>
      <c r="B195" s="546"/>
      <c r="C195" s="546"/>
      <c r="D195" s="546"/>
    </row>
    <row r="196" spans="1:4" x14ac:dyDescent="0.3">
      <c r="A196" s="546"/>
      <c r="B196" s="546"/>
      <c r="C196" s="546"/>
      <c r="D196" s="546"/>
    </row>
    <row r="197" spans="1:4" x14ac:dyDescent="0.3">
      <c r="A197" s="546"/>
      <c r="B197" s="546"/>
      <c r="C197" s="546"/>
      <c r="D197" s="546"/>
    </row>
    <row r="198" spans="1:4" x14ac:dyDescent="0.3">
      <c r="A198" s="546"/>
      <c r="B198" s="546"/>
      <c r="C198" s="546"/>
      <c r="D198" s="546"/>
    </row>
    <row r="199" spans="1:4" x14ac:dyDescent="0.3">
      <c r="A199" s="546"/>
      <c r="B199" s="546"/>
      <c r="C199" s="546"/>
      <c r="D199" s="546"/>
    </row>
    <row r="200" spans="1:4" x14ac:dyDescent="0.3">
      <c r="A200" s="546"/>
      <c r="B200" s="546"/>
      <c r="C200" s="546"/>
      <c r="D200" s="546"/>
    </row>
  </sheetData>
  <mergeCells count="3">
    <mergeCell ref="B1:C1"/>
    <mergeCell ref="B2:C2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D01B-0024-4CE6-A9A2-5BA08DA79776}">
  <dimension ref="A1:F25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.77734375" customWidth="1"/>
    <col min="2" max="2" width="37" customWidth="1"/>
    <col min="3" max="3" width="74.109375" customWidth="1"/>
    <col min="4" max="4" width="2.77734375" customWidth="1"/>
    <col min="5" max="5" width="25.88671875" customWidth="1"/>
    <col min="6" max="6" width="29.6640625" customWidth="1"/>
  </cols>
  <sheetData>
    <row r="1" spans="1:6" ht="49.95" customHeight="1" x14ac:dyDescent="0.55000000000000004">
      <c r="A1" s="546"/>
      <c r="B1" s="554" t="s">
        <v>1625</v>
      </c>
      <c r="C1" s="554"/>
      <c r="D1" s="546"/>
      <c r="E1" s="558" t="s">
        <v>1628</v>
      </c>
      <c r="F1" s="559" t="s">
        <v>1072</v>
      </c>
    </row>
    <row r="2" spans="1:6" ht="28.05" customHeight="1" x14ac:dyDescent="0.3">
      <c r="A2" s="546"/>
      <c r="B2" s="555" t="s">
        <v>1626</v>
      </c>
      <c r="C2" s="555"/>
      <c r="D2" s="546"/>
      <c r="E2" s="546"/>
      <c r="F2" s="546"/>
    </row>
    <row r="3" spans="1:6" ht="28.05" customHeight="1" x14ac:dyDescent="0.3">
      <c r="A3" s="546"/>
      <c r="B3" s="556" t="s">
        <v>1627</v>
      </c>
      <c r="C3" s="556"/>
      <c r="D3" s="546"/>
      <c r="E3" s="546"/>
      <c r="F3" s="546"/>
    </row>
    <row r="4" spans="1:6" ht="4.05" customHeight="1" x14ac:dyDescent="0.3">
      <c r="A4" s="560"/>
      <c r="B4" s="560"/>
      <c r="C4" s="560"/>
      <c r="D4" s="560"/>
      <c r="E4" s="560"/>
      <c r="F4" s="560"/>
    </row>
    <row r="5" spans="1:6" ht="28.05" customHeight="1" x14ac:dyDescent="0.3">
      <c r="A5" s="561"/>
      <c r="B5" s="570" t="s">
        <v>1632</v>
      </c>
      <c r="C5" s="562"/>
      <c r="D5" s="561"/>
      <c r="E5" s="644" t="s">
        <v>1701</v>
      </c>
      <c r="F5" s="561"/>
    </row>
    <row r="6" spans="1:6" ht="28.05" customHeight="1" x14ac:dyDescent="0.3">
      <c r="A6" s="546"/>
      <c r="B6" s="571" t="s">
        <v>1075</v>
      </c>
      <c r="C6" s="572"/>
      <c r="D6" s="546"/>
      <c r="E6" s="546"/>
      <c r="F6" s="546"/>
    </row>
    <row r="7" spans="1:6" ht="4.05" customHeight="1" x14ac:dyDescent="0.3">
      <c r="A7" s="560"/>
      <c r="B7" s="573" t="s">
        <v>1075</v>
      </c>
      <c r="C7" s="574"/>
      <c r="D7" s="560"/>
      <c r="E7" s="560"/>
      <c r="F7" s="560"/>
    </row>
    <row r="8" spans="1:6" ht="34.049999999999997" customHeight="1" x14ac:dyDescent="0.35">
      <c r="A8" s="566"/>
      <c r="B8" s="567" t="s">
        <v>1629</v>
      </c>
      <c r="C8" s="568"/>
      <c r="D8" s="566"/>
      <c r="E8" s="587" t="s">
        <v>1635</v>
      </c>
      <c r="F8" s="586" t="str">
        <f>IF(AND(C10&lt;&gt;"",C15&lt;&gt;""),"✓ Kill zone mapped","⬜ Incomplete")</f>
        <v>⬜ Incomplete</v>
      </c>
    </row>
    <row r="9" spans="1:6" ht="22.05" customHeight="1" x14ac:dyDescent="0.35">
      <c r="A9" s="569"/>
      <c r="B9" s="575" t="s">
        <v>1630</v>
      </c>
      <c r="C9" s="576"/>
      <c r="D9" s="569"/>
      <c r="E9" s="569"/>
      <c r="F9" s="569"/>
    </row>
    <row r="10" spans="1:6" ht="40.049999999999997" customHeight="1" x14ac:dyDescent="0.3">
      <c r="A10" s="569"/>
      <c r="B10" s="577" t="s">
        <v>1631</v>
      </c>
      <c r="C10" s="579"/>
      <c r="D10" s="569"/>
      <c r="E10" s="645" t="s">
        <v>1702</v>
      </c>
      <c r="F10" s="647">
        <f>IF(AND(C10&lt;&gt;"",C15&lt;&gt;""),C55,0)</f>
        <v>0</v>
      </c>
    </row>
    <row r="11" spans="1:6" ht="25.95" customHeight="1" x14ac:dyDescent="0.3">
      <c r="A11" s="546"/>
      <c r="B11" s="578" t="s">
        <v>1131</v>
      </c>
      <c r="C11" s="582"/>
      <c r="D11" s="546"/>
      <c r="E11" s="646" t="s">
        <v>1703</v>
      </c>
      <c r="F11" s="650">
        <f>IF(C21&lt;&gt;"",C55,0)</f>
        <v>0</v>
      </c>
    </row>
    <row r="12" spans="1:6" ht="40.049999999999997" customHeight="1" x14ac:dyDescent="0.3">
      <c r="A12" s="546"/>
      <c r="B12" s="581" t="s">
        <v>1188</v>
      </c>
      <c r="C12" s="582"/>
      <c r="D12" s="546"/>
      <c r="E12" s="649" t="s">
        <v>1704</v>
      </c>
      <c r="F12" s="650">
        <f>IF(C30&lt;&gt;"",C55,0)</f>
        <v>0</v>
      </c>
    </row>
    <row r="13" spans="1:6" ht="25.95" customHeight="1" x14ac:dyDescent="0.3">
      <c r="A13" s="546"/>
      <c r="B13" s="583" t="s">
        <v>1131</v>
      </c>
      <c r="C13" s="582"/>
      <c r="D13" s="546"/>
      <c r="E13" s="551" t="s">
        <v>1705</v>
      </c>
      <c r="F13" s="650">
        <f>IF(C40&lt;&gt;"",C42,0)</f>
        <v>0</v>
      </c>
    </row>
    <row r="14" spans="1:6" ht="36" customHeight="1" x14ac:dyDescent="0.3">
      <c r="A14" s="546"/>
      <c r="B14" s="583" t="s">
        <v>1633</v>
      </c>
      <c r="C14" s="582"/>
      <c r="D14" s="546"/>
      <c r="E14" s="651" t="s">
        <v>1706</v>
      </c>
      <c r="F14" s="650">
        <f>IF(C51&lt;&gt;"",C55,0)</f>
        <v>0</v>
      </c>
    </row>
    <row r="15" spans="1:6" ht="28.05" customHeight="1" x14ac:dyDescent="0.3">
      <c r="A15" s="546"/>
      <c r="B15" s="557" t="s">
        <v>1133</v>
      </c>
      <c r="C15" s="582"/>
      <c r="D15" s="546"/>
      <c r="E15" s="652" t="s">
        <v>1707</v>
      </c>
      <c r="F15" s="650">
        <f>IF(C61&lt;&gt;"",C55,0)</f>
        <v>0</v>
      </c>
    </row>
    <row r="16" spans="1:6" ht="28.05" customHeight="1" x14ac:dyDescent="0.3">
      <c r="A16" s="546"/>
      <c r="B16" s="557" t="s">
        <v>1135</v>
      </c>
      <c r="C16" s="580"/>
      <c r="D16" s="546"/>
      <c r="E16" s="653" t="s">
        <v>1708</v>
      </c>
      <c r="F16" s="648">
        <f>IF(C69&lt;&gt;"",C72,0)</f>
        <v>0</v>
      </c>
    </row>
    <row r="17" spans="1:6" ht="22.05" customHeight="1" x14ac:dyDescent="0.3">
      <c r="A17" s="546"/>
      <c r="B17" s="585" t="s">
        <v>1634</v>
      </c>
      <c r="C17" s="547"/>
      <c r="D17" s="546"/>
      <c r="E17" s="546"/>
      <c r="F17" s="546"/>
    </row>
    <row r="18" spans="1:6" ht="4.05" customHeight="1" x14ac:dyDescent="0.35">
      <c r="A18" s="560"/>
      <c r="B18" s="560"/>
      <c r="C18" s="560"/>
      <c r="D18" s="560"/>
      <c r="E18" s="654" t="s">
        <v>1709</v>
      </c>
      <c r="F18" s="655" t="str">
        <f>IF(COUNTIF(F10:F16,"&gt;0")&gt;0,AVERAGE(F10:F16),"—")</f>
        <v>—</v>
      </c>
    </row>
    <row r="19" spans="1:6" ht="34.049999999999997" customHeight="1" x14ac:dyDescent="0.35">
      <c r="A19" s="588"/>
      <c r="B19" s="589" t="s">
        <v>1636</v>
      </c>
      <c r="C19" s="590"/>
      <c r="D19" s="588"/>
      <c r="E19" s="596" t="s">
        <v>1644</v>
      </c>
      <c r="F19" s="595" t="str">
        <f>IF(AND(C21&lt;&gt;"",C22&lt;&gt;""),"✓ Consequences mapped","⬜ Incomplete")</f>
        <v>⬜ Incomplete</v>
      </c>
    </row>
    <row r="20" spans="1:6" ht="22.05" customHeight="1" x14ac:dyDescent="0.3">
      <c r="A20" s="591"/>
      <c r="B20" s="592" t="s">
        <v>1637</v>
      </c>
      <c r="C20" s="593"/>
      <c r="D20" s="591"/>
      <c r="E20" s="657" t="s">
        <v>1710</v>
      </c>
      <c r="F20" s="656" t="str">
        <f>IF(F18="—","Awaiting input",IF(F18&gt;=0.9,"SURVIVED ✓",IF(F18&gt;=0.7,"Standing (wounded)",IF(F18&gt;=0.5,"Unstable","DEAD ✗"))))</f>
        <v>Awaiting input</v>
      </c>
    </row>
    <row r="21" spans="1:6" ht="40.049999999999997" customHeight="1" x14ac:dyDescent="0.3">
      <c r="A21" s="546"/>
      <c r="B21" s="557" t="s">
        <v>1638</v>
      </c>
      <c r="C21" s="594"/>
      <c r="D21" s="546"/>
      <c r="E21" s="546"/>
      <c r="F21" s="546"/>
    </row>
    <row r="22" spans="1:6" ht="40.049999999999997" customHeight="1" x14ac:dyDescent="0.3">
      <c r="A22" s="546"/>
      <c r="B22" s="557" t="s">
        <v>1639</v>
      </c>
      <c r="C22" s="582"/>
      <c r="D22" s="546"/>
      <c r="E22" s="546"/>
      <c r="F22" s="546"/>
    </row>
    <row r="23" spans="1:6" ht="36" customHeight="1" x14ac:dyDescent="0.3">
      <c r="A23" s="546"/>
      <c r="B23" s="583" t="s">
        <v>1640</v>
      </c>
      <c r="C23" s="582"/>
      <c r="D23" s="546"/>
      <c r="E23" s="546"/>
      <c r="F23" s="546"/>
    </row>
    <row r="24" spans="1:6" ht="36" customHeight="1" x14ac:dyDescent="0.3">
      <c r="A24" s="546"/>
      <c r="B24" s="583" t="s">
        <v>1641</v>
      </c>
      <c r="C24" s="582"/>
      <c r="D24" s="546"/>
      <c r="E24" s="546"/>
      <c r="F24" s="546"/>
    </row>
    <row r="25" spans="1:6" ht="28.05" customHeight="1" x14ac:dyDescent="0.3">
      <c r="A25" s="546"/>
      <c r="B25" s="557" t="s">
        <v>1642</v>
      </c>
      <c r="C25" s="580"/>
      <c r="D25" s="546"/>
      <c r="E25" s="546"/>
      <c r="F25" s="546"/>
    </row>
    <row r="26" spans="1:6" ht="22.05" customHeight="1" x14ac:dyDescent="0.3">
      <c r="A26" s="546"/>
      <c r="B26" s="585" t="s">
        <v>1643</v>
      </c>
      <c r="C26" s="547"/>
      <c r="D26" s="546"/>
      <c r="E26" s="546"/>
      <c r="F26" s="546"/>
    </row>
    <row r="27" spans="1:6" ht="4.05" customHeight="1" x14ac:dyDescent="0.3">
      <c r="A27" s="560"/>
      <c r="B27" s="560"/>
      <c r="C27" s="560"/>
      <c r="D27" s="560"/>
      <c r="E27" s="560"/>
      <c r="F27" s="560"/>
    </row>
    <row r="28" spans="1:6" ht="34.049999999999997" customHeight="1" x14ac:dyDescent="0.35">
      <c r="A28" s="597"/>
      <c r="B28" s="598" t="s">
        <v>1645</v>
      </c>
      <c r="C28" s="599"/>
      <c r="D28" s="597"/>
      <c r="E28" s="604" t="s">
        <v>1654</v>
      </c>
      <c r="F28" s="603" t="str">
        <f>IF(AND(C30&lt;&gt;"",C33&lt;&gt;""),"✓ Foundations traced","⬜ Incomplete")</f>
        <v>⬜ Incomplete</v>
      </c>
    </row>
    <row r="29" spans="1:6" ht="28.05" customHeight="1" x14ac:dyDescent="0.3">
      <c r="A29" s="600"/>
      <c r="B29" s="601" t="s">
        <v>1646</v>
      </c>
      <c r="C29" s="602"/>
      <c r="D29" s="600"/>
      <c r="E29" s="600"/>
      <c r="F29" s="600"/>
    </row>
    <row r="30" spans="1:6" ht="40.049999999999997" customHeight="1" x14ac:dyDescent="0.3">
      <c r="A30" s="546"/>
      <c r="B30" s="557" t="s">
        <v>1647</v>
      </c>
      <c r="C30" s="594"/>
      <c r="D30" s="546"/>
      <c r="E30" s="546"/>
      <c r="F30" s="546"/>
    </row>
    <row r="31" spans="1:6" ht="40.049999999999997" customHeight="1" x14ac:dyDescent="0.3">
      <c r="A31" s="546"/>
      <c r="B31" s="557" t="s">
        <v>1648</v>
      </c>
      <c r="C31" s="582"/>
      <c r="D31" s="546"/>
      <c r="E31" s="546"/>
      <c r="F31" s="546"/>
    </row>
    <row r="32" spans="1:6" ht="36" customHeight="1" x14ac:dyDescent="0.3">
      <c r="A32" s="546"/>
      <c r="B32" s="583" t="s">
        <v>1649</v>
      </c>
      <c r="C32" s="582"/>
      <c r="D32" s="546"/>
      <c r="E32" s="546"/>
      <c r="F32" s="546"/>
    </row>
    <row r="33" spans="1:6" ht="28.05" customHeight="1" x14ac:dyDescent="0.3">
      <c r="A33" s="546"/>
      <c r="B33" s="557" t="s">
        <v>1650</v>
      </c>
      <c r="C33" s="582"/>
      <c r="D33" s="546"/>
      <c r="E33" s="546"/>
      <c r="F33" s="546"/>
    </row>
    <row r="34" spans="1:6" ht="25.95" customHeight="1" x14ac:dyDescent="0.3">
      <c r="A34" s="546"/>
      <c r="B34" s="583" t="s">
        <v>1651</v>
      </c>
      <c r="C34" s="582"/>
      <c r="D34" s="546"/>
      <c r="E34" s="546"/>
      <c r="F34" s="546"/>
    </row>
    <row r="35" spans="1:6" ht="40.049999999999997" customHeight="1" x14ac:dyDescent="0.3">
      <c r="A35" s="546"/>
      <c r="B35" s="557" t="s">
        <v>1652</v>
      </c>
      <c r="C35" s="580"/>
      <c r="D35" s="546"/>
      <c r="E35" s="546"/>
      <c r="F35" s="546"/>
    </row>
    <row r="36" spans="1:6" ht="22.05" customHeight="1" x14ac:dyDescent="0.3">
      <c r="A36" s="546"/>
      <c r="B36" s="585" t="s">
        <v>1653</v>
      </c>
      <c r="C36" s="547"/>
      <c r="D36" s="546"/>
      <c r="E36" s="546"/>
      <c r="F36" s="546"/>
    </row>
    <row r="37" spans="1:6" ht="4.05" customHeight="1" x14ac:dyDescent="0.3">
      <c r="A37" s="560"/>
      <c r="B37" s="560"/>
      <c r="C37" s="560"/>
      <c r="D37" s="560"/>
      <c r="E37" s="560"/>
      <c r="F37" s="560"/>
    </row>
    <row r="38" spans="1:6" ht="34.049999999999997" customHeight="1" x14ac:dyDescent="0.35">
      <c r="A38" s="605"/>
      <c r="B38" s="606" t="s">
        <v>1655</v>
      </c>
      <c r="C38" s="607"/>
      <c r="D38" s="605"/>
      <c r="E38" s="612" t="s">
        <v>1664</v>
      </c>
      <c r="F38" s="611" t="str">
        <f>IF(AND(C40&lt;&gt;"",C46&lt;&gt;""),"✓ Evidence confirmed","⬜ Incomplete")</f>
        <v>⬜ Incomplete</v>
      </c>
    </row>
    <row r="39" spans="1:6" ht="22.05" customHeight="1" x14ac:dyDescent="0.3">
      <c r="A39" s="608"/>
      <c r="B39" s="609" t="s">
        <v>1656</v>
      </c>
      <c r="C39" s="610"/>
      <c r="D39" s="608"/>
      <c r="E39" s="608"/>
      <c r="F39" s="608"/>
    </row>
    <row r="40" spans="1:6" ht="40.049999999999997" customHeight="1" x14ac:dyDescent="0.3">
      <c r="A40" s="546"/>
      <c r="B40" s="557" t="s">
        <v>1657</v>
      </c>
      <c r="C40" s="594"/>
      <c r="D40" s="546"/>
      <c r="E40" s="546"/>
      <c r="F40" s="546"/>
    </row>
    <row r="41" spans="1:6" ht="25.95" customHeight="1" x14ac:dyDescent="0.3">
      <c r="A41" s="546"/>
      <c r="B41" s="583" t="s">
        <v>1658</v>
      </c>
      <c r="C41" s="582"/>
      <c r="D41" s="546"/>
      <c r="E41" s="546"/>
      <c r="F41" s="546"/>
    </row>
    <row r="42" spans="1:6" ht="25.95" customHeight="1" x14ac:dyDescent="0.3">
      <c r="A42" s="546"/>
      <c r="B42" s="583" t="s">
        <v>1659</v>
      </c>
      <c r="C42" s="582"/>
      <c r="D42" s="546"/>
      <c r="E42" s="546"/>
      <c r="F42" s="546"/>
    </row>
    <row r="43" spans="1:6" ht="40.049999999999997" customHeight="1" x14ac:dyDescent="0.3">
      <c r="A43" s="546"/>
      <c r="B43" s="557" t="s">
        <v>1660</v>
      </c>
      <c r="C43" s="582"/>
      <c r="D43" s="546"/>
      <c r="E43" s="546"/>
      <c r="F43" s="546"/>
    </row>
    <row r="44" spans="1:6" ht="25.95" customHeight="1" x14ac:dyDescent="0.3">
      <c r="A44" s="546"/>
      <c r="B44" s="583" t="s">
        <v>1658</v>
      </c>
      <c r="C44" s="582"/>
      <c r="D44" s="546"/>
      <c r="E44" s="546"/>
      <c r="F44" s="546"/>
    </row>
    <row r="45" spans="1:6" ht="28.05" customHeight="1" x14ac:dyDescent="0.3">
      <c r="A45" s="546"/>
      <c r="B45" s="557" t="s">
        <v>1661</v>
      </c>
      <c r="C45" s="582"/>
      <c r="D45" s="546"/>
      <c r="E45" s="546"/>
      <c r="F45" s="546"/>
    </row>
    <row r="46" spans="1:6" ht="28.05" customHeight="1" x14ac:dyDescent="0.3">
      <c r="A46" s="546"/>
      <c r="B46" s="557" t="s">
        <v>1662</v>
      </c>
      <c r="C46" s="580"/>
      <c r="D46" s="546"/>
      <c r="E46" s="546"/>
      <c r="F46" s="546"/>
    </row>
    <row r="47" spans="1:6" ht="22.05" customHeight="1" x14ac:dyDescent="0.3">
      <c r="A47" s="546"/>
      <c r="B47" s="585" t="s">
        <v>1663</v>
      </c>
      <c r="C47" s="547"/>
      <c r="D47" s="546"/>
      <c r="E47" s="546"/>
      <c r="F47" s="546"/>
    </row>
    <row r="48" spans="1:6" ht="4.05" customHeight="1" x14ac:dyDescent="0.3">
      <c r="A48" s="560"/>
      <c r="B48" s="560"/>
      <c r="C48" s="560"/>
      <c r="D48" s="560"/>
      <c r="E48" s="560"/>
      <c r="F48" s="560"/>
    </row>
    <row r="49" spans="1:6" ht="34.049999999999997" customHeight="1" x14ac:dyDescent="0.35">
      <c r="A49" s="613"/>
      <c r="B49" s="614" t="s">
        <v>1665</v>
      </c>
      <c r="C49" s="615"/>
      <c r="D49" s="613"/>
      <c r="E49" s="620" t="s">
        <v>1672</v>
      </c>
      <c r="F49" s="619" t="str">
        <f>IF(AND(C51&lt;&gt;"",C54&lt;&gt;""),"✓ Claim stated","⬜ Incomplete")</f>
        <v>⬜ Incomplete</v>
      </c>
    </row>
    <row r="50" spans="1:6" ht="22.05" customHeight="1" x14ac:dyDescent="0.3">
      <c r="A50" s="616"/>
      <c r="B50" s="617" t="s">
        <v>1666</v>
      </c>
      <c r="C50" s="618"/>
      <c r="D50" s="616"/>
      <c r="E50" s="616"/>
      <c r="F50" s="616"/>
    </row>
    <row r="51" spans="1:6" ht="49.95" customHeight="1" x14ac:dyDescent="0.3">
      <c r="A51" s="546"/>
      <c r="B51" s="557" t="s">
        <v>1667</v>
      </c>
      <c r="C51" s="594"/>
      <c r="D51" s="546"/>
      <c r="E51" s="546"/>
      <c r="F51" s="546"/>
    </row>
    <row r="52" spans="1:6" ht="36" customHeight="1" x14ac:dyDescent="0.3">
      <c r="A52" s="546"/>
      <c r="B52" s="557" t="s">
        <v>1668</v>
      </c>
      <c r="C52" s="582"/>
      <c r="D52" s="546"/>
      <c r="E52" s="546"/>
      <c r="F52" s="546"/>
    </row>
    <row r="53" spans="1:6" ht="36" customHeight="1" x14ac:dyDescent="0.3">
      <c r="A53" s="546"/>
      <c r="B53" s="583" t="s">
        <v>1669</v>
      </c>
      <c r="C53" s="582"/>
      <c r="D53" s="546"/>
      <c r="E53" s="546"/>
      <c r="F53" s="546"/>
    </row>
    <row r="54" spans="1:6" ht="28.05" customHeight="1" x14ac:dyDescent="0.3">
      <c r="A54" s="546"/>
      <c r="B54" s="557" t="s">
        <v>1146</v>
      </c>
      <c r="C54" s="582"/>
      <c r="D54" s="546"/>
      <c r="E54" s="546"/>
      <c r="F54" s="546"/>
    </row>
    <row r="55" spans="1:6" ht="25.95" customHeight="1" x14ac:dyDescent="0.3">
      <c r="A55" s="546"/>
      <c r="B55" s="557" t="s">
        <v>1670</v>
      </c>
      <c r="C55" s="580"/>
      <c r="D55" s="546"/>
      <c r="E55" s="546"/>
      <c r="F55" s="546"/>
    </row>
    <row r="56" spans="1:6" ht="22.05" customHeight="1" x14ac:dyDescent="0.3">
      <c r="A56" s="546"/>
      <c r="B56" s="585" t="s">
        <v>1671</v>
      </c>
      <c r="C56" s="547"/>
      <c r="D56" s="546"/>
      <c r="E56" s="546"/>
      <c r="F56" s="546"/>
    </row>
    <row r="57" spans="1:6" ht="4.05" customHeight="1" x14ac:dyDescent="0.3">
      <c r="A57" s="560"/>
      <c r="B57" s="560"/>
      <c r="C57" s="560"/>
      <c r="D57" s="560"/>
      <c r="E57" s="560"/>
      <c r="F57" s="560"/>
    </row>
    <row r="58" spans="1:6" ht="34.049999999999997" customHeight="1" x14ac:dyDescent="0.35">
      <c r="A58" s="621"/>
      <c r="B58" s="622" t="s">
        <v>1673</v>
      </c>
      <c r="C58" s="623"/>
      <c r="D58" s="621"/>
      <c r="E58" s="628" t="s">
        <v>1681</v>
      </c>
      <c r="F58" s="627" t="str">
        <f>IF(AND(C60&lt;&gt;"",C61&lt;&gt;""),"✓ Located","⬜ Incomplete")</f>
        <v>⬜ Incomplete</v>
      </c>
    </row>
    <row r="59" spans="1:6" ht="22.05" customHeight="1" x14ac:dyDescent="0.3">
      <c r="A59" s="624"/>
      <c r="B59" s="625" t="s">
        <v>1674</v>
      </c>
      <c r="C59" s="626"/>
      <c r="D59" s="624"/>
      <c r="E59" s="624"/>
      <c r="F59" s="624"/>
    </row>
    <row r="60" spans="1:6" ht="28.05" customHeight="1" x14ac:dyDescent="0.3">
      <c r="A60" s="546"/>
      <c r="B60" s="557" t="s">
        <v>1675</v>
      </c>
      <c r="C60" s="594"/>
      <c r="D60" s="546"/>
      <c r="E60" s="546"/>
      <c r="F60" s="546"/>
    </row>
    <row r="61" spans="1:6" ht="40.049999999999997" customHeight="1" x14ac:dyDescent="0.3">
      <c r="A61" s="546"/>
      <c r="B61" s="557" t="s">
        <v>1676</v>
      </c>
      <c r="C61" s="582"/>
      <c r="D61" s="546"/>
      <c r="E61" s="546"/>
      <c r="F61" s="546"/>
    </row>
    <row r="62" spans="1:6" ht="36" customHeight="1" x14ac:dyDescent="0.3">
      <c r="A62" s="546"/>
      <c r="B62" s="583" t="s">
        <v>1677</v>
      </c>
      <c r="C62" s="582"/>
      <c r="D62" s="546"/>
      <c r="E62" s="546"/>
      <c r="F62" s="546"/>
    </row>
    <row r="63" spans="1:6" ht="28.05" customHeight="1" x14ac:dyDescent="0.3">
      <c r="A63" s="546"/>
      <c r="B63" s="557" t="s">
        <v>1678</v>
      </c>
      <c r="C63" s="582"/>
      <c r="D63" s="546"/>
      <c r="E63" s="546"/>
      <c r="F63" s="546"/>
    </row>
    <row r="64" spans="1:6" ht="28.05" customHeight="1" x14ac:dyDescent="0.3">
      <c r="A64" s="546"/>
      <c r="B64" s="557" t="s">
        <v>1679</v>
      </c>
      <c r="C64" s="580"/>
      <c r="D64" s="546"/>
      <c r="E64" s="546"/>
      <c r="F64" s="546"/>
    </row>
    <row r="65" spans="1:6" ht="22.05" customHeight="1" x14ac:dyDescent="0.3">
      <c r="A65" s="546"/>
      <c r="B65" s="585" t="s">
        <v>1680</v>
      </c>
      <c r="C65" s="547"/>
      <c r="D65" s="546"/>
      <c r="E65" s="546"/>
      <c r="F65" s="546"/>
    </row>
    <row r="66" spans="1:6" ht="4.05" customHeight="1" x14ac:dyDescent="0.3">
      <c r="A66" s="560"/>
      <c r="B66" s="560"/>
      <c r="C66" s="560"/>
      <c r="D66" s="560"/>
      <c r="E66" s="560"/>
      <c r="F66" s="560"/>
    </row>
    <row r="67" spans="1:6" ht="34.049999999999997" customHeight="1" x14ac:dyDescent="0.35">
      <c r="A67" s="629"/>
      <c r="B67" s="630" t="s">
        <v>1682</v>
      </c>
      <c r="C67" s="631"/>
      <c r="D67" s="629"/>
      <c r="E67" s="638" t="s">
        <v>1691</v>
      </c>
      <c r="F67" s="639" t="str">
        <f>IF(AND(C69&lt;&gt;"",C70&lt;&gt;""),"✓ IDENTITY EARNED","⬜ Incomplete")</f>
        <v>⬜ Incomplete</v>
      </c>
    </row>
    <row r="68" spans="1:6" ht="22.05" customHeight="1" x14ac:dyDescent="0.3">
      <c r="A68" s="632"/>
      <c r="B68" s="633" t="s">
        <v>1683</v>
      </c>
      <c r="C68" s="634"/>
      <c r="D68" s="632"/>
      <c r="E68" s="632"/>
      <c r="F68" s="632"/>
    </row>
    <row r="69" spans="1:6" ht="30" customHeight="1" x14ac:dyDescent="0.3">
      <c r="A69" s="546"/>
      <c r="B69" s="557" t="s">
        <v>1684</v>
      </c>
      <c r="C69" s="594"/>
      <c r="D69" s="546"/>
      <c r="E69" s="546"/>
      <c r="F69" s="546"/>
    </row>
    <row r="70" spans="1:6" ht="60" customHeight="1" x14ac:dyDescent="0.3">
      <c r="A70" s="546"/>
      <c r="B70" s="557" t="s">
        <v>1685</v>
      </c>
      <c r="C70" s="636"/>
      <c r="D70" s="546"/>
      <c r="E70" s="546"/>
      <c r="F70" s="546"/>
    </row>
    <row r="71" spans="1:6" ht="28.05" customHeight="1" x14ac:dyDescent="0.3">
      <c r="A71" s="546"/>
      <c r="B71" s="557" t="s">
        <v>1686</v>
      </c>
      <c r="C71" s="636"/>
      <c r="D71" s="546"/>
      <c r="E71" s="546"/>
      <c r="F71" s="546"/>
    </row>
    <row r="72" spans="1:6" ht="28.05" customHeight="1" x14ac:dyDescent="0.3">
      <c r="A72" s="546"/>
      <c r="B72" s="557" t="s">
        <v>1687</v>
      </c>
      <c r="C72" s="636"/>
      <c r="D72" s="546"/>
      <c r="E72" s="546"/>
      <c r="F72" s="546"/>
    </row>
    <row r="73" spans="1:6" ht="40.049999999999997" customHeight="1" x14ac:dyDescent="0.3">
      <c r="A73" s="546"/>
      <c r="B73" s="557" t="s">
        <v>1688</v>
      </c>
      <c r="C73" s="636"/>
      <c r="D73" s="546"/>
      <c r="E73" s="546"/>
      <c r="F73" s="546"/>
    </row>
    <row r="74" spans="1:6" ht="25.95" customHeight="1" x14ac:dyDescent="0.3">
      <c r="A74" s="546"/>
      <c r="B74" s="557" t="s">
        <v>1689</v>
      </c>
      <c r="C74" s="637" t="str">
        <f>IF(C69&lt;&gt;"","7Q-R-"&amp;LEFT(SUBSTITUTE(C60," ",""),4)&amp;"-"&amp;TEXT(ROW(),"000"),"")</f>
        <v/>
      </c>
      <c r="D74" s="546"/>
      <c r="E74" s="546"/>
      <c r="F74" s="546"/>
    </row>
    <row r="75" spans="1:6" ht="22.05" customHeight="1" x14ac:dyDescent="0.3">
      <c r="A75" s="546"/>
      <c r="B75" s="585" t="s">
        <v>1690</v>
      </c>
      <c r="C75" s="547"/>
      <c r="D75" s="546"/>
      <c r="E75" s="546"/>
      <c r="F75" s="546"/>
    </row>
    <row r="76" spans="1:6" ht="4.05" customHeight="1" x14ac:dyDescent="0.3">
      <c r="A76" s="560"/>
      <c r="B76" s="560"/>
      <c r="C76" s="560"/>
      <c r="D76" s="560"/>
      <c r="E76" s="560"/>
      <c r="F76" s="560"/>
    </row>
    <row r="77" spans="1:6" ht="36" customHeight="1" x14ac:dyDescent="0.4">
      <c r="A77" s="561"/>
      <c r="B77" s="640" t="s">
        <v>1692</v>
      </c>
      <c r="C77" s="563"/>
      <c r="D77" s="561"/>
      <c r="E77" s="561"/>
      <c r="F77" s="561"/>
    </row>
    <row r="78" spans="1:6" ht="25.95" customHeight="1" x14ac:dyDescent="0.3">
      <c r="A78" s="546"/>
      <c r="B78" s="557" t="s">
        <v>1693</v>
      </c>
      <c r="C78" s="641" t="str">
        <f>COUNTIF(F8:F75,"✓*")&amp;" / 7"</f>
        <v>0 / 7</v>
      </c>
      <c r="D78" s="546"/>
      <c r="E78" s="546"/>
      <c r="F78" s="546"/>
    </row>
    <row r="79" spans="1:6" ht="25.95" customHeight="1" x14ac:dyDescent="0.3">
      <c r="A79" s="546"/>
      <c r="B79" s="557" t="s">
        <v>1694</v>
      </c>
      <c r="C79" s="642" t="str">
        <f>IF(C10&lt;&gt;"","Yes","No")</f>
        <v>No</v>
      </c>
      <c r="D79" s="546"/>
      <c r="E79" s="546"/>
      <c r="F79" s="546"/>
    </row>
    <row r="80" spans="1:6" ht="25.95" customHeight="1" x14ac:dyDescent="0.3">
      <c r="A80" s="546"/>
      <c r="B80" s="557" t="s">
        <v>1695</v>
      </c>
      <c r="C80" s="642" t="str">
        <f>IF(C21&lt;&gt;"","Yes","No")</f>
        <v>No</v>
      </c>
      <c r="D80" s="546"/>
      <c r="E80" s="546"/>
      <c r="F80" s="546"/>
    </row>
    <row r="81" spans="1:6" ht="25.95" customHeight="1" x14ac:dyDescent="0.3">
      <c r="A81" s="546"/>
      <c r="B81" s="557" t="s">
        <v>1696</v>
      </c>
      <c r="C81" s="642" t="str">
        <f>IF(C30&lt;&gt;"","Yes","No")</f>
        <v>No</v>
      </c>
      <c r="D81" s="546"/>
      <c r="E81" s="546"/>
      <c r="F81" s="546"/>
    </row>
    <row r="82" spans="1:6" ht="25.95" customHeight="1" x14ac:dyDescent="0.3">
      <c r="A82" s="546"/>
      <c r="B82" s="557" t="s">
        <v>1697</v>
      </c>
      <c r="C82" s="642" t="str">
        <f>IF(C40&lt;&gt;"","Yes","No")</f>
        <v>No</v>
      </c>
      <c r="D82" s="546"/>
      <c r="E82" s="546"/>
      <c r="F82" s="546"/>
    </row>
    <row r="83" spans="1:6" ht="25.95" customHeight="1" x14ac:dyDescent="0.3">
      <c r="A83" s="546"/>
      <c r="B83" s="557" t="s">
        <v>1698</v>
      </c>
      <c r="C83" s="642" t="str">
        <f>IF(C51&lt;&gt;"","Yes","No")</f>
        <v>No</v>
      </c>
      <c r="D83" s="546"/>
      <c r="E83" s="546"/>
      <c r="F83" s="546"/>
    </row>
    <row r="84" spans="1:6" ht="25.95" customHeight="1" x14ac:dyDescent="0.3">
      <c r="A84" s="546"/>
      <c r="B84" s="557" t="s">
        <v>1699</v>
      </c>
      <c r="C84" s="642" t="str">
        <f>IF(C61&lt;&gt;"","Yes","No")</f>
        <v>No</v>
      </c>
      <c r="D84" s="546"/>
      <c r="E84" s="546"/>
      <c r="F84" s="546"/>
    </row>
    <row r="85" spans="1:6" ht="25.95" customHeight="1" x14ac:dyDescent="0.3">
      <c r="A85" s="546"/>
      <c r="B85" s="557" t="s">
        <v>1700</v>
      </c>
      <c r="C85" s="643" t="str">
        <f>IF(AND(C69&lt;&gt;"",C70&lt;&gt;""),"✓ EARNED","NOT YET")</f>
        <v>NOT YET</v>
      </c>
      <c r="D85" s="546"/>
      <c r="E85" s="546"/>
      <c r="F85" s="546"/>
    </row>
    <row r="86" spans="1:6" x14ac:dyDescent="0.3">
      <c r="A86" s="546"/>
      <c r="B86" s="546"/>
      <c r="C86" s="546"/>
      <c r="D86" s="546"/>
      <c r="E86" s="546"/>
      <c r="F86" s="546"/>
    </row>
    <row r="87" spans="1:6" ht="4.05" customHeight="1" x14ac:dyDescent="0.3">
      <c r="A87" s="560"/>
      <c r="B87" s="560"/>
      <c r="C87" s="560"/>
      <c r="D87" s="560"/>
      <c r="E87" s="560"/>
      <c r="F87" s="560"/>
    </row>
    <row r="88" spans="1:6" x14ac:dyDescent="0.3">
      <c r="A88" s="546"/>
      <c r="B88" s="658" t="s">
        <v>1711</v>
      </c>
      <c r="C88" s="547"/>
      <c r="D88" s="546"/>
      <c r="E88" s="546"/>
      <c r="F88" s="546"/>
    </row>
    <row r="89" spans="1:6" x14ac:dyDescent="0.3">
      <c r="A89" s="546"/>
      <c r="B89" s="659" t="s">
        <v>1712</v>
      </c>
      <c r="C89" s="547"/>
      <c r="D89" s="546"/>
      <c r="E89" s="546"/>
      <c r="F89" s="546"/>
    </row>
    <row r="90" spans="1:6" x14ac:dyDescent="0.3">
      <c r="A90" s="546"/>
      <c r="B90" s="660" t="s">
        <v>1713</v>
      </c>
      <c r="C90" s="547"/>
      <c r="D90" s="546"/>
      <c r="E90" s="546"/>
      <c r="F90" s="546"/>
    </row>
    <row r="91" spans="1:6" ht="12" customHeight="1" x14ac:dyDescent="0.3">
      <c r="A91" s="546"/>
      <c r="B91" s="546"/>
      <c r="C91" s="546"/>
      <c r="D91" s="546"/>
      <c r="E91" s="546"/>
      <c r="F91" s="546"/>
    </row>
    <row r="92" spans="1:6" ht="37.950000000000003" customHeight="1" x14ac:dyDescent="0.4">
      <c r="A92" s="561"/>
      <c r="B92" s="295" t="s">
        <v>1714</v>
      </c>
      <c r="C92" s="563"/>
      <c r="D92" s="561"/>
      <c r="E92" s="561"/>
      <c r="F92" s="561"/>
    </row>
    <row r="93" spans="1:6" ht="30" customHeight="1" x14ac:dyDescent="0.3">
      <c r="A93" s="546"/>
      <c r="B93" s="661" t="s">
        <v>1715</v>
      </c>
      <c r="C93" s="547"/>
      <c r="D93" s="546"/>
      <c r="E93" s="546"/>
      <c r="F93" s="546"/>
    </row>
    <row r="94" spans="1:6" ht="4.05" customHeight="1" x14ac:dyDescent="0.3">
      <c r="A94" s="560"/>
      <c r="B94" s="560"/>
      <c r="C94" s="560"/>
      <c r="D94" s="560"/>
      <c r="E94" s="560"/>
      <c r="F94" s="560"/>
    </row>
    <row r="95" spans="1:6" ht="25.95" customHeight="1" x14ac:dyDescent="0.3">
      <c r="A95" s="561"/>
      <c r="B95" s="570" t="s">
        <v>1716</v>
      </c>
      <c r="C95" s="563"/>
      <c r="D95" s="561"/>
      <c r="E95" s="561"/>
      <c r="F95" s="561"/>
    </row>
    <row r="96" spans="1:6" ht="24" customHeight="1" x14ac:dyDescent="0.3">
      <c r="A96" s="546"/>
      <c r="B96" s="564" t="s">
        <v>1075</v>
      </c>
      <c r="C96" s="565" t="b">
        <v>1</v>
      </c>
      <c r="D96" s="546"/>
      <c r="E96" s="546"/>
      <c r="F96" s="546"/>
    </row>
    <row r="97" spans="1:6" ht="4.05" customHeight="1" x14ac:dyDescent="0.3">
      <c r="A97" s="560"/>
      <c r="B97" s="560"/>
      <c r="C97" s="560"/>
      <c r="D97" s="560"/>
      <c r="E97" s="560"/>
      <c r="F97" s="560"/>
    </row>
    <row r="98" spans="1:6" ht="28.05" customHeight="1" x14ac:dyDescent="0.3">
      <c r="A98" s="566"/>
      <c r="B98" s="662" t="s">
        <v>1717</v>
      </c>
      <c r="C98" s="568"/>
      <c r="D98" s="566"/>
      <c r="E98" s="566"/>
      <c r="F98" s="566"/>
    </row>
    <row r="99" spans="1:6" ht="36" customHeight="1" x14ac:dyDescent="0.3">
      <c r="A99" s="546"/>
      <c r="B99" s="557" t="s">
        <v>1186</v>
      </c>
      <c r="C99" s="594" t="s">
        <v>1718</v>
      </c>
      <c r="D99" s="546"/>
      <c r="E99" s="546"/>
      <c r="F99" s="546"/>
    </row>
    <row r="100" spans="1:6" ht="24" customHeight="1" x14ac:dyDescent="0.3">
      <c r="A100" s="546"/>
      <c r="B100" s="583" t="s">
        <v>1131</v>
      </c>
      <c r="C100" s="582" t="s">
        <v>367</v>
      </c>
      <c r="D100" s="546"/>
      <c r="E100" s="546"/>
      <c r="F100" s="546"/>
    </row>
    <row r="101" spans="1:6" ht="36" customHeight="1" x14ac:dyDescent="0.3">
      <c r="A101" s="546"/>
      <c r="B101" s="557" t="s">
        <v>1188</v>
      </c>
      <c r="C101" s="582" t="s">
        <v>1719</v>
      </c>
      <c r="D101" s="546"/>
      <c r="E101" s="546"/>
      <c r="F101" s="546"/>
    </row>
    <row r="102" spans="1:6" ht="24" customHeight="1" x14ac:dyDescent="0.3">
      <c r="A102" s="546"/>
      <c r="B102" s="583" t="s">
        <v>1131</v>
      </c>
      <c r="C102" s="582" t="s">
        <v>367</v>
      </c>
      <c r="D102" s="546"/>
      <c r="E102" s="546"/>
      <c r="F102" s="546"/>
    </row>
    <row r="103" spans="1:6" ht="36" customHeight="1" x14ac:dyDescent="0.3">
      <c r="A103" s="546"/>
      <c r="B103" s="557" t="s">
        <v>1720</v>
      </c>
      <c r="C103" s="582" t="s">
        <v>1721</v>
      </c>
      <c r="D103" s="546"/>
      <c r="E103" s="546"/>
      <c r="F103" s="546"/>
    </row>
    <row r="104" spans="1:6" ht="36" customHeight="1" x14ac:dyDescent="0.3">
      <c r="A104" s="546"/>
      <c r="B104" s="557" t="s">
        <v>1133</v>
      </c>
      <c r="C104" s="582" t="s">
        <v>952</v>
      </c>
      <c r="D104" s="546"/>
      <c r="E104" s="546"/>
      <c r="F104" s="546"/>
    </row>
    <row r="105" spans="1:6" ht="36" customHeight="1" x14ac:dyDescent="0.3">
      <c r="A105" s="546"/>
      <c r="B105" s="557" t="s">
        <v>1135</v>
      </c>
      <c r="C105" s="580" t="b">
        <v>1</v>
      </c>
      <c r="D105" s="546"/>
      <c r="E105" s="546"/>
      <c r="F105" s="546"/>
    </row>
    <row r="106" spans="1:6" ht="4.05" customHeight="1" x14ac:dyDescent="0.3">
      <c r="A106" s="560"/>
      <c r="B106" s="560"/>
      <c r="C106" s="560"/>
      <c r="D106" s="560"/>
      <c r="E106" s="560"/>
      <c r="F106" s="560"/>
    </row>
    <row r="107" spans="1:6" ht="28.05" customHeight="1" x14ac:dyDescent="0.3">
      <c r="A107" s="588"/>
      <c r="B107" s="663" t="s">
        <v>1722</v>
      </c>
      <c r="C107" s="590"/>
      <c r="D107" s="588"/>
      <c r="E107" s="588"/>
      <c r="F107" s="588"/>
    </row>
    <row r="108" spans="1:6" ht="36" customHeight="1" x14ac:dyDescent="0.3">
      <c r="A108" s="546"/>
      <c r="B108" s="557" t="s">
        <v>1723</v>
      </c>
      <c r="C108" s="594" t="s">
        <v>1724</v>
      </c>
      <c r="D108" s="546"/>
      <c r="E108" s="546"/>
      <c r="F108" s="546"/>
    </row>
    <row r="109" spans="1:6" ht="36" customHeight="1" x14ac:dyDescent="0.3">
      <c r="A109" s="546"/>
      <c r="B109" s="557" t="s">
        <v>1639</v>
      </c>
      <c r="C109" s="582" t="s">
        <v>1725</v>
      </c>
      <c r="D109" s="546"/>
      <c r="E109" s="546"/>
      <c r="F109" s="546"/>
    </row>
    <row r="110" spans="1:6" ht="36" customHeight="1" x14ac:dyDescent="0.3">
      <c r="A110" s="546"/>
      <c r="B110" s="557" t="s">
        <v>1640</v>
      </c>
      <c r="C110" s="582" t="s">
        <v>1726</v>
      </c>
      <c r="D110" s="546"/>
      <c r="E110" s="546"/>
      <c r="F110" s="546"/>
    </row>
    <row r="111" spans="1:6" ht="36" customHeight="1" x14ac:dyDescent="0.3">
      <c r="A111" s="546"/>
      <c r="B111" s="557" t="s">
        <v>1727</v>
      </c>
      <c r="C111" s="582" t="s">
        <v>1728</v>
      </c>
      <c r="D111" s="546"/>
      <c r="E111" s="546"/>
      <c r="F111" s="546"/>
    </row>
    <row r="112" spans="1:6" ht="36" customHeight="1" x14ac:dyDescent="0.3">
      <c r="A112" s="546"/>
      <c r="B112" s="557" t="s">
        <v>1642</v>
      </c>
      <c r="C112" s="580" t="s">
        <v>1729</v>
      </c>
      <c r="D112" s="546"/>
      <c r="E112" s="546"/>
      <c r="F112" s="546"/>
    </row>
    <row r="113" spans="1:6" ht="4.05" customHeight="1" x14ac:dyDescent="0.3">
      <c r="A113" s="560"/>
      <c r="B113" s="560"/>
      <c r="C113" s="560"/>
      <c r="D113" s="560"/>
      <c r="E113" s="560"/>
      <c r="F113" s="560"/>
    </row>
    <row r="114" spans="1:6" ht="28.05" customHeight="1" x14ac:dyDescent="0.3">
      <c r="A114" s="597"/>
      <c r="B114" s="664" t="s">
        <v>1730</v>
      </c>
      <c r="C114" s="599"/>
      <c r="D114" s="597"/>
      <c r="E114" s="597"/>
      <c r="F114" s="597"/>
    </row>
    <row r="115" spans="1:6" ht="36" customHeight="1" x14ac:dyDescent="0.3">
      <c r="A115" s="546"/>
      <c r="B115" s="557" t="s">
        <v>1731</v>
      </c>
      <c r="C115" s="594" t="s">
        <v>1732</v>
      </c>
      <c r="D115" s="546"/>
      <c r="E115" s="546"/>
      <c r="F115" s="546"/>
    </row>
    <row r="116" spans="1:6" ht="36" customHeight="1" x14ac:dyDescent="0.3">
      <c r="A116" s="546"/>
      <c r="B116" s="557" t="s">
        <v>1648</v>
      </c>
      <c r="C116" s="582" t="s">
        <v>1733</v>
      </c>
      <c r="D116" s="546"/>
      <c r="E116" s="546"/>
      <c r="F116" s="546"/>
    </row>
    <row r="117" spans="1:6" ht="36" customHeight="1" x14ac:dyDescent="0.3">
      <c r="A117" s="546"/>
      <c r="B117" s="557" t="s">
        <v>1649</v>
      </c>
      <c r="C117" s="582" t="s">
        <v>1734</v>
      </c>
      <c r="D117" s="546"/>
      <c r="E117" s="546"/>
      <c r="F117" s="546"/>
    </row>
    <row r="118" spans="1:6" ht="36" customHeight="1" x14ac:dyDescent="0.3">
      <c r="A118" s="546"/>
      <c r="B118" s="557" t="s">
        <v>1650</v>
      </c>
      <c r="C118" s="582" t="s">
        <v>1735</v>
      </c>
      <c r="D118" s="546"/>
      <c r="E118" s="546"/>
      <c r="F118" s="546"/>
    </row>
    <row r="119" spans="1:6" ht="24" customHeight="1" x14ac:dyDescent="0.3">
      <c r="A119" s="546"/>
      <c r="B119" s="583" t="s">
        <v>1651</v>
      </c>
      <c r="C119" s="582" t="s">
        <v>1736</v>
      </c>
      <c r="D119" s="546"/>
      <c r="E119" s="546"/>
      <c r="F119" s="546"/>
    </row>
    <row r="120" spans="1:6" ht="36" customHeight="1" x14ac:dyDescent="0.3">
      <c r="A120" s="546"/>
      <c r="B120" s="557" t="s">
        <v>1652</v>
      </c>
      <c r="C120" s="580" t="s">
        <v>1737</v>
      </c>
      <c r="D120" s="546"/>
      <c r="E120" s="546"/>
      <c r="F120" s="546"/>
    </row>
    <row r="121" spans="1:6" ht="4.05" customHeight="1" x14ac:dyDescent="0.3">
      <c r="A121" s="560"/>
      <c r="B121" s="560"/>
      <c r="C121" s="560"/>
      <c r="D121" s="560"/>
      <c r="E121" s="560"/>
      <c r="F121" s="560"/>
    </row>
    <row r="122" spans="1:6" ht="28.05" customHeight="1" x14ac:dyDescent="0.3">
      <c r="A122" s="605"/>
      <c r="B122" s="665" t="s">
        <v>1738</v>
      </c>
      <c r="C122" s="607"/>
      <c r="D122" s="605"/>
      <c r="E122" s="605"/>
      <c r="F122" s="605"/>
    </row>
    <row r="123" spans="1:6" ht="36" customHeight="1" x14ac:dyDescent="0.3">
      <c r="A123" s="546"/>
      <c r="B123" s="557" t="s">
        <v>1739</v>
      </c>
      <c r="C123" s="594" t="s">
        <v>1740</v>
      </c>
      <c r="D123" s="546"/>
      <c r="E123" s="546"/>
      <c r="F123" s="546"/>
    </row>
    <row r="124" spans="1:6" ht="24" customHeight="1" x14ac:dyDescent="0.3">
      <c r="A124" s="546"/>
      <c r="B124" s="583" t="s">
        <v>1658</v>
      </c>
      <c r="C124" s="582" t="s">
        <v>862</v>
      </c>
      <c r="D124" s="546"/>
      <c r="E124" s="546"/>
      <c r="F124" s="546"/>
    </row>
    <row r="125" spans="1:6" ht="24" customHeight="1" x14ac:dyDescent="0.3">
      <c r="A125" s="546"/>
      <c r="B125" s="583" t="s">
        <v>1741</v>
      </c>
      <c r="C125" s="582">
        <v>0.9</v>
      </c>
      <c r="D125" s="546"/>
      <c r="E125" s="546"/>
      <c r="F125" s="546"/>
    </row>
    <row r="126" spans="1:6" ht="36" customHeight="1" x14ac:dyDescent="0.3">
      <c r="A126" s="546"/>
      <c r="B126" s="557" t="s">
        <v>1660</v>
      </c>
      <c r="C126" s="582" t="s">
        <v>1742</v>
      </c>
      <c r="D126" s="546"/>
      <c r="E126" s="546"/>
      <c r="F126" s="546"/>
    </row>
    <row r="127" spans="1:6" ht="24" customHeight="1" x14ac:dyDescent="0.3">
      <c r="A127" s="546"/>
      <c r="B127" s="583" t="s">
        <v>1658</v>
      </c>
      <c r="C127" s="582" t="s">
        <v>862</v>
      </c>
      <c r="D127" s="546"/>
      <c r="E127" s="546"/>
      <c r="F127" s="546"/>
    </row>
    <row r="128" spans="1:6" ht="36" customHeight="1" x14ac:dyDescent="0.3">
      <c r="A128" s="546"/>
      <c r="B128" s="557" t="s">
        <v>1743</v>
      </c>
      <c r="C128" s="582" t="s">
        <v>883</v>
      </c>
      <c r="D128" s="546"/>
      <c r="E128" s="546"/>
      <c r="F128" s="546"/>
    </row>
    <row r="129" spans="1:6" ht="36" customHeight="1" x14ac:dyDescent="0.3">
      <c r="A129" s="546"/>
      <c r="B129" s="557" t="s">
        <v>1744</v>
      </c>
      <c r="C129" s="580" t="b">
        <v>1</v>
      </c>
      <c r="D129" s="546"/>
      <c r="E129" s="546"/>
      <c r="F129" s="546"/>
    </row>
    <row r="130" spans="1:6" ht="4.05" customHeight="1" x14ac:dyDescent="0.3">
      <c r="A130" s="560"/>
      <c r="B130" s="560"/>
      <c r="C130" s="560"/>
      <c r="D130" s="560"/>
      <c r="E130" s="560"/>
      <c r="F130" s="560"/>
    </row>
    <row r="131" spans="1:6" ht="28.05" customHeight="1" x14ac:dyDescent="0.3">
      <c r="A131" s="613"/>
      <c r="B131" s="666" t="s">
        <v>1745</v>
      </c>
      <c r="C131" s="615"/>
      <c r="D131" s="613"/>
      <c r="E131" s="613"/>
      <c r="F131" s="613"/>
    </row>
    <row r="132" spans="1:6" ht="46.05" customHeight="1" x14ac:dyDescent="0.3">
      <c r="A132" s="546"/>
      <c r="B132" s="557" t="s">
        <v>1746</v>
      </c>
      <c r="C132" s="594" t="s">
        <v>1747</v>
      </c>
      <c r="D132" s="546"/>
      <c r="E132" s="546"/>
      <c r="F132" s="546"/>
    </row>
    <row r="133" spans="1:6" ht="46.05" customHeight="1" x14ac:dyDescent="0.3">
      <c r="A133" s="546"/>
      <c r="B133" s="557" t="s">
        <v>1748</v>
      </c>
      <c r="C133" s="582" t="s">
        <v>1749</v>
      </c>
      <c r="D133" s="546"/>
      <c r="E133" s="546"/>
      <c r="F133" s="546"/>
    </row>
    <row r="134" spans="1:6" ht="24" customHeight="1" x14ac:dyDescent="0.3">
      <c r="A134" s="546"/>
      <c r="B134" s="583" t="s">
        <v>1750</v>
      </c>
      <c r="C134" s="582" t="s">
        <v>1751</v>
      </c>
      <c r="D134" s="546"/>
      <c r="E134" s="546"/>
      <c r="F134" s="546"/>
    </row>
    <row r="135" spans="1:6" ht="46.05" customHeight="1" x14ac:dyDescent="0.3">
      <c r="A135" s="546"/>
      <c r="B135" s="557" t="s">
        <v>699</v>
      </c>
      <c r="C135" s="582" t="s">
        <v>831</v>
      </c>
      <c r="D135" s="546"/>
      <c r="E135" s="546"/>
      <c r="F135" s="546"/>
    </row>
    <row r="136" spans="1:6" ht="46.05" customHeight="1" x14ac:dyDescent="0.3">
      <c r="A136" s="546"/>
      <c r="B136" s="557" t="s">
        <v>1752</v>
      </c>
      <c r="C136" s="580">
        <v>0.95</v>
      </c>
      <c r="D136" s="546"/>
      <c r="E136" s="546"/>
      <c r="F136" s="546"/>
    </row>
    <row r="137" spans="1:6" ht="4.05" customHeight="1" x14ac:dyDescent="0.3">
      <c r="A137" s="560"/>
      <c r="B137" s="560"/>
      <c r="C137" s="560"/>
      <c r="D137" s="560"/>
      <c r="E137" s="560"/>
      <c r="F137" s="560"/>
    </row>
    <row r="138" spans="1:6" ht="28.05" customHeight="1" x14ac:dyDescent="0.3">
      <c r="A138" s="621"/>
      <c r="B138" s="667" t="s">
        <v>1753</v>
      </c>
      <c r="C138" s="623"/>
      <c r="D138" s="621"/>
      <c r="E138" s="621"/>
      <c r="F138" s="621"/>
    </row>
    <row r="139" spans="1:6" ht="36" customHeight="1" x14ac:dyDescent="0.3">
      <c r="A139" s="546"/>
      <c r="B139" s="557" t="s">
        <v>1675</v>
      </c>
      <c r="C139" s="594" t="s">
        <v>353</v>
      </c>
      <c r="D139" s="546"/>
      <c r="E139" s="546"/>
      <c r="F139" s="546"/>
    </row>
    <row r="140" spans="1:6" ht="36" customHeight="1" x14ac:dyDescent="0.3">
      <c r="A140" s="546"/>
      <c r="B140" s="557" t="s">
        <v>1754</v>
      </c>
      <c r="C140" s="582" t="s">
        <v>1755</v>
      </c>
      <c r="D140" s="546"/>
      <c r="E140" s="546"/>
      <c r="F140" s="546"/>
    </row>
    <row r="141" spans="1:6" ht="36" customHeight="1" x14ac:dyDescent="0.3">
      <c r="A141" s="546"/>
      <c r="B141" s="557" t="s">
        <v>1756</v>
      </c>
      <c r="C141" s="582" t="s">
        <v>1757</v>
      </c>
      <c r="D141" s="546"/>
      <c r="E141" s="546"/>
      <c r="F141" s="546"/>
    </row>
    <row r="142" spans="1:6" ht="36" customHeight="1" x14ac:dyDescent="0.3">
      <c r="A142" s="546"/>
      <c r="B142" s="557" t="s">
        <v>1678</v>
      </c>
      <c r="C142" s="582" t="s">
        <v>1758</v>
      </c>
      <c r="D142" s="546"/>
      <c r="E142" s="546"/>
      <c r="F142" s="546"/>
    </row>
    <row r="143" spans="1:6" ht="36" customHeight="1" x14ac:dyDescent="0.3">
      <c r="A143" s="546"/>
      <c r="B143" s="557" t="s">
        <v>1679</v>
      </c>
      <c r="C143" s="580" t="b">
        <v>1</v>
      </c>
      <c r="D143" s="546"/>
      <c r="E143" s="546"/>
      <c r="F143" s="546"/>
    </row>
    <row r="144" spans="1:6" ht="4.05" customHeight="1" x14ac:dyDescent="0.3">
      <c r="A144" s="560"/>
      <c r="B144" s="560"/>
      <c r="C144" s="560"/>
      <c r="D144" s="560"/>
      <c r="E144" s="560"/>
      <c r="F144" s="560"/>
    </row>
    <row r="145" spans="1:6" ht="28.05" customHeight="1" x14ac:dyDescent="0.3">
      <c r="A145" s="629"/>
      <c r="B145" s="668" t="s">
        <v>1759</v>
      </c>
      <c r="C145" s="631"/>
      <c r="D145" s="629"/>
      <c r="E145" s="629"/>
      <c r="F145" s="629"/>
    </row>
    <row r="146" spans="1:6" ht="28.05" customHeight="1" x14ac:dyDescent="0.3">
      <c r="A146" s="546"/>
      <c r="B146" s="557" t="s">
        <v>1760</v>
      </c>
      <c r="C146" s="594" t="s">
        <v>1761</v>
      </c>
      <c r="D146" s="546"/>
      <c r="E146" s="546"/>
      <c r="F146" s="546"/>
    </row>
    <row r="147" spans="1:6" ht="49.95" customHeight="1" x14ac:dyDescent="0.3">
      <c r="A147" s="546"/>
      <c r="B147" s="557" t="s">
        <v>1762</v>
      </c>
      <c r="C147" s="636" t="s">
        <v>1763</v>
      </c>
      <c r="D147" s="546"/>
      <c r="E147" s="546"/>
      <c r="F147" s="546"/>
    </row>
    <row r="148" spans="1:6" ht="28.05" customHeight="1" x14ac:dyDescent="0.3">
      <c r="A148" s="546"/>
      <c r="B148" s="557" t="s">
        <v>1686</v>
      </c>
      <c r="C148" s="636" t="s">
        <v>721</v>
      </c>
      <c r="D148" s="546"/>
      <c r="E148" s="546"/>
      <c r="F148" s="546"/>
    </row>
    <row r="149" spans="1:6" ht="28.05" customHeight="1" x14ac:dyDescent="0.3">
      <c r="A149" s="546"/>
      <c r="B149" s="557" t="s">
        <v>1764</v>
      </c>
      <c r="C149" s="636">
        <v>0.95</v>
      </c>
      <c r="D149" s="546"/>
      <c r="E149" s="546"/>
      <c r="F149" s="546"/>
    </row>
    <row r="150" spans="1:6" ht="42" customHeight="1" x14ac:dyDescent="0.3">
      <c r="A150" s="546"/>
      <c r="B150" s="557" t="s">
        <v>1765</v>
      </c>
      <c r="C150" s="636" t="s">
        <v>1766</v>
      </c>
      <c r="D150" s="546"/>
      <c r="E150" s="546"/>
      <c r="F150" s="546"/>
    </row>
    <row r="151" spans="1:6" ht="28.05" customHeight="1" x14ac:dyDescent="0.3">
      <c r="A151" s="546"/>
      <c r="B151" s="557" t="s">
        <v>1689</v>
      </c>
      <c r="C151" s="635" t="s">
        <v>1767</v>
      </c>
      <c r="D151" s="546"/>
      <c r="E151" s="546"/>
      <c r="F151" s="546"/>
    </row>
    <row r="152" spans="1:6" ht="4.05" customHeight="1" x14ac:dyDescent="0.3">
      <c r="A152" s="560"/>
      <c r="B152" s="560"/>
      <c r="C152" s="560"/>
      <c r="D152" s="560"/>
      <c r="E152" s="560"/>
      <c r="F152" s="560"/>
    </row>
    <row r="153" spans="1:6" ht="31.95" customHeight="1" x14ac:dyDescent="0.35">
      <c r="A153" s="561"/>
      <c r="B153" s="669" t="s">
        <v>1768</v>
      </c>
      <c r="C153" s="563"/>
      <c r="D153" s="561"/>
      <c r="E153" s="561"/>
      <c r="F153" s="561"/>
    </row>
    <row r="154" spans="1:6" ht="24" customHeight="1" x14ac:dyDescent="0.3">
      <c r="A154" s="546"/>
      <c r="B154" s="557" t="s">
        <v>1693</v>
      </c>
      <c r="C154" s="675" t="s">
        <v>1807</v>
      </c>
      <c r="D154" s="546"/>
      <c r="E154" s="546"/>
      <c r="F154" s="546"/>
    </row>
    <row r="155" spans="1:6" ht="24" customHeight="1" x14ac:dyDescent="0.3">
      <c r="A155" s="546"/>
      <c r="B155" s="557" t="s">
        <v>1769</v>
      </c>
      <c r="C155" s="676" t="s">
        <v>1808</v>
      </c>
      <c r="D155" s="546"/>
      <c r="E155" s="546"/>
      <c r="F155" s="546"/>
    </row>
    <row r="156" spans="1:6" ht="24" customHeight="1" x14ac:dyDescent="0.3">
      <c r="A156" s="546"/>
      <c r="B156" s="557" t="s">
        <v>1770</v>
      </c>
      <c r="C156" s="676" t="s">
        <v>1809</v>
      </c>
      <c r="D156" s="546"/>
      <c r="E156" s="546"/>
      <c r="F156" s="546"/>
    </row>
    <row r="157" spans="1:6" ht="24" customHeight="1" x14ac:dyDescent="0.3">
      <c r="A157" s="546"/>
      <c r="B157" s="557" t="s">
        <v>1771</v>
      </c>
      <c r="C157" s="670" t="s">
        <v>1772</v>
      </c>
      <c r="D157" s="546"/>
      <c r="E157" s="546"/>
      <c r="F157" s="546"/>
    </row>
    <row r="158" spans="1:6" ht="24" customHeight="1" x14ac:dyDescent="0.3">
      <c r="A158" s="546"/>
      <c r="B158" s="557" t="s">
        <v>1699</v>
      </c>
      <c r="C158" s="670" t="s">
        <v>1773</v>
      </c>
      <c r="D158" s="546"/>
      <c r="E158" s="546"/>
      <c r="F158" s="546"/>
    </row>
    <row r="159" spans="1:6" ht="24" customHeight="1" x14ac:dyDescent="0.3">
      <c r="A159" s="546"/>
      <c r="B159" s="557" t="s">
        <v>1710</v>
      </c>
      <c r="C159" s="671" t="s">
        <v>1774</v>
      </c>
      <c r="D159" s="546"/>
      <c r="E159" s="546"/>
      <c r="F159" s="546"/>
    </row>
    <row r="160" spans="1:6" ht="25.95" customHeight="1" x14ac:dyDescent="0.3">
      <c r="A160" s="546"/>
      <c r="B160" s="584" t="s">
        <v>1775</v>
      </c>
      <c r="C160" s="547"/>
      <c r="D160" s="546"/>
      <c r="E160" s="546"/>
      <c r="F160" s="546"/>
    </row>
    <row r="161" spans="1:6" x14ac:dyDescent="0.3">
      <c r="A161" s="546"/>
      <c r="B161" s="546"/>
      <c r="C161" s="546"/>
      <c r="D161" s="546"/>
      <c r="E161" s="546"/>
      <c r="F161" s="546"/>
    </row>
    <row r="162" spans="1:6" ht="12" customHeight="1" x14ac:dyDescent="0.3">
      <c r="A162" s="546"/>
      <c r="B162" s="546"/>
      <c r="C162" s="546"/>
      <c r="D162" s="546"/>
      <c r="E162" s="546"/>
      <c r="F162" s="546"/>
    </row>
    <row r="163" spans="1:6" ht="37.950000000000003" customHeight="1" x14ac:dyDescent="0.4">
      <c r="A163" s="561"/>
      <c r="B163" s="672" t="s">
        <v>1776</v>
      </c>
      <c r="C163" s="563"/>
      <c r="D163" s="561"/>
      <c r="E163" s="561"/>
      <c r="F163" s="561"/>
    </row>
    <row r="164" spans="1:6" ht="25.95" customHeight="1" x14ac:dyDescent="0.3">
      <c r="A164" s="546"/>
      <c r="B164" s="661" t="s">
        <v>1777</v>
      </c>
      <c r="C164" s="547"/>
      <c r="D164" s="546"/>
      <c r="E164" s="546"/>
      <c r="F164" s="546"/>
    </row>
    <row r="165" spans="1:6" ht="4.05" customHeight="1" x14ac:dyDescent="0.3">
      <c r="A165" s="560"/>
      <c r="B165" s="560"/>
      <c r="C165" s="560"/>
      <c r="D165" s="560"/>
      <c r="E165" s="560"/>
      <c r="F165" s="560"/>
    </row>
    <row r="166" spans="1:6" ht="28.05" customHeight="1" x14ac:dyDescent="0.3">
      <c r="A166" s="566"/>
      <c r="B166" s="662" t="s">
        <v>1717</v>
      </c>
      <c r="C166" s="568"/>
      <c r="D166" s="566"/>
      <c r="E166" s="566"/>
      <c r="F166" s="566"/>
    </row>
    <row r="167" spans="1:6" ht="36" customHeight="1" x14ac:dyDescent="0.3">
      <c r="A167" s="546"/>
      <c r="B167" s="557" t="s">
        <v>1186</v>
      </c>
      <c r="C167" s="594" t="s">
        <v>1778</v>
      </c>
      <c r="D167" s="546"/>
      <c r="E167" s="546"/>
      <c r="F167" s="546"/>
    </row>
    <row r="168" spans="1:6" ht="24" customHeight="1" x14ac:dyDescent="0.3">
      <c r="A168" s="546"/>
      <c r="B168" s="583" t="s">
        <v>1131</v>
      </c>
      <c r="C168" s="582" t="s">
        <v>367</v>
      </c>
      <c r="D168" s="546"/>
      <c r="E168" s="546"/>
      <c r="F168" s="546"/>
    </row>
    <row r="169" spans="1:6" ht="36" customHeight="1" x14ac:dyDescent="0.3">
      <c r="A169" s="546"/>
      <c r="B169" s="557" t="s">
        <v>1188</v>
      </c>
      <c r="C169" s="582" t="s">
        <v>1779</v>
      </c>
      <c r="D169" s="546"/>
      <c r="E169" s="546"/>
      <c r="F169" s="546"/>
    </row>
    <row r="170" spans="1:6" ht="24" customHeight="1" x14ac:dyDescent="0.3">
      <c r="A170" s="546"/>
      <c r="B170" s="583" t="s">
        <v>1131</v>
      </c>
      <c r="C170" s="582" t="s">
        <v>949</v>
      </c>
      <c r="D170" s="546"/>
      <c r="E170" s="546"/>
      <c r="F170" s="546"/>
    </row>
    <row r="171" spans="1:6" ht="36" customHeight="1" x14ac:dyDescent="0.3">
      <c r="A171" s="546"/>
      <c r="B171" s="557" t="s">
        <v>1720</v>
      </c>
      <c r="C171" s="582" t="s">
        <v>1780</v>
      </c>
      <c r="D171" s="546"/>
      <c r="E171" s="546"/>
      <c r="F171" s="546"/>
    </row>
    <row r="172" spans="1:6" ht="36" customHeight="1" x14ac:dyDescent="0.3">
      <c r="A172" s="546"/>
      <c r="B172" s="557" t="s">
        <v>1133</v>
      </c>
      <c r="C172" s="582" t="s">
        <v>959</v>
      </c>
      <c r="D172" s="546"/>
      <c r="E172" s="546"/>
      <c r="F172" s="546"/>
    </row>
    <row r="173" spans="1:6" ht="36" customHeight="1" x14ac:dyDescent="0.3">
      <c r="A173" s="546"/>
      <c r="B173" s="557" t="s">
        <v>1135</v>
      </c>
      <c r="C173" s="580" t="b">
        <v>1</v>
      </c>
      <c r="D173" s="546"/>
      <c r="E173" s="546"/>
      <c r="F173" s="546"/>
    </row>
    <row r="174" spans="1:6" ht="4.05" customHeight="1" x14ac:dyDescent="0.3">
      <c r="A174" s="560"/>
      <c r="B174" s="560"/>
      <c r="C174" s="560"/>
      <c r="D174" s="560"/>
      <c r="E174" s="560"/>
      <c r="F174" s="560"/>
    </row>
    <row r="175" spans="1:6" ht="28.05" customHeight="1" x14ac:dyDescent="0.3">
      <c r="A175" s="588"/>
      <c r="B175" s="663" t="s">
        <v>1722</v>
      </c>
      <c r="C175" s="590"/>
      <c r="D175" s="588"/>
      <c r="E175" s="588"/>
      <c r="F175" s="588"/>
    </row>
    <row r="176" spans="1:6" ht="36" customHeight="1" x14ac:dyDescent="0.3">
      <c r="A176" s="546"/>
      <c r="B176" s="557" t="s">
        <v>1723</v>
      </c>
      <c r="C176" s="594" t="s">
        <v>1781</v>
      </c>
      <c r="D176" s="546"/>
      <c r="E176" s="546"/>
      <c r="F176" s="546"/>
    </row>
    <row r="177" spans="1:6" ht="36" customHeight="1" x14ac:dyDescent="0.3">
      <c r="A177" s="546"/>
      <c r="B177" s="557" t="s">
        <v>1639</v>
      </c>
      <c r="C177" s="582" t="s">
        <v>1782</v>
      </c>
      <c r="D177" s="546"/>
      <c r="E177" s="546"/>
      <c r="F177" s="546"/>
    </row>
    <row r="178" spans="1:6" ht="36" customHeight="1" x14ac:dyDescent="0.3">
      <c r="A178" s="546"/>
      <c r="B178" s="557" t="s">
        <v>1642</v>
      </c>
      <c r="C178" s="580" t="s">
        <v>1783</v>
      </c>
      <c r="D178" s="546"/>
      <c r="E178" s="546"/>
      <c r="F178" s="546"/>
    </row>
    <row r="179" spans="1:6" ht="4.05" customHeight="1" x14ac:dyDescent="0.3">
      <c r="A179" s="560"/>
      <c r="B179" s="560"/>
      <c r="C179" s="560"/>
      <c r="D179" s="560"/>
      <c r="E179" s="560"/>
      <c r="F179" s="560"/>
    </row>
    <row r="180" spans="1:6" ht="28.05" customHeight="1" x14ac:dyDescent="0.3">
      <c r="A180" s="597"/>
      <c r="B180" s="664" t="s">
        <v>1730</v>
      </c>
      <c r="C180" s="599"/>
      <c r="D180" s="597"/>
      <c r="E180" s="597"/>
      <c r="F180" s="597"/>
    </row>
    <row r="181" spans="1:6" ht="30" customHeight="1" x14ac:dyDescent="0.3">
      <c r="A181" s="546"/>
      <c r="B181" s="557" t="s">
        <v>1784</v>
      </c>
      <c r="C181" s="594" t="s">
        <v>1785</v>
      </c>
      <c r="D181" s="546"/>
      <c r="E181" s="546"/>
      <c r="F181" s="546"/>
    </row>
    <row r="182" spans="1:6" ht="30" customHeight="1" x14ac:dyDescent="0.3">
      <c r="A182" s="546"/>
      <c r="B182" s="557" t="s">
        <v>1786</v>
      </c>
      <c r="C182" s="582" t="s">
        <v>1787</v>
      </c>
      <c r="D182" s="546"/>
      <c r="E182" s="546"/>
      <c r="F182" s="546"/>
    </row>
    <row r="183" spans="1:6" ht="46.05" customHeight="1" x14ac:dyDescent="0.3">
      <c r="A183" s="546"/>
      <c r="B183" s="557" t="s">
        <v>1788</v>
      </c>
      <c r="C183" s="580" t="s">
        <v>1789</v>
      </c>
      <c r="D183" s="546"/>
      <c r="E183" s="546"/>
      <c r="F183" s="546"/>
    </row>
    <row r="184" spans="1:6" ht="4.05" customHeight="1" x14ac:dyDescent="0.3">
      <c r="A184" s="560"/>
      <c r="B184" s="560"/>
      <c r="C184" s="560"/>
      <c r="D184" s="560"/>
      <c r="E184" s="560"/>
      <c r="F184" s="560"/>
    </row>
    <row r="185" spans="1:6" ht="28.05" customHeight="1" x14ac:dyDescent="0.3">
      <c r="A185" s="605"/>
      <c r="B185" s="665" t="s">
        <v>1738</v>
      </c>
      <c r="C185" s="607"/>
      <c r="D185" s="605"/>
      <c r="E185" s="605"/>
      <c r="F185" s="605"/>
    </row>
    <row r="186" spans="1:6" ht="46.05" customHeight="1" x14ac:dyDescent="0.3">
      <c r="A186" s="546"/>
      <c r="B186" s="557" t="s">
        <v>1790</v>
      </c>
      <c r="C186" s="594" t="s">
        <v>1791</v>
      </c>
      <c r="D186" s="546"/>
      <c r="E186" s="546"/>
      <c r="F186" s="546"/>
    </row>
    <row r="187" spans="1:6" ht="30" customHeight="1" x14ac:dyDescent="0.3">
      <c r="A187" s="546"/>
      <c r="B187" s="557" t="s">
        <v>1382</v>
      </c>
      <c r="C187" s="582" t="s">
        <v>865</v>
      </c>
      <c r="D187" s="546"/>
      <c r="E187" s="546"/>
      <c r="F187" s="546"/>
    </row>
    <row r="188" spans="1:6" ht="30" customHeight="1" x14ac:dyDescent="0.3">
      <c r="A188" s="546"/>
      <c r="B188" s="557" t="s">
        <v>1792</v>
      </c>
      <c r="C188" s="580" t="s">
        <v>1793</v>
      </c>
      <c r="D188" s="546"/>
      <c r="E188" s="546"/>
      <c r="F188" s="546"/>
    </row>
    <row r="189" spans="1:6" ht="4.05" customHeight="1" x14ac:dyDescent="0.3">
      <c r="A189" s="560"/>
      <c r="B189" s="560"/>
      <c r="C189" s="560"/>
      <c r="D189" s="560"/>
      <c r="E189" s="560"/>
      <c r="F189" s="560"/>
    </row>
    <row r="190" spans="1:6" ht="28.05" customHeight="1" x14ac:dyDescent="0.3">
      <c r="A190" s="613"/>
      <c r="B190" s="666" t="s">
        <v>1745</v>
      </c>
      <c r="C190" s="615"/>
      <c r="D190" s="613"/>
      <c r="E190" s="613"/>
      <c r="F190" s="613"/>
    </row>
    <row r="191" spans="1:6" ht="46.05" customHeight="1" x14ac:dyDescent="0.3">
      <c r="A191" s="546"/>
      <c r="B191" s="557" t="s">
        <v>1746</v>
      </c>
      <c r="C191" s="594" t="s">
        <v>1794</v>
      </c>
      <c r="D191" s="546"/>
      <c r="E191" s="546"/>
      <c r="F191" s="546"/>
    </row>
    <row r="192" spans="1:6" ht="30" customHeight="1" x14ac:dyDescent="0.3">
      <c r="A192" s="546"/>
      <c r="B192" s="557" t="s">
        <v>1099</v>
      </c>
      <c r="C192" s="582" t="s">
        <v>1795</v>
      </c>
      <c r="D192" s="546"/>
      <c r="E192" s="546"/>
      <c r="F192" s="546"/>
    </row>
    <row r="193" spans="1:6" ht="30" customHeight="1" x14ac:dyDescent="0.3">
      <c r="A193" s="546"/>
      <c r="B193" s="557" t="s">
        <v>1752</v>
      </c>
      <c r="C193" s="580">
        <v>0.65</v>
      </c>
      <c r="D193" s="546"/>
      <c r="E193" s="546"/>
      <c r="F193" s="546"/>
    </row>
    <row r="194" spans="1:6" ht="4.05" customHeight="1" x14ac:dyDescent="0.3">
      <c r="A194" s="560"/>
      <c r="B194" s="560"/>
      <c r="C194" s="560"/>
      <c r="D194" s="560"/>
      <c r="E194" s="560"/>
      <c r="F194" s="560"/>
    </row>
    <row r="195" spans="1:6" ht="28.05" customHeight="1" x14ac:dyDescent="0.3">
      <c r="A195" s="621"/>
      <c r="B195" s="667" t="s">
        <v>1753</v>
      </c>
      <c r="C195" s="623"/>
      <c r="D195" s="621"/>
      <c r="E195" s="621"/>
      <c r="F195" s="621"/>
    </row>
    <row r="196" spans="1:6" ht="30" customHeight="1" x14ac:dyDescent="0.3">
      <c r="A196" s="546"/>
      <c r="B196" s="557" t="s">
        <v>1675</v>
      </c>
      <c r="C196" s="594" t="s">
        <v>404</v>
      </c>
      <c r="D196" s="546"/>
      <c r="E196" s="546"/>
      <c r="F196" s="546"/>
    </row>
    <row r="197" spans="1:6" ht="30" customHeight="1" x14ac:dyDescent="0.3">
      <c r="A197" s="546"/>
      <c r="B197" s="557" t="s">
        <v>1699</v>
      </c>
      <c r="C197" s="582" t="s">
        <v>1796</v>
      </c>
      <c r="D197" s="546"/>
      <c r="E197" s="546"/>
      <c r="F197" s="546"/>
    </row>
    <row r="198" spans="1:6" ht="30" customHeight="1" x14ac:dyDescent="0.3">
      <c r="A198" s="546"/>
      <c r="B198" s="557" t="s">
        <v>1797</v>
      </c>
      <c r="C198" s="580" t="s">
        <v>1798</v>
      </c>
      <c r="D198" s="546"/>
      <c r="E198" s="546"/>
      <c r="F198" s="546"/>
    </row>
    <row r="199" spans="1:6" ht="4.05" customHeight="1" x14ac:dyDescent="0.3">
      <c r="A199" s="560"/>
      <c r="B199" s="560"/>
      <c r="C199" s="560"/>
      <c r="D199" s="560"/>
      <c r="E199" s="560"/>
      <c r="F199" s="560"/>
    </row>
    <row r="200" spans="1:6" ht="28.05" customHeight="1" x14ac:dyDescent="0.3">
      <c r="A200" s="629"/>
      <c r="B200" s="668" t="s">
        <v>1799</v>
      </c>
      <c r="C200" s="631"/>
      <c r="D200" s="629"/>
      <c r="E200" s="629"/>
      <c r="F200" s="629"/>
    </row>
    <row r="201" spans="1:6" ht="30" customHeight="1" x14ac:dyDescent="0.3">
      <c r="A201" s="546"/>
      <c r="B201" s="557" t="s">
        <v>1760</v>
      </c>
      <c r="C201" s="594" t="s">
        <v>1800</v>
      </c>
      <c r="D201" s="546"/>
      <c r="E201" s="546"/>
      <c r="F201" s="546"/>
    </row>
    <row r="202" spans="1:6" ht="46.05" customHeight="1" x14ac:dyDescent="0.3">
      <c r="A202" s="546"/>
      <c r="B202" s="557" t="s">
        <v>1801</v>
      </c>
      <c r="C202" s="582" t="s">
        <v>1802</v>
      </c>
      <c r="D202" s="546"/>
      <c r="E202" s="546"/>
      <c r="F202" s="546"/>
    </row>
    <row r="203" spans="1:6" ht="30" customHeight="1" x14ac:dyDescent="0.3">
      <c r="A203" s="546"/>
      <c r="B203" s="557" t="s">
        <v>1764</v>
      </c>
      <c r="C203" s="582">
        <v>0.65</v>
      </c>
      <c r="D203" s="546"/>
      <c r="E203" s="546"/>
      <c r="F203" s="546"/>
    </row>
    <row r="204" spans="1:6" ht="46.05" customHeight="1" x14ac:dyDescent="0.3">
      <c r="A204" s="546"/>
      <c r="B204" s="557" t="s">
        <v>1788</v>
      </c>
      <c r="C204" s="580" t="s">
        <v>1803</v>
      </c>
      <c r="D204" s="546"/>
      <c r="E204" s="546"/>
      <c r="F204" s="546"/>
    </row>
    <row r="205" spans="1:6" ht="4.05" customHeight="1" x14ac:dyDescent="0.3">
      <c r="A205" s="560"/>
      <c r="B205" s="560"/>
      <c r="C205" s="560"/>
      <c r="D205" s="560"/>
      <c r="E205" s="560"/>
      <c r="F205" s="560"/>
    </row>
    <row r="206" spans="1:6" ht="31.95" customHeight="1" x14ac:dyDescent="0.35">
      <c r="A206" s="561"/>
      <c r="B206" s="673" t="s">
        <v>1804</v>
      </c>
      <c r="C206" s="563"/>
      <c r="D206" s="561"/>
      <c r="E206" s="561"/>
      <c r="F206" s="561"/>
    </row>
    <row r="207" spans="1:6" ht="28.05" customHeight="1" x14ac:dyDescent="0.3">
      <c r="A207" s="546"/>
      <c r="B207" s="564" t="s">
        <v>1710</v>
      </c>
      <c r="C207" s="674" t="s">
        <v>1805</v>
      </c>
      <c r="D207" s="546"/>
      <c r="E207" s="546"/>
      <c r="F207" s="546"/>
    </row>
    <row r="208" spans="1:6" ht="25.95" customHeight="1" x14ac:dyDescent="0.3">
      <c r="A208" s="546"/>
      <c r="B208" s="584" t="s">
        <v>1806</v>
      </c>
      <c r="C208" s="547"/>
      <c r="D208" s="546"/>
      <c r="E208" s="546"/>
      <c r="F208" s="546"/>
    </row>
    <row r="209" spans="1:6" x14ac:dyDescent="0.3">
      <c r="A209" s="546"/>
      <c r="B209" s="546"/>
      <c r="C209" s="546"/>
      <c r="D209" s="546"/>
      <c r="E209" s="546"/>
      <c r="F209" s="546"/>
    </row>
    <row r="210" spans="1:6" x14ac:dyDescent="0.3">
      <c r="A210" s="546"/>
      <c r="B210" s="546"/>
      <c r="C210" s="546"/>
      <c r="D210" s="546"/>
      <c r="E210" s="546"/>
      <c r="F210" s="546"/>
    </row>
    <row r="211" spans="1:6" x14ac:dyDescent="0.3">
      <c r="A211" s="546"/>
      <c r="B211" s="546"/>
      <c r="C211" s="546"/>
      <c r="D211" s="546"/>
      <c r="E211" s="546"/>
      <c r="F211" s="546"/>
    </row>
    <row r="212" spans="1:6" x14ac:dyDescent="0.3">
      <c r="A212" s="546"/>
      <c r="B212" s="546"/>
      <c r="C212" s="546"/>
      <c r="D212" s="546"/>
      <c r="E212" s="546"/>
      <c r="F212" s="546"/>
    </row>
    <row r="213" spans="1:6" x14ac:dyDescent="0.3">
      <c r="A213" s="546"/>
      <c r="B213" s="546"/>
      <c r="C213" s="546"/>
      <c r="D213" s="546"/>
      <c r="E213" s="546"/>
      <c r="F213" s="546"/>
    </row>
    <row r="214" spans="1:6" x14ac:dyDescent="0.3">
      <c r="A214" s="546"/>
      <c r="B214" s="546"/>
      <c r="C214" s="546"/>
      <c r="D214" s="546"/>
      <c r="E214" s="546"/>
      <c r="F214" s="546"/>
    </row>
    <row r="215" spans="1:6" x14ac:dyDescent="0.3">
      <c r="A215" s="546"/>
      <c r="B215" s="546"/>
      <c r="C215" s="546"/>
      <c r="D215" s="546"/>
      <c r="E215" s="546"/>
      <c r="F215" s="546"/>
    </row>
    <row r="216" spans="1:6" x14ac:dyDescent="0.3">
      <c r="A216" s="546"/>
      <c r="B216" s="546"/>
      <c r="C216" s="546"/>
      <c r="D216" s="546"/>
      <c r="E216" s="546"/>
      <c r="F216" s="546"/>
    </row>
    <row r="217" spans="1:6" x14ac:dyDescent="0.3">
      <c r="A217" s="546"/>
      <c r="B217" s="546"/>
      <c r="C217" s="546"/>
      <c r="D217" s="546"/>
      <c r="E217" s="546"/>
      <c r="F217" s="546"/>
    </row>
    <row r="218" spans="1:6" x14ac:dyDescent="0.3">
      <c r="A218" s="546"/>
      <c r="B218" s="546"/>
      <c r="C218" s="546"/>
      <c r="D218" s="546"/>
      <c r="E218" s="546"/>
      <c r="F218" s="546"/>
    </row>
    <row r="219" spans="1:6" x14ac:dyDescent="0.3">
      <c r="A219" s="546"/>
      <c r="B219" s="546"/>
      <c r="C219" s="546"/>
      <c r="D219" s="546"/>
      <c r="E219" s="546"/>
      <c r="F219" s="546"/>
    </row>
    <row r="220" spans="1:6" x14ac:dyDescent="0.3">
      <c r="A220" s="546"/>
      <c r="B220" s="546"/>
      <c r="C220" s="546"/>
      <c r="D220" s="546"/>
      <c r="E220" s="546"/>
      <c r="F220" s="546"/>
    </row>
    <row r="221" spans="1:6" x14ac:dyDescent="0.3">
      <c r="A221" s="546"/>
      <c r="B221" s="546"/>
      <c r="C221" s="546"/>
      <c r="D221" s="546"/>
      <c r="E221" s="546"/>
      <c r="F221" s="546"/>
    </row>
    <row r="222" spans="1:6" x14ac:dyDescent="0.3">
      <c r="A222" s="546"/>
      <c r="B222" s="546"/>
      <c r="C222" s="546"/>
      <c r="D222" s="546"/>
      <c r="E222" s="546"/>
      <c r="F222" s="546"/>
    </row>
    <row r="223" spans="1:6" x14ac:dyDescent="0.3">
      <c r="A223" s="546"/>
      <c r="B223" s="546"/>
      <c r="C223" s="546"/>
      <c r="D223" s="546"/>
      <c r="E223" s="546"/>
      <c r="F223" s="546"/>
    </row>
    <row r="224" spans="1:6" x14ac:dyDescent="0.3">
      <c r="A224" s="546"/>
      <c r="B224" s="546"/>
      <c r="C224" s="546"/>
      <c r="D224" s="546"/>
      <c r="E224" s="546"/>
      <c r="F224" s="546"/>
    </row>
    <row r="225" spans="1:6" x14ac:dyDescent="0.3">
      <c r="A225" s="546"/>
      <c r="B225" s="546"/>
      <c r="C225" s="546"/>
      <c r="D225" s="546"/>
      <c r="E225" s="546"/>
      <c r="F225" s="546"/>
    </row>
    <row r="226" spans="1:6" x14ac:dyDescent="0.3">
      <c r="A226" s="546"/>
      <c r="B226" s="546"/>
      <c r="C226" s="546"/>
      <c r="D226" s="546"/>
      <c r="E226" s="546"/>
      <c r="F226" s="546"/>
    </row>
    <row r="227" spans="1:6" x14ac:dyDescent="0.3">
      <c r="A227" s="546"/>
      <c r="B227" s="546"/>
      <c r="C227" s="546"/>
      <c r="D227" s="546"/>
      <c r="E227" s="546"/>
      <c r="F227" s="546"/>
    </row>
    <row r="228" spans="1:6" x14ac:dyDescent="0.3">
      <c r="A228" s="546"/>
      <c r="B228" s="546"/>
      <c r="C228" s="546"/>
      <c r="D228" s="546"/>
      <c r="E228" s="546"/>
      <c r="F228" s="546"/>
    </row>
    <row r="229" spans="1:6" x14ac:dyDescent="0.3">
      <c r="A229" s="546"/>
      <c r="B229" s="546"/>
      <c r="C229" s="546"/>
      <c r="D229" s="546"/>
      <c r="E229" s="546"/>
      <c r="F229" s="546"/>
    </row>
    <row r="230" spans="1:6" x14ac:dyDescent="0.3">
      <c r="A230" s="546"/>
      <c r="B230" s="546"/>
      <c r="C230" s="546"/>
      <c r="D230" s="546"/>
      <c r="E230" s="546"/>
      <c r="F230" s="546"/>
    </row>
    <row r="231" spans="1:6" x14ac:dyDescent="0.3">
      <c r="A231" s="546"/>
      <c r="B231" s="546"/>
      <c r="C231" s="546"/>
      <c r="D231" s="546"/>
      <c r="E231" s="546"/>
      <c r="F231" s="546"/>
    </row>
    <row r="232" spans="1:6" x14ac:dyDescent="0.3">
      <c r="A232" s="546"/>
      <c r="B232" s="546"/>
      <c r="C232" s="546"/>
      <c r="D232" s="546"/>
      <c r="E232" s="546"/>
      <c r="F232" s="546"/>
    </row>
    <row r="233" spans="1:6" x14ac:dyDescent="0.3">
      <c r="A233" s="546"/>
      <c r="B233" s="546"/>
      <c r="C233" s="546"/>
      <c r="D233" s="546"/>
      <c r="E233" s="546"/>
      <c r="F233" s="546"/>
    </row>
    <row r="234" spans="1:6" x14ac:dyDescent="0.3">
      <c r="A234" s="546"/>
      <c r="B234" s="546"/>
      <c r="C234" s="546"/>
      <c r="D234" s="546"/>
      <c r="E234" s="546"/>
      <c r="F234" s="546"/>
    </row>
    <row r="235" spans="1:6" x14ac:dyDescent="0.3">
      <c r="A235" s="546"/>
      <c r="B235" s="546"/>
      <c r="C235" s="546"/>
      <c r="D235" s="546"/>
      <c r="E235" s="546"/>
      <c r="F235" s="546"/>
    </row>
    <row r="236" spans="1:6" x14ac:dyDescent="0.3">
      <c r="A236" s="546"/>
      <c r="B236" s="546"/>
      <c r="C236" s="546"/>
      <c r="D236" s="546"/>
      <c r="E236" s="546"/>
      <c r="F236" s="546"/>
    </row>
    <row r="237" spans="1:6" x14ac:dyDescent="0.3">
      <c r="A237" s="546"/>
      <c r="B237" s="546"/>
      <c r="C237" s="546"/>
      <c r="D237" s="546"/>
      <c r="E237" s="546"/>
      <c r="F237" s="546"/>
    </row>
    <row r="238" spans="1:6" x14ac:dyDescent="0.3">
      <c r="A238" s="546"/>
      <c r="B238" s="546"/>
      <c r="C238" s="546"/>
      <c r="D238" s="546"/>
      <c r="E238" s="546"/>
      <c r="F238" s="546"/>
    </row>
    <row r="239" spans="1:6" x14ac:dyDescent="0.3">
      <c r="A239" s="546"/>
      <c r="B239" s="546"/>
      <c r="C239" s="546"/>
      <c r="D239" s="546"/>
      <c r="E239" s="546"/>
      <c r="F239" s="546"/>
    </row>
    <row r="240" spans="1:6" x14ac:dyDescent="0.3">
      <c r="A240" s="546"/>
      <c r="B240" s="546"/>
      <c r="C240" s="546"/>
      <c r="D240" s="546"/>
      <c r="E240" s="546"/>
      <c r="F240" s="546"/>
    </row>
    <row r="241" spans="1:6" x14ac:dyDescent="0.3">
      <c r="A241" s="546"/>
      <c r="B241" s="546"/>
      <c r="C241" s="546"/>
      <c r="D241" s="546"/>
      <c r="E241" s="546"/>
      <c r="F241" s="546"/>
    </row>
    <row r="242" spans="1:6" x14ac:dyDescent="0.3">
      <c r="A242" s="546"/>
      <c r="B242" s="546"/>
      <c r="C242" s="546"/>
      <c r="D242" s="546"/>
      <c r="E242" s="546"/>
      <c r="F242" s="546"/>
    </row>
    <row r="243" spans="1:6" x14ac:dyDescent="0.3">
      <c r="A243" s="546"/>
      <c r="B243" s="546"/>
      <c r="C243" s="546"/>
      <c r="D243" s="546"/>
      <c r="E243" s="546"/>
      <c r="F243" s="546"/>
    </row>
    <row r="244" spans="1:6" x14ac:dyDescent="0.3">
      <c r="A244" s="546"/>
      <c r="B244" s="546"/>
      <c r="C244" s="546"/>
      <c r="D244" s="546"/>
      <c r="E244" s="546"/>
      <c r="F244" s="546"/>
    </row>
    <row r="245" spans="1:6" x14ac:dyDescent="0.3">
      <c r="A245" s="546"/>
      <c r="B245" s="546"/>
      <c r="C245" s="546"/>
      <c r="D245" s="546"/>
      <c r="E245" s="546"/>
      <c r="F245" s="546"/>
    </row>
    <row r="246" spans="1:6" x14ac:dyDescent="0.3">
      <c r="A246" s="546"/>
      <c r="B246" s="546"/>
      <c r="C246" s="546"/>
      <c r="D246" s="546"/>
      <c r="E246" s="546"/>
      <c r="F246" s="546"/>
    </row>
    <row r="247" spans="1:6" x14ac:dyDescent="0.3">
      <c r="A247" s="546"/>
      <c r="B247" s="546"/>
      <c r="C247" s="546"/>
      <c r="D247" s="546"/>
      <c r="E247" s="546"/>
      <c r="F247" s="546"/>
    </row>
    <row r="248" spans="1:6" x14ac:dyDescent="0.3">
      <c r="A248" s="546"/>
      <c r="B248" s="546"/>
      <c r="C248" s="546"/>
      <c r="D248" s="546"/>
      <c r="E248" s="546"/>
      <c r="F248" s="546"/>
    </row>
    <row r="249" spans="1:6" x14ac:dyDescent="0.3">
      <c r="A249" s="546"/>
      <c r="B249" s="546"/>
      <c r="C249" s="546"/>
      <c r="D249" s="546"/>
      <c r="E249" s="546"/>
      <c r="F249" s="546"/>
    </row>
    <row r="250" spans="1:6" x14ac:dyDescent="0.3">
      <c r="A250" s="546"/>
      <c r="B250" s="546"/>
      <c r="C250" s="546"/>
      <c r="D250" s="546"/>
      <c r="E250" s="546"/>
      <c r="F250" s="546"/>
    </row>
  </sheetData>
  <mergeCells count="54">
    <mergeCell ref="B185:C185"/>
    <mergeCell ref="B190:C190"/>
    <mergeCell ref="B195:C195"/>
    <mergeCell ref="B200:C200"/>
    <mergeCell ref="B206:C206"/>
    <mergeCell ref="B208:C208"/>
    <mergeCell ref="B160:C160"/>
    <mergeCell ref="B163:C163"/>
    <mergeCell ref="B164:C164"/>
    <mergeCell ref="B166:C166"/>
    <mergeCell ref="B175:C175"/>
    <mergeCell ref="B180:C180"/>
    <mergeCell ref="B114:C114"/>
    <mergeCell ref="B122:C122"/>
    <mergeCell ref="B131:C131"/>
    <mergeCell ref="B138:C138"/>
    <mergeCell ref="B145:C145"/>
    <mergeCell ref="B153:C153"/>
    <mergeCell ref="B90:C90"/>
    <mergeCell ref="B92:C92"/>
    <mergeCell ref="B93:C93"/>
    <mergeCell ref="B95:C95"/>
    <mergeCell ref="B98:C98"/>
    <mergeCell ref="B107:C107"/>
    <mergeCell ref="B67:C67"/>
    <mergeCell ref="B68:C68"/>
    <mergeCell ref="B75:C75"/>
    <mergeCell ref="B77:C77"/>
    <mergeCell ref="B88:C88"/>
    <mergeCell ref="B89:C89"/>
    <mergeCell ref="B49:C49"/>
    <mergeCell ref="B50:C50"/>
    <mergeCell ref="B56:C56"/>
    <mergeCell ref="B58:C58"/>
    <mergeCell ref="B59:C59"/>
    <mergeCell ref="B65:C65"/>
    <mergeCell ref="B28:C28"/>
    <mergeCell ref="B29:C29"/>
    <mergeCell ref="B36:C36"/>
    <mergeCell ref="B38:C38"/>
    <mergeCell ref="B39:C39"/>
    <mergeCell ref="B47:C47"/>
    <mergeCell ref="B10:C10"/>
    <mergeCell ref="B8:C8"/>
    <mergeCell ref="B17:C17"/>
    <mergeCell ref="B19:C19"/>
    <mergeCell ref="B20:C20"/>
    <mergeCell ref="B26:C26"/>
    <mergeCell ref="B1:C1"/>
    <mergeCell ref="B2:C2"/>
    <mergeCell ref="B3:C3"/>
    <mergeCell ref="B5:C5"/>
    <mergeCell ref="B6:C6"/>
    <mergeCell ref="B9:C9"/>
  </mergeCells>
  <dataValidations count="12">
    <dataValidation type="list" allowBlank="1" showInputMessage="1" showErrorMessage="1" sqref="C7 C6 C16 C46 C64" xr:uid="{9E598B7B-F21E-4D04-A677-7EFF49CE9006}">
      <formula1>"TRUE,FALSE"</formula1>
    </dataValidation>
    <dataValidation type="list" allowBlank="1" showInputMessage="1" showErrorMessage="1" sqref="C11 C13" xr:uid="{59435A7B-28DD-4F2C-AA1C-B509D5CDC5DD}">
      <formula1>"Settings!$B$19:$B$23"</formula1>
    </dataValidation>
    <dataValidation type="list" allowBlank="1" showInputMessage="1" showErrorMessage="1" sqref="C15" xr:uid="{32D266EA-1CDD-47E1-B2A1-072FFAA0AD66}">
      <formula1>"Settings!$C$19:$C$23"</formula1>
    </dataValidation>
    <dataValidation type="list" allowBlank="1" showInputMessage="1" showErrorMessage="1" sqref="C25" xr:uid="{70E20734-9466-40D5-921C-BD2F4E109024}">
      <formula1>"Deductive,Predictive,Structural,Experiential"</formula1>
    </dataValidation>
    <dataValidation type="list" allowBlank="1" showInputMessage="1" showErrorMessage="1" sqref="C34" xr:uid="{9027F851-85B5-4CDF-B0B2-BA26405EDF9A}">
      <formula1>"Axiom (bedrock),Assertion (brute fact),Circularity (loop),Convention,Open Question"</formula1>
    </dataValidation>
    <dataValidation type="list" allowBlank="1" showInputMessage="1" showErrorMessage="1" sqref="C41 C44" xr:uid="{B55BD3FD-1C66-40E0-AF7A-7BAEC7D49DEE}">
      <formula1>"Settings!$F$27:$F$34"</formula1>
    </dataValidation>
    <dataValidation type="list" allowBlank="1" showInputMessage="1" showErrorMessage="1" sqref="C42 C55 C72" xr:uid="{456AD09E-336E-4590-8B96-7C26C4F683C4}">
      <formula1>"0.0,0.1,0.2,0.3,0.4,0.5,0.6,0.7,0.8,0.9,1.0"</formula1>
    </dataValidation>
    <dataValidation type="list" allowBlank="1" showInputMessage="1" showErrorMessage="1" sqref="C45" xr:uid="{31C6F6F3-4A93-4E1E-8479-ACD97DB01BD5}">
      <formula1>"Settings!$D$27:$D$34"</formula1>
    </dataValidation>
    <dataValidation type="list" allowBlank="1" showInputMessage="1" showErrorMessage="1" sqref="C54" xr:uid="{B1EB46FA-6406-444A-A89C-A4B5E934AFCA}">
      <formula1>"Settings!$I$3:$I$9"</formula1>
    </dataValidation>
    <dataValidation type="list" allowBlank="1" showInputMessage="1" showErrorMessage="1" sqref="C60" xr:uid="{FD558F0F-D68C-404B-AE0B-5A8081091D53}">
      <formula1>"Settings!$A$3:$A$25"</formula1>
    </dataValidation>
    <dataValidation type="list" allowBlank="1" showInputMessage="1" showErrorMessage="1" sqref="C63" xr:uid="{F1778580-2814-4FFE-B35F-CAB9F8E2677C}">
      <formula1>"None,Analogical,Structural Isomorphism,Formal Isomorphism"</formula1>
    </dataValidation>
    <dataValidation type="list" allowBlank="1" showInputMessage="1" showErrorMessage="1" sqref="C71" xr:uid="{0257C66C-FD71-463E-982C-8350D327E40A}">
      <formula1>"Settings!$G$3:$G$9"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396E-680E-4218-9C60-1752C19B1CBD}">
  <dimension ref="A1:F286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.77734375" customWidth="1"/>
    <col min="2" max="2" width="37" customWidth="1"/>
    <col min="3" max="3" width="74.109375" customWidth="1"/>
    <col min="4" max="4" width="2.77734375" customWidth="1"/>
    <col min="5" max="5" width="25.88671875" customWidth="1"/>
    <col min="6" max="6" width="29.6640625" customWidth="1"/>
    <col min="7" max="7" width="3.6640625" customWidth="1"/>
  </cols>
  <sheetData>
    <row r="1" spans="1:6" ht="49.95" customHeight="1" x14ac:dyDescent="0.5">
      <c r="A1" s="305"/>
      <c r="B1" s="306" t="s">
        <v>1069</v>
      </c>
      <c r="C1" s="3"/>
      <c r="D1" s="305"/>
      <c r="E1" s="309" t="s">
        <v>1071</v>
      </c>
      <c r="F1" s="309" t="s">
        <v>1072</v>
      </c>
    </row>
    <row r="2" spans="1:6" ht="25.95" customHeight="1" x14ac:dyDescent="0.3">
      <c r="A2" s="305"/>
      <c r="B2" s="307" t="s">
        <v>1070</v>
      </c>
      <c r="C2" s="3"/>
      <c r="D2" s="305"/>
      <c r="E2" s="305"/>
      <c r="F2" s="305"/>
    </row>
    <row r="3" spans="1:6" ht="6" customHeight="1" x14ac:dyDescent="0.3">
      <c r="A3" s="7"/>
      <c r="B3" s="7"/>
      <c r="C3" s="7"/>
      <c r="D3" s="7"/>
      <c r="E3" s="7"/>
      <c r="F3" s="7"/>
    </row>
    <row r="4" spans="1:6" ht="31.95" customHeight="1" x14ac:dyDescent="0.35">
      <c r="A4" s="310"/>
      <c r="B4" s="11" t="s">
        <v>1073</v>
      </c>
      <c r="C4" s="12"/>
      <c r="D4" s="310"/>
      <c r="E4" s="310"/>
      <c r="F4" s="310"/>
    </row>
    <row r="5" spans="1:6" ht="24" customHeight="1" x14ac:dyDescent="0.3">
      <c r="A5" s="311"/>
      <c r="B5" s="312" t="s">
        <v>1074</v>
      </c>
      <c r="C5" s="14"/>
      <c r="D5" s="311"/>
      <c r="E5" s="311"/>
      <c r="F5" s="311"/>
    </row>
    <row r="6" spans="1:6" ht="30" customHeight="1" thickBot="1" x14ac:dyDescent="0.35">
      <c r="B6" s="8" t="s">
        <v>1075</v>
      </c>
      <c r="C6" s="313"/>
      <c r="E6" s="27" t="s">
        <v>1076</v>
      </c>
      <c r="F6" s="27" t="str">
        <f>IF(C6="TRUE","✓ READY","⬜ Required")</f>
        <v>⬜ Required</v>
      </c>
    </row>
    <row r="7" spans="1:6" ht="6" customHeight="1" x14ac:dyDescent="0.3">
      <c r="A7" s="7"/>
      <c r="B7" s="7"/>
      <c r="C7" s="7"/>
      <c r="D7" s="7"/>
      <c r="E7" s="7"/>
      <c r="F7" s="7"/>
    </row>
    <row r="8" spans="1:6" ht="31.95" customHeight="1" x14ac:dyDescent="0.35">
      <c r="A8" s="314"/>
      <c r="B8" s="18" t="s">
        <v>1077</v>
      </c>
      <c r="C8" s="19"/>
      <c r="D8" s="314"/>
      <c r="E8" s="322" t="s">
        <v>1085</v>
      </c>
      <c r="F8" s="322" t="str">
        <f>IF(AND(C11&lt;&gt;"",C12&lt;&gt;"",C14&lt;&gt;""),"✓ Complete","⬜ "&amp;3-COUNTIF(C11:C14,"&lt;&gt;"&amp;"")&amp;" fields left")</f>
        <v>⬜ 3 fields left</v>
      </c>
    </row>
    <row r="9" spans="1:6" ht="19.95" customHeight="1" x14ac:dyDescent="0.3">
      <c r="A9" s="315"/>
      <c r="B9" s="20" t="s">
        <v>1078</v>
      </c>
      <c r="C9" s="21"/>
      <c r="D9" s="315"/>
      <c r="E9" s="315"/>
      <c r="F9" s="315"/>
    </row>
    <row r="10" spans="1:6" ht="24" customHeight="1" x14ac:dyDescent="0.3">
      <c r="B10" s="15" t="s">
        <v>1079</v>
      </c>
      <c r="C10" s="316" t="str">
        <f ca="1">"c_"&amp;DEC2HEX(RANDBETWEEN(0,4294967295),8)&amp;"-"&amp;DEC2HEX(RANDBETWEEN(0,65535),4)&amp;"-4"&amp;DEC2HEX(RANDBETWEEN(0,4095),3)&amp;"-"&amp;DEC2HEX(RANDBETWEEN(32768,49151),4)&amp;"-"&amp;DEC2HEX(RANDBETWEEN(0,4294967295),8)&amp;DEC2HEX(RANDBETWEEN(0,65535),4)</f>
        <v>c_8CF18010-06D7-48A4-B7DA-C2BEF95238E4</v>
      </c>
    </row>
    <row r="11" spans="1:6" ht="30" customHeight="1" thickBot="1" x14ac:dyDescent="0.35">
      <c r="B11" s="8" t="s">
        <v>1080</v>
      </c>
      <c r="C11" s="317"/>
    </row>
    <row r="12" spans="1:6" ht="28.05" customHeight="1" x14ac:dyDescent="0.3">
      <c r="B12" s="8" t="s">
        <v>1081</v>
      </c>
      <c r="C12" s="318"/>
    </row>
    <row r="13" spans="1:6" ht="28.05" customHeight="1" x14ac:dyDescent="0.3">
      <c r="B13" s="220" t="s">
        <v>1082</v>
      </c>
      <c r="C13" s="319"/>
    </row>
    <row r="14" spans="1:6" ht="45" customHeight="1" x14ac:dyDescent="0.3">
      <c r="B14" s="124" t="s">
        <v>1083</v>
      </c>
      <c r="C14" s="320"/>
    </row>
    <row r="15" spans="1:6" ht="25.95" customHeight="1" x14ac:dyDescent="0.3">
      <c r="B15" s="15" t="s">
        <v>1084</v>
      </c>
      <c r="C15" s="321"/>
    </row>
    <row r="16" spans="1:6" ht="6" customHeight="1" x14ac:dyDescent="0.3">
      <c r="A16" s="7"/>
      <c r="B16" s="7"/>
      <c r="C16" s="7"/>
      <c r="D16" s="7"/>
      <c r="E16" s="7"/>
      <c r="F16" s="7"/>
    </row>
    <row r="17" spans="1:6" ht="31.95" customHeight="1" x14ac:dyDescent="0.35">
      <c r="A17" s="323"/>
      <c r="B17" s="324" t="s">
        <v>1086</v>
      </c>
      <c r="C17" s="325"/>
      <c r="D17" s="323"/>
      <c r="E17" s="332" t="s">
        <v>1093</v>
      </c>
      <c r="F17" s="332" t="str">
        <f>IF(AND(C19&lt;&gt;"",C21&lt;&gt;""),"✓ Complete","⬜ Incomplete")</f>
        <v>⬜ Incomplete</v>
      </c>
    </row>
    <row r="18" spans="1:6" ht="19.95" customHeight="1" x14ac:dyDescent="0.3">
      <c r="A18" s="326"/>
      <c r="B18" s="327" t="s">
        <v>1087</v>
      </c>
      <c r="C18" s="328"/>
      <c r="D18" s="326"/>
      <c r="E18" s="326"/>
      <c r="F18" s="326"/>
    </row>
    <row r="19" spans="1:6" ht="28.05" customHeight="1" x14ac:dyDescent="0.3">
      <c r="B19" s="8" t="s">
        <v>1088</v>
      </c>
      <c r="C19" s="329"/>
    </row>
    <row r="20" spans="1:6" ht="28.05" customHeight="1" x14ac:dyDescent="0.3">
      <c r="B20" s="15" t="s">
        <v>1089</v>
      </c>
      <c r="C20" s="331"/>
    </row>
    <row r="21" spans="1:6" ht="28.05" customHeight="1" x14ac:dyDescent="0.3">
      <c r="B21" s="8" t="s">
        <v>1090</v>
      </c>
      <c r="C21" s="331"/>
    </row>
    <row r="22" spans="1:6" ht="28.05" customHeight="1" x14ac:dyDescent="0.3">
      <c r="B22" s="15" t="s">
        <v>1091</v>
      </c>
      <c r="C22" s="330"/>
    </row>
    <row r="23" spans="1:6" ht="18" customHeight="1" x14ac:dyDescent="0.3">
      <c r="B23" s="218" t="s">
        <v>1092</v>
      </c>
      <c r="C23" s="1"/>
    </row>
    <row r="24" spans="1:6" ht="6" customHeight="1" x14ac:dyDescent="0.3">
      <c r="A24" s="7"/>
      <c r="B24" s="7"/>
      <c r="C24" s="7"/>
      <c r="D24" s="7"/>
      <c r="E24" s="7"/>
      <c r="F24" s="7"/>
    </row>
    <row r="25" spans="1:6" ht="31.95" customHeight="1" x14ac:dyDescent="0.35">
      <c r="A25" s="333"/>
      <c r="B25" s="334" t="s">
        <v>1094</v>
      </c>
      <c r="C25" s="335"/>
      <c r="D25" s="333"/>
      <c r="E25" s="344" t="s">
        <v>1102</v>
      </c>
      <c r="F25" s="344" t="str">
        <f>IF(AND(C27&lt;&gt;"",C29&lt;&gt;""),"✓ Complete","⬜ Incomplete")</f>
        <v>⬜ Incomplete</v>
      </c>
    </row>
    <row r="26" spans="1:6" ht="19.95" customHeight="1" x14ac:dyDescent="0.3">
      <c r="A26" s="336"/>
      <c r="B26" s="337" t="s">
        <v>1095</v>
      </c>
      <c r="C26" s="338"/>
      <c r="D26" s="336"/>
      <c r="E26" s="336"/>
      <c r="F26" s="336"/>
    </row>
    <row r="27" spans="1:6" ht="40.049999999999997" customHeight="1" x14ac:dyDescent="0.3">
      <c r="B27" s="8" t="s">
        <v>1096</v>
      </c>
      <c r="C27" s="339"/>
    </row>
    <row r="28" spans="1:6" ht="28.05" customHeight="1" x14ac:dyDescent="0.3">
      <c r="B28" s="15" t="s">
        <v>1097</v>
      </c>
      <c r="C28" s="341"/>
    </row>
    <row r="29" spans="1:6" ht="28.05" customHeight="1" x14ac:dyDescent="0.3">
      <c r="B29" s="8" t="s">
        <v>1098</v>
      </c>
      <c r="C29" s="341"/>
    </row>
    <row r="30" spans="1:6" ht="28.05" customHeight="1" x14ac:dyDescent="0.3">
      <c r="B30" s="8" t="s">
        <v>1099</v>
      </c>
      <c r="C30" s="341"/>
    </row>
    <row r="31" spans="1:6" ht="36" customHeight="1" x14ac:dyDescent="0.3">
      <c r="B31" s="9" t="s">
        <v>1100</v>
      </c>
      <c r="C31" s="342"/>
    </row>
    <row r="32" spans="1:6" ht="18" customHeight="1" x14ac:dyDescent="0.3">
      <c r="B32" s="343" t="s">
        <v>1101</v>
      </c>
      <c r="C32" s="109"/>
    </row>
    <row r="33" spans="1:6" ht="6" customHeight="1" x14ac:dyDescent="0.3">
      <c r="A33" s="7"/>
      <c r="B33" s="7"/>
      <c r="C33" s="7"/>
      <c r="D33" s="7"/>
      <c r="E33" s="7"/>
      <c r="F33" s="7"/>
    </row>
    <row r="34" spans="1:6" ht="31.95" customHeight="1" x14ac:dyDescent="0.35">
      <c r="A34" s="345"/>
      <c r="B34" s="346" t="s">
        <v>1103</v>
      </c>
      <c r="C34" s="193"/>
      <c r="D34" s="345"/>
      <c r="E34" s="354" t="s">
        <v>1112</v>
      </c>
      <c r="F34" s="354" t="str">
        <f>IF(AND(C36&lt;&gt;"",C37&lt;&gt;"",C38&lt;&gt;"",C41&lt;&gt;""),"✓ Complete","⬜ Incomplete")</f>
        <v>⬜ Incomplete</v>
      </c>
    </row>
    <row r="35" spans="1:6" ht="19.95" customHeight="1" x14ac:dyDescent="0.3">
      <c r="A35" s="347"/>
      <c r="B35" s="348" t="s">
        <v>1104</v>
      </c>
      <c r="C35" s="349"/>
      <c r="D35" s="347"/>
      <c r="E35" s="347"/>
      <c r="F35" s="347"/>
    </row>
    <row r="36" spans="1:6" ht="28.05" customHeight="1" x14ac:dyDescent="0.3">
      <c r="B36" s="8" t="s">
        <v>1105</v>
      </c>
      <c r="C36" s="329"/>
    </row>
    <row r="37" spans="1:6" ht="28.05" customHeight="1" x14ac:dyDescent="0.3">
      <c r="B37" s="8" t="s">
        <v>1106</v>
      </c>
      <c r="C37" s="351"/>
    </row>
    <row r="38" spans="1:6" ht="36" customHeight="1" x14ac:dyDescent="0.3">
      <c r="B38" s="9" t="s">
        <v>1107</v>
      </c>
      <c r="C38" s="353"/>
    </row>
    <row r="39" spans="1:6" ht="36" customHeight="1" x14ac:dyDescent="0.3">
      <c r="B39" s="15" t="s">
        <v>1108</v>
      </c>
      <c r="C39" s="353"/>
    </row>
    <row r="40" spans="1:6" ht="36" customHeight="1" x14ac:dyDescent="0.3">
      <c r="B40" s="15" t="s">
        <v>1109</v>
      </c>
      <c r="C40" s="353"/>
    </row>
    <row r="41" spans="1:6" ht="28.05" customHeight="1" x14ac:dyDescent="0.3">
      <c r="B41" s="8" t="s">
        <v>1110</v>
      </c>
      <c r="C41" s="351"/>
    </row>
    <row r="42" spans="1:6" ht="28.05" customHeight="1" x14ac:dyDescent="0.3">
      <c r="B42" s="9" t="s">
        <v>1111</v>
      </c>
      <c r="C42" s="350"/>
    </row>
    <row r="43" spans="1:6" ht="6" customHeight="1" x14ac:dyDescent="0.3">
      <c r="A43" s="7"/>
      <c r="B43" s="7"/>
      <c r="C43" s="7"/>
      <c r="D43" s="7"/>
      <c r="E43" s="7"/>
      <c r="F43" s="7"/>
    </row>
    <row r="44" spans="1:6" ht="31.95" customHeight="1" x14ac:dyDescent="0.35">
      <c r="A44" s="355"/>
      <c r="B44" s="356" t="s">
        <v>1113</v>
      </c>
      <c r="C44" s="357"/>
      <c r="D44" s="355"/>
      <c r="E44" s="365" t="s">
        <v>1120</v>
      </c>
      <c r="F44" s="365" t="str">
        <f>IF(AND(C47&lt;&gt;"",C48&lt;&gt;"",C49&lt;&gt;""),"✓ Complete","⬜ Incomplete")</f>
        <v>⬜ Incomplete</v>
      </c>
    </row>
    <row r="45" spans="1:6" ht="19.95" customHeight="1" x14ac:dyDescent="0.3">
      <c r="A45" s="358"/>
      <c r="B45" s="359" t="s">
        <v>1114</v>
      </c>
      <c r="C45" s="360"/>
      <c r="D45" s="358"/>
      <c r="E45" s="358"/>
      <c r="F45" s="358"/>
    </row>
    <row r="46" spans="1:6" ht="36" customHeight="1" x14ac:dyDescent="0.3">
      <c r="B46" s="9" t="s">
        <v>1115</v>
      </c>
      <c r="C46" s="361"/>
    </row>
    <row r="47" spans="1:6" ht="45" customHeight="1" x14ac:dyDescent="0.3">
      <c r="B47" s="9" t="s">
        <v>1116</v>
      </c>
      <c r="C47" s="362"/>
    </row>
    <row r="48" spans="1:6" ht="28.05" customHeight="1" x14ac:dyDescent="0.3">
      <c r="B48" s="8" t="s">
        <v>1117</v>
      </c>
      <c r="C48" s="364"/>
    </row>
    <row r="49" spans="1:6" ht="28.05" customHeight="1" x14ac:dyDescent="0.3">
      <c r="B49" s="8" t="s">
        <v>1118</v>
      </c>
      <c r="C49" s="363"/>
    </row>
    <row r="50" spans="1:6" ht="18" customHeight="1" x14ac:dyDescent="0.3">
      <c r="B50" s="218" t="s">
        <v>1119</v>
      </c>
      <c r="C50" s="1"/>
    </row>
    <row r="51" spans="1:6" ht="6" customHeight="1" x14ac:dyDescent="0.3">
      <c r="A51" s="7"/>
      <c r="B51" s="7"/>
      <c r="C51" s="7"/>
      <c r="D51" s="7"/>
      <c r="E51" s="7"/>
      <c r="F51" s="7"/>
    </row>
    <row r="52" spans="1:6" ht="31.95" customHeight="1" x14ac:dyDescent="0.35">
      <c r="A52" s="366"/>
      <c r="B52" s="367" t="s">
        <v>1121</v>
      </c>
      <c r="C52" s="368"/>
      <c r="D52" s="366"/>
      <c r="E52" s="374" t="s">
        <v>1127</v>
      </c>
      <c r="F52" s="374" t="str">
        <f>IF(AND(C54&lt;&gt;"",C55&lt;&gt;""),"✓ Complete","⬜ Incomplete")</f>
        <v>⬜ Incomplete</v>
      </c>
    </row>
    <row r="53" spans="1:6" ht="19.95" customHeight="1" x14ac:dyDescent="0.3">
      <c r="A53" s="369"/>
      <c r="B53" s="370" t="s">
        <v>1122</v>
      </c>
      <c r="C53" s="371"/>
      <c r="D53" s="369"/>
      <c r="E53" s="369"/>
      <c r="F53" s="369"/>
    </row>
    <row r="54" spans="1:6" ht="45" customHeight="1" x14ac:dyDescent="0.3">
      <c r="B54" s="9" t="s">
        <v>1123</v>
      </c>
      <c r="C54" s="361"/>
    </row>
    <row r="55" spans="1:6" ht="45" customHeight="1" x14ac:dyDescent="0.3">
      <c r="B55" s="9" t="s">
        <v>1124</v>
      </c>
      <c r="C55" s="372"/>
    </row>
    <row r="56" spans="1:6" ht="36" customHeight="1" x14ac:dyDescent="0.3">
      <c r="B56" s="15" t="s">
        <v>1125</v>
      </c>
      <c r="C56" s="372"/>
    </row>
    <row r="57" spans="1:6" ht="28.05" customHeight="1" x14ac:dyDescent="0.3">
      <c r="B57" s="9" t="s">
        <v>1126</v>
      </c>
      <c r="C57" s="373"/>
    </row>
    <row r="58" spans="1:6" ht="6" customHeight="1" x14ac:dyDescent="0.3">
      <c r="A58" s="7"/>
      <c r="B58" s="7"/>
      <c r="C58" s="7"/>
      <c r="D58" s="7"/>
      <c r="E58" s="7"/>
      <c r="F58" s="7"/>
    </row>
    <row r="59" spans="1:6" ht="31.95" customHeight="1" x14ac:dyDescent="0.35">
      <c r="A59" s="305"/>
      <c r="B59" s="375" t="s">
        <v>1128</v>
      </c>
      <c r="C59" s="376"/>
      <c r="D59" s="305"/>
      <c r="E59" s="385" t="s">
        <v>1136</v>
      </c>
      <c r="F59" s="385" t="str">
        <f>IF(AND(C61&lt;&gt;"",C65&lt;&gt;"",C67&lt;&gt;""),"✓ Complete","⬜ Incomplete")</f>
        <v>⬜ Incomplete</v>
      </c>
    </row>
    <row r="60" spans="1:6" ht="19.95" customHeight="1" x14ac:dyDescent="0.3">
      <c r="A60" s="377"/>
      <c r="B60" s="378" t="s">
        <v>1129</v>
      </c>
      <c r="C60" s="379"/>
      <c r="D60" s="377"/>
      <c r="E60" s="377"/>
      <c r="F60" s="377"/>
    </row>
    <row r="61" spans="1:6" ht="40.049999999999997" customHeight="1" x14ac:dyDescent="0.3">
      <c r="B61" s="9" t="s">
        <v>1130</v>
      </c>
      <c r="C61" s="361"/>
    </row>
    <row r="62" spans="1:6" ht="25.95" customHeight="1" x14ac:dyDescent="0.3">
      <c r="B62" s="380" t="s">
        <v>1131</v>
      </c>
      <c r="C62" s="381"/>
    </row>
    <row r="63" spans="1:6" ht="40.049999999999997" customHeight="1" x14ac:dyDescent="0.3">
      <c r="B63" s="9" t="s">
        <v>1132</v>
      </c>
      <c r="C63" s="382"/>
    </row>
    <row r="64" spans="1:6" ht="25.95" customHeight="1" x14ac:dyDescent="0.3">
      <c r="B64" s="380" t="s">
        <v>1131</v>
      </c>
      <c r="C64" s="381"/>
    </row>
    <row r="65" spans="1:6" ht="28.05" customHeight="1" x14ac:dyDescent="0.3">
      <c r="B65" s="8" t="s">
        <v>1133</v>
      </c>
      <c r="C65" s="383"/>
    </row>
    <row r="66" spans="1:6" ht="28.05" customHeight="1" x14ac:dyDescent="0.3">
      <c r="B66" s="8" t="s">
        <v>1134</v>
      </c>
      <c r="C66" s="381"/>
    </row>
    <row r="67" spans="1:6" ht="28.05" customHeight="1" x14ac:dyDescent="0.3">
      <c r="B67" s="8" t="s">
        <v>1135</v>
      </c>
      <c r="C67" s="384"/>
    </row>
    <row r="68" spans="1:6" ht="18" customHeight="1" x14ac:dyDescent="0.3">
      <c r="B68" s="343" t="s">
        <v>297</v>
      </c>
      <c r="C68" s="109"/>
    </row>
    <row r="69" spans="1:6" ht="6" customHeight="1" x14ac:dyDescent="0.3">
      <c r="A69" s="7"/>
      <c r="B69" s="7"/>
      <c r="C69" s="7"/>
      <c r="D69" s="7"/>
      <c r="E69" s="7"/>
      <c r="F69" s="7"/>
    </row>
    <row r="70" spans="1:6" ht="34.049999999999997" customHeight="1" x14ac:dyDescent="0.35">
      <c r="A70" s="386"/>
      <c r="B70" s="387" t="s">
        <v>1137</v>
      </c>
      <c r="C70" s="388"/>
      <c r="D70" s="386"/>
      <c r="E70" s="397" t="s">
        <v>1147</v>
      </c>
      <c r="F70" s="398" t="str">
        <f>COUNTIF(F6:F67,"✓*")&amp;" / 7 questions"</f>
        <v>0 / 7 questions</v>
      </c>
    </row>
    <row r="71" spans="1:6" ht="19.95" customHeight="1" x14ac:dyDescent="0.3">
      <c r="A71" s="386"/>
      <c r="B71" s="389" t="s">
        <v>1138</v>
      </c>
      <c r="C71" s="122"/>
      <c r="D71" s="386"/>
      <c r="E71" s="399" t="s">
        <v>1148</v>
      </c>
      <c r="F71" s="400">
        <f>COUNTIF(F6:F67,"✓*")</f>
        <v>0</v>
      </c>
    </row>
    <row r="72" spans="1:6" ht="28.05" customHeight="1" x14ac:dyDescent="0.3">
      <c r="B72" s="390" t="s">
        <v>1139</v>
      </c>
      <c r="C72" s="229" t="str">
        <f>IF(C65="","—",IF(AND(C65="alive",C67="TRUE"),1,IF(AND(C65="alive",C67="FALSE"),0.6,IF(C65="problematic",0.3,IF(C65="dead",0,IF(C65="untested",0.4,0.5))))))</f>
        <v>—</v>
      </c>
    </row>
    <row r="73" spans="1:6" ht="28.05" customHeight="1" x14ac:dyDescent="0.3">
      <c r="B73" s="130" t="s">
        <v>1140</v>
      </c>
      <c r="C73" s="229" t="str">
        <f>IF(C37="","—",IF(AND(C37="tier_1",C41="replicated"),1,IF(AND(C37="tier_1",C41="partial"),0.8,IF(AND(C37="tier_2",C41="replicated"),0.7,IF(AND(C37="tier_2",OR(C41="partial",C41="unreplicated")),0.4,IF(C37="tier_3",0.2,IF(C37="tier_1",0.9,IF(C37="tier_2",0.5,0))))))))</f>
        <v>—</v>
      </c>
    </row>
    <row r="74" spans="1:6" ht="28.05" customHeight="1" x14ac:dyDescent="0.3">
      <c r="B74" s="391" t="s">
        <v>1141</v>
      </c>
      <c r="C74" s="229" t="str">
        <f>IF(C36="","—",IF(ISNUMBER(SEARCH("mathematical",C36)),1,IF(ISNUMBER(SEARCH("logical",C36)),0.8,0.3))+IF(OR(C28="mathematical",C28="precise"),0.2,0))</f>
        <v>—</v>
      </c>
    </row>
    <row r="75" spans="1:6" ht="28.05" customHeight="1" x14ac:dyDescent="0.3">
      <c r="B75" s="131" t="s">
        <v>1142</v>
      </c>
      <c r="C75" s="229" t="str">
        <f>IF(C48="","—",IF(AND(C48="axiom",C49="survive_independently"),1,IF(AND(C48="axiom",C49="degrade_gracefully"),0.8,IF(AND(C48="axiom",C49="collapse_immediately"),0.6,IF(C48="brute_fact",0.5,IF(C48="circularity",0.1,IF(C48="open",0,0.5)))))))</f>
        <v>—</v>
      </c>
    </row>
    <row r="76" spans="1:6" ht="28.05" customHeight="1" x14ac:dyDescent="0.3">
      <c r="B76" s="129" t="s">
        <v>1143</v>
      </c>
      <c r="C76" s="229" t="str">
        <f>IF(C55="","—",IF(AND(C55&lt;&gt;"",C56=""),1,IF(AND(C55&lt;&gt;"",C56&lt;&gt;""),0.75,0.5)))</f>
        <v>—</v>
      </c>
    </row>
    <row r="77" spans="1:6" ht="28.05" customHeight="1" x14ac:dyDescent="0.3">
      <c r="B77" s="392" t="s">
        <v>1144</v>
      </c>
      <c r="C77" s="229" t="str">
        <f>IF(C22="","—",IF(C22="ISO-confirmed",1,IF(C22="ISO-parallel",0.6,IF(C22="ISO-analogy",0.3,0))))</f>
        <v>—</v>
      </c>
    </row>
    <row r="78" spans="1:6" ht="4.05" customHeight="1" x14ac:dyDescent="0.3">
      <c r="A78" s="393"/>
      <c r="B78" s="393"/>
      <c r="C78" s="393"/>
      <c r="D78" s="393"/>
      <c r="E78" s="393"/>
      <c r="F78" s="393"/>
    </row>
    <row r="79" spans="1:6" ht="40.049999999999997" customHeight="1" x14ac:dyDescent="0.45">
      <c r="A79" s="393"/>
      <c r="B79" s="394" t="s">
        <v>1145</v>
      </c>
      <c r="C79" s="395" t="str">
        <f>IF(OR(C72="—",C73="—",C74="—",C75="—",C76="—",C77="—"),"Complete all questions above",(C72+C73+MIN(C74,1)+C75+C76+C77)/6)</f>
        <v>Complete all questions above</v>
      </c>
      <c r="D79" s="393"/>
      <c r="E79" s="393"/>
      <c r="F79" s="393"/>
    </row>
    <row r="80" spans="1:6" ht="31.95" customHeight="1" x14ac:dyDescent="0.35">
      <c r="A80" s="393"/>
      <c r="B80" s="230" t="s">
        <v>1146</v>
      </c>
      <c r="C80" s="396" t="str">
        <f>IF(ISNUMBER(C79),IF(C79&gt;=0.85,"★ ESTABLISHED",IF(C79&gt;=0.65,"● WELL SUPPORTED",IF(C79&gt;=0.4,"◐ TENTATIVE",IF(C79&gt;=0.15,"○ SPECULATIVE","✕ UNSUPPORTED")))),"—")</f>
        <v>—</v>
      </c>
      <c r="D80" s="393"/>
      <c r="E80" s="393"/>
      <c r="F80" s="393"/>
    </row>
    <row r="81" spans="1:6" ht="7.95" customHeight="1" x14ac:dyDescent="0.3">
      <c r="A81" s="305"/>
      <c r="B81" s="305"/>
      <c r="C81" s="305"/>
      <c r="D81" s="305"/>
      <c r="E81" s="305"/>
      <c r="F81" s="305"/>
    </row>
    <row r="82" spans="1:6" ht="42" customHeight="1" x14ac:dyDescent="0.4">
      <c r="A82" s="305"/>
      <c r="B82" s="296" t="s">
        <v>1149</v>
      </c>
      <c r="C82" s="3"/>
      <c r="D82" s="305"/>
      <c r="E82" s="305"/>
      <c r="F82" s="305"/>
    </row>
    <row r="83" spans="1:6" ht="24" customHeight="1" x14ac:dyDescent="0.3">
      <c r="A83" s="305"/>
      <c r="B83" s="401" t="s">
        <v>1150</v>
      </c>
      <c r="C83" s="3"/>
      <c r="D83" s="305"/>
      <c r="E83" s="305"/>
      <c r="F83" s="305"/>
    </row>
    <row r="84" spans="1:6" ht="7.95" customHeight="1" x14ac:dyDescent="0.3">
      <c r="A84" s="7"/>
      <c r="B84" s="7"/>
      <c r="C84" s="7"/>
      <c r="D84" s="7"/>
      <c r="E84" s="7"/>
      <c r="F84" s="7"/>
    </row>
    <row r="85" spans="1:6" ht="36" customHeight="1" x14ac:dyDescent="0.35">
      <c r="A85" s="314"/>
      <c r="B85" s="402" t="s">
        <v>1151</v>
      </c>
      <c r="C85" s="19"/>
      <c r="D85" s="314"/>
      <c r="E85" s="314"/>
      <c r="F85" s="314"/>
    </row>
    <row r="86" spans="1:6" ht="28.05" customHeight="1" x14ac:dyDescent="0.3">
      <c r="A86" s="403" t="s">
        <v>13</v>
      </c>
      <c r="B86" s="404" t="s">
        <v>1075</v>
      </c>
      <c r="C86" s="405" t="b">
        <v>1</v>
      </c>
    </row>
    <row r="87" spans="1:6" ht="28.05" customHeight="1" x14ac:dyDescent="0.3">
      <c r="A87" s="406" t="s">
        <v>24</v>
      </c>
      <c r="B87" s="404" t="s">
        <v>1152</v>
      </c>
      <c r="C87" s="405" t="s">
        <v>1153</v>
      </c>
    </row>
    <row r="88" spans="1:6" ht="28.05" customHeight="1" x14ac:dyDescent="0.3">
      <c r="A88" s="407"/>
      <c r="B88" s="404" t="s">
        <v>1154</v>
      </c>
      <c r="C88" s="405" t="s">
        <v>1155</v>
      </c>
    </row>
    <row r="89" spans="1:6" ht="28.05" customHeight="1" x14ac:dyDescent="0.3">
      <c r="A89" s="407"/>
      <c r="B89" s="404" t="s">
        <v>1081</v>
      </c>
      <c r="C89" s="405" t="s">
        <v>727</v>
      </c>
    </row>
    <row r="90" spans="1:6" ht="28.05" customHeight="1" x14ac:dyDescent="0.3">
      <c r="A90" s="407"/>
      <c r="B90" s="404" t="s">
        <v>1082</v>
      </c>
      <c r="C90" s="405" t="s">
        <v>739</v>
      </c>
    </row>
    <row r="91" spans="1:6" ht="40.049999999999997" customHeight="1" x14ac:dyDescent="0.3">
      <c r="A91" s="407"/>
      <c r="B91" s="404" t="s">
        <v>1156</v>
      </c>
      <c r="C91" s="405" t="s">
        <v>1157</v>
      </c>
    </row>
    <row r="92" spans="1:6" ht="28.05" customHeight="1" x14ac:dyDescent="0.3">
      <c r="A92" s="407"/>
      <c r="B92" s="404" t="s">
        <v>1158</v>
      </c>
      <c r="C92" s="405" t="s">
        <v>1159</v>
      </c>
    </row>
    <row r="93" spans="1:6" ht="28.05" customHeight="1" x14ac:dyDescent="0.3">
      <c r="A93" s="408" t="s">
        <v>87</v>
      </c>
      <c r="B93" s="404" t="s">
        <v>1088</v>
      </c>
      <c r="C93" s="405" t="s">
        <v>353</v>
      </c>
    </row>
    <row r="94" spans="1:6" ht="28.05" customHeight="1" x14ac:dyDescent="0.3">
      <c r="A94" s="407"/>
      <c r="B94" s="404" t="s">
        <v>1160</v>
      </c>
      <c r="C94" s="405" t="s">
        <v>1161</v>
      </c>
    </row>
    <row r="95" spans="1:6" ht="28.05" customHeight="1" x14ac:dyDescent="0.3">
      <c r="A95" s="407"/>
      <c r="B95" s="404" t="s">
        <v>1090</v>
      </c>
      <c r="C95" s="405" t="s">
        <v>797</v>
      </c>
    </row>
    <row r="96" spans="1:6" ht="28.05" customHeight="1" x14ac:dyDescent="0.3">
      <c r="A96" s="407"/>
      <c r="B96" s="404" t="s">
        <v>1091</v>
      </c>
      <c r="C96" s="405" t="s">
        <v>812</v>
      </c>
    </row>
    <row r="97" spans="1:3" ht="28.05" customHeight="1" x14ac:dyDescent="0.3">
      <c r="A97" s="409" t="s">
        <v>121</v>
      </c>
      <c r="B97" s="404" t="s">
        <v>1162</v>
      </c>
      <c r="C97" s="405" t="s">
        <v>1163</v>
      </c>
    </row>
    <row r="98" spans="1:3" ht="28.05" customHeight="1" x14ac:dyDescent="0.3">
      <c r="A98" s="407"/>
      <c r="B98" s="404" t="s">
        <v>1097</v>
      </c>
      <c r="C98" s="405" t="s">
        <v>727</v>
      </c>
    </row>
    <row r="99" spans="1:3" ht="28.05" customHeight="1" x14ac:dyDescent="0.3">
      <c r="A99" s="407"/>
      <c r="B99" s="404" t="s">
        <v>1098</v>
      </c>
      <c r="C99" s="405" t="s">
        <v>831</v>
      </c>
    </row>
    <row r="100" spans="1:3" ht="28.05" customHeight="1" x14ac:dyDescent="0.3">
      <c r="A100" s="407"/>
      <c r="B100" s="404" t="s">
        <v>1099</v>
      </c>
      <c r="C100" s="405" t="s">
        <v>797</v>
      </c>
    </row>
    <row r="101" spans="1:3" ht="28.05" customHeight="1" x14ac:dyDescent="0.3">
      <c r="A101" s="407"/>
      <c r="B101" s="404" t="s">
        <v>1164</v>
      </c>
      <c r="C101" s="405" t="s">
        <v>1165</v>
      </c>
    </row>
    <row r="102" spans="1:3" ht="40.049999999999997" customHeight="1" x14ac:dyDescent="0.3">
      <c r="A102" s="410" t="s">
        <v>161</v>
      </c>
      <c r="B102" s="404" t="s">
        <v>1105</v>
      </c>
      <c r="C102" s="405" t="s">
        <v>357</v>
      </c>
    </row>
    <row r="103" spans="1:3" ht="28.05" customHeight="1" x14ac:dyDescent="0.3">
      <c r="A103" s="407"/>
      <c r="B103" s="404" t="s">
        <v>1106</v>
      </c>
      <c r="C103" s="405" t="s">
        <v>883</v>
      </c>
    </row>
    <row r="104" spans="1:3" ht="40.049999999999997" customHeight="1" x14ac:dyDescent="0.3">
      <c r="A104" s="407"/>
      <c r="B104" s="404" t="s">
        <v>1166</v>
      </c>
      <c r="C104" s="405" t="s">
        <v>1167</v>
      </c>
    </row>
    <row r="105" spans="1:3" ht="40.049999999999997" customHeight="1" x14ac:dyDescent="0.3">
      <c r="A105" s="407"/>
      <c r="B105" s="404" t="s">
        <v>1168</v>
      </c>
      <c r="C105" s="405" t="s">
        <v>1169</v>
      </c>
    </row>
    <row r="106" spans="1:3" ht="40.049999999999997" customHeight="1" x14ac:dyDescent="0.3">
      <c r="A106" s="407"/>
      <c r="B106" s="404" t="s">
        <v>1170</v>
      </c>
      <c r="C106" s="405" t="s">
        <v>1171</v>
      </c>
    </row>
    <row r="107" spans="1:3" ht="28.05" customHeight="1" x14ac:dyDescent="0.3">
      <c r="A107" s="407"/>
      <c r="B107" s="404" t="s">
        <v>1172</v>
      </c>
      <c r="C107" s="405" t="s">
        <v>895</v>
      </c>
    </row>
    <row r="108" spans="1:3" ht="28.05" customHeight="1" x14ac:dyDescent="0.3">
      <c r="A108" s="407"/>
      <c r="B108" s="404" t="s">
        <v>1173</v>
      </c>
      <c r="C108" s="405" t="b">
        <v>0</v>
      </c>
    </row>
    <row r="109" spans="1:3" ht="40.049999999999997" customHeight="1" x14ac:dyDescent="0.3">
      <c r="A109" s="411" t="s">
        <v>196</v>
      </c>
      <c r="B109" s="404" t="s">
        <v>1174</v>
      </c>
      <c r="C109" s="405" t="s">
        <v>1175</v>
      </c>
    </row>
    <row r="110" spans="1:3" ht="40.049999999999997" customHeight="1" x14ac:dyDescent="0.3">
      <c r="A110" s="407"/>
      <c r="B110" s="404" t="s">
        <v>1176</v>
      </c>
      <c r="C110" s="405" t="s">
        <v>1177</v>
      </c>
    </row>
    <row r="111" spans="1:3" ht="28.05" customHeight="1" x14ac:dyDescent="0.3">
      <c r="A111" s="407"/>
      <c r="B111" s="404" t="s">
        <v>1178</v>
      </c>
      <c r="C111" s="405" t="s">
        <v>907</v>
      </c>
    </row>
    <row r="112" spans="1:3" ht="28.05" customHeight="1" x14ac:dyDescent="0.3">
      <c r="A112" s="407"/>
      <c r="B112" s="404" t="s">
        <v>1179</v>
      </c>
      <c r="C112" s="405" t="s">
        <v>931</v>
      </c>
    </row>
    <row r="113" spans="1:6" ht="28.05" customHeight="1" x14ac:dyDescent="0.3">
      <c r="A113" s="412" t="s">
        <v>234</v>
      </c>
      <c r="B113" s="404" t="s">
        <v>1180</v>
      </c>
      <c r="C113" s="405" t="s">
        <v>1181</v>
      </c>
    </row>
    <row r="114" spans="1:6" ht="40.049999999999997" customHeight="1" x14ac:dyDescent="0.3">
      <c r="A114" s="407"/>
      <c r="B114" s="404" t="s">
        <v>1124</v>
      </c>
      <c r="C114" s="405" t="s">
        <v>1182</v>
      </c>
    </row>
    <row r="115" spans="1:6" ht="40.049999999999997" customHeight="1" x14ac:dyDescent="0.3">
      <c r="A115" s="407"/>
      <c r="B115" s="404" t="s">
        <v>1183</v>
      </c>
      <c r="C115" s="405" t="s">
        <v>1184</v>
      </c>
    </row>
    <row r="116" spans="1:6" ht="40.049999999999997" customHeight="1" x14ac:dyDescent="0.3">
      <c r="A116" s="407"/>
      <c r="B116" s="404" t="s">
        <v>1185</v>
      </c>
      <c r="C116" s="405" t="b">
        <v>1</v>
      </c>
    </row>
    <row r="117" spans="1:6" ht="28.05" customHeight="1" x14ac:dyDescent="0.3">
      <c r="A117" s="413" t="s">
        <v>269</v>
      </c>
      <c r="B117" s="404" t="s">
        <v>1186</v>
      </c>
      <c r="C117" s="405" t="s">
        <v>1187</v>
      </c>
    </row>
    <row r="118" spans="1:6" ht="28.05" customHeight="1" x14ac:dyDescent="0.3">
      <c r="A118" s="407"/>
      <c r="B118" s="404" t="s">
        <v>1131</v>
      </c>
      <c r="C118" s="405" t="s">
        <v>367</v>
      </c>
    </row>
    <row r="119" spans="1:6" ht="28.05" customHeight="1" x14ac:dyDescent="0.3">
      <c r="A119" s="407"/>
      <c r="B119" s="404" t="s">
        <v>1188</v>
      </c>
      <c r="C119" s="405" t="s">
        <v>1189</v>
      </c>
    </row>
    <row r="120" spans="1:6" ht="28.05" customHeight="1" x14ac:dyDescent="0.3">
      <c r="A120" s="407"/>
      <c r="B120" s="404" t="s">
        <v>1131</v>
      </c>
      <c r="C120" s="405" t="s">
        <v>367</v>
      </c>
    </row>
    <row r="121" spans="1:6" ht="28.05" customHeight="1" x14ac:dyDescent="0.3">
      <c r="A121" s="407"/>
      <c r="B121" s="404" t="s">
        <v>1133</v>
      </c>
      <c r="C121" s="405" t="s">
        <v>952</v>
      </c>
    </row>
    <row r="122" spans="1:6" ht="28.05" customHeight="1" x14ac:dyDescent="0.3">
      <c r="A122" s="407"/>
      <c r="B122" s="404" t="s">
        <v>1134</v>
      </c>
      <c r="C122" s="405" t="s">
        <v>979</v>
      </c>
    </row>
    <row r="123" spans="1:6" ht="28.05" customHeight="1" x14ac:dyDescent="0.3">
      <c r="A123" s="407"/>
      <c r="B123" s="404" t="s">
        <v>1190</v>
      </c>
      <c r="C123" s="405" t="b">
        <v>1</v>
      </c>
    </row>
    <row r="124" spans="1:6" ht="31.95" customHeight="1" x14ac:dyDescent="0.35">
      <c r="A124" s="414" t="s">
        <v>1072</v>
      </c>
      <c r="B124" s="415" t="s">
        <v>1191</v>
      </c>
      <c r="C124" s="416" t="s">
        <v>1192</v>
      </c>
      <c r="D124" s="393"/>
      <c r="E124" s="393"/>
      <c r="F124" s="393"/>
    </row>
    <row r="125" spans="1:6" ht="7.95" customHeight="1" x14ac:dyDescent="0.3">
      <c r="A125" s="7"/>
      <c r="B125" s="7"/>
      <c r="C125" s="7"/>
      <c r="D125" s="7"/>
      <c r="E125" s="7"/>
      <c r="F125" s="7"/>
    </row>
    <row r="126" spans="1:6" ht="36" customHeight="1" x14ac:dyDescent="0.35">
      <c r="A126" s="323"/>
      <c r="B126" s="417" t="s">
        <v>1193</v>
      </c>
      <c r="C126" s="418"/>
      <c r="D126" s="323"/>
      <c r="E126" s="323"/>
      <c r="F126" s="323"/>
    </row>
    <row r="127" spans="1:6" ht="28.05" customHeight="1" x14ac:dyDescent="0.3">
      <c r="A127" s="419" t="s">
        <v>1194</v>
      </c>
      <c r="B127" s="420" t="s">
        <v>1195</v>
      </c>
      <c r="C127" s="421" t="b">
        <v>1</v>
      </c>
    </row>
    <row r="128" spans="1:6" ht="28.05" customHeight="1" x14ac:dyDescent="0.3">
      <c r="A128" s="419" t="s">
        <v>1196</v>
      </c>
      <c r="B128" s="420" t="s">
        <v>1154</v>
      </c>
      <c r="C128" s="421" t="s">
        <v>1197</v>
      </c>
    </row>
    <row r="129" spans="1:3" ht="28.05" customHeight="1" x14ac:dyDescent="0.3">
      <c r="A129" s="421"/>
      <c r="B129" s="420" t="s">
        <v>1081</v>
      </c>
      <c r="C129" s="421" t="s">
        <v>721</v>
      </c>
    </row>
    <row r="130" spans="1:3" ht="28.05" customHeight="1" x14ac:dyDescent="0.3">
      <c r="A130" s="421"/>
      <c r="B130" s="420" t="s">
        <v>1082</v>
      </c>
      <c r="C130" s="421" t="s">
        <v>739</v>
      </c>
    </row>
    <row r="131" spans="1:3" ht="42" customHeight="1" x14ac:dyDescent="0.3">
      <c r="A131" s="421"/>
      <c r="B131" s="420" t="s">
        <v>1156</v>
      </c>
      <c r="C131" s="421" t="s">
        <v>1198</v>
      </c>
    </row>
    <row r="132" spans="1:3" ht="28.05" customHeight="1" x14ac:dyDescent="0.3">
      <c r="A132" s="421"/>
      <c r="B132" s="420" t="s">
        <v>1158</v>
      </c>
      <c r="C132" s="421" t="s">
        <v>1199</v>
      </c>
    </row>
    <row r="133" spans="1:3" ht="28.05" customHeight="1" x14ac:dyDescent="0.3">
      <c r="A133" s="419" t="s">
        <v>1200</v>
      </c>
      <c r="B133" s="420" t="s">
        <v>1088</v>
      </c>
      <c r="C133" s="421" t="s">
        <v>374</v>
      </c>
    </row>
    <row r="134" spans="1:3" ht="28.05" customHeight="1" x14ac:dyDescent="0.3">
      <c r="A134" s="421"/>
      <c r="B134" s="420" t="s">
        <v>1160</v>
      </c>
      <c r="C134" s="421" t="s">
        <v>1201</v>
      </c>
    </row>
    <row r="135" spans="1:3" ht="28.05" customHeight="1" x14ac:dyDescent="0.3">
      <c r="A135" s="421"/>
      <c r="B135" s="420" t="s">
        <v>1090</v>
      </c>
      <c r="C135" s="421" t="s">
        <v>526</v>
      </c>
    </row>
    <row r="136" spans="1:3" ht="28.05" customHeight="1" x14ac:dyDescent="0.3">
      <c r="A136" s="421"/>
      <c r="B136" s="420" t="s">
        <v>1091</v>
      </c>
      <c r="C136" s="421" t="s">
        <v>812</v>
      </c>
    </row>
    <row r="137" spans="1:3" ht="42" customHeight="1" x14ac:dyDescent="0.3">
      <c r="A137" s="419" t="s">
        <v>1202</v>
      </c>
      <c r="B137" s="420" t="s">
        <v>1162</v>
      </c>
      <c r="C137" s="421" t="s">
        <v>1203</v>
      </c>
    </row>
    <row r="138" spans="1:3" ht="28.05" customHeight="1" x14ac:dyDescent="0.3">
      <c r="A138" s="421"/>
      <c r="B138" s="420" t="s">
        <v>1097</v>
      </c>
      <c r="C138" s="421" t="s">
        <v>823</v>
      </c>
    </row>
    <row r="139" spans="1:3" ht="28.05" customHeight="1" x14ac:dyDescent="0.3">
      <c r="A139" s="421"/>
      <c r="B139" s="420" t="s">
        <v>1098</v>
      </c>
      <c r="C139" s="421" t="s">
        <v>831</v>
      </c>
    </row>
    <row r="140" spans="1:3" ht="28.05" customHeight="1" x14ac:dyDescent="0.3">
      <c r="A140" s="421"/>
      <c r="B140" s="420" t="s">
        <v>1099</v>
      </c>
      <c r="C140" s="421" t="s">
        <v>797</v>
      </c>
    </row>
    <row r="141" spans="1:3" ht="42" customHeight="1" x14ac:dyDescent="0.3">
      <c r="A141" s="421"/>
      <c r="B141" s="420" t="s">
        <v>1164</v>
      </c>
      <c r="C141" s="421" t="s">
        <v>1204</v>
      </c>
    </row>
    <row r="142" spans="1:3" ht="28.05" customHeight="1" x14ac:dyDescent="0.3">
      <c r="A142" s="419" t="s">
        <v>341</v>
      </c>
      <c r="B142" s="420" t="s">
        <v>1105</v>
      </c>
      <c r="C142" s="421" t="s">
        <v>1205</v>
      </c>
    </row>
    <row r="143" spans="1:3" ht="28.05" customHeight="1" x14ac:dyDescent="0.3">
      <c r="A143" s="421"/>
      <c r="B143" s="420" t="s">
        <v>1106</v>
      </c>
      <c r="C143" s="421" t="s">
        <v>883</v>
      </c>
    </row>
    <row r="144" spans="1:3" ht="28.05" customHeight="1" x14ac:dyDescent="0.3">
      <c r="A144" s="421"/>
      <c r="B144" s="420" t="s">
        <v>1166</v>
      </c>
      <c r="C144" s="421" t="s">
        <v>1206</v>
      </c>
    </row>
    <row r="145" spans="1:3" ht="42" customHeight="1" x14ac:dyDescent="0.3">
      <c r="A145" s="421"/>
      <c r="B145" s="420" t="s">
        <v>1168</v>
      </c>
      <c r="C145" s="421" t="s">
        <v>1207</v>
      </c>
    </row>
    <row r="146" spans="1:3" ht="42" customHeight="1" x14ac:dyDescent="0.3">
      <c r="A146" s="421"/>
      <c r="B146" s="420" t="s">
        <v>1170</v>
      </c>
      <c r="C146" s="421" t="s">
        <v>1208</v>
      </c>
    </row>
    <row r="147" spans="1:3" ht="28.05" customHeight="1" x14ac:dyDescent="0.3">
      <c r="A147" s="421"/>
      <c r="B147" s="420" t="s">
        <v>1172</v>
      </c>
      <c r="C147" s="421" t="s">
        <v>895</v>
      </c>
    </row>
    <row r="148" spans="1:3" ht="28.05" customHeight="1" x14ac:dyDescent="0.3">
      <c r="A148" s="421"/>
      <c r="B148" s="420" t="s">
        <v>1173</v>
      </c>
      <c r="C148" s="421" t="b">
        <v>0</v>
      </c>
    </row>
    <row r="149" spans="1:3" ht="28.05" customHeight="1" x14ac:dyDescent="0.3">
      <c r="A149" s="419" t="s">
        <v>1209</v>
      </c>
      <c r="B149" s="420" t="s">
        <v>1174</v>
      </c>
      <c r="C149" s="421" t="s">
        <v>1210</v>
      </c>
    </row>
    <row r="150" spans="1:3" ht="42" customHeight="1" x14ac:dyDescent="0.3">
      <c r="A150" s="421"/>
      <c r="B150" s="420" t="s">
        <v>1176</v>
      </c>
      <c r="C150" s="421" t="s">
        <v>1211</v>
      </c>
    </row>
    <row r="151" spans="1:3" ht="28.05" customHeight="1" x14ac:dyDescent="0.3">
      <c r="A151" s="421"/>
      <c r="B151" s="420" t="s">
        <v>1178</v>
      </c>
      <c r="C151" s="421" t="s">
        <v>907</v>
      </c>
    </row>
    <row r="152" spans="1:3" ht="28.05" customHeight="1" x14ac:dyDescent="0.3">
      <c r="A152" s="421"/>
      <c r="B152" s="420" t="s">
        <v>1179</v>
      </c>
      <c r="C152" s="421" t="s">
        <v>931</v>
      </c>
    </row>
    <row r="153" spans="1:3" ht="42" customHeight="1" x14ac:dyDescent="0.3">
      <c r="A153" s="419" t="s">
        <v>1212</v>
      </c>
      <c r="B153" s="420" t="s">
        <v>1180</v>
      </c>
      <c r="C153" s="421" t="s">
        <v>1213</v>
      </c>
    </row>
    <row r="154" spans="1:3" ht="42" customHeight="1" x14ac:dyDescent="0.3">
      <c r="A154" s="421"/>
      <c r="B154" s="420" t="s">
        <v>1124</v>
      </c>
      <c r="C154" s="421" t="s">
        <v>1214</v>
      </c>
    </row>
    <row r="155" spans="1:3" ht="28.05" customHeight="1" x14ac:dyDescent="0.3">
      <c r="A155" s="421"/>
      <c r="B155" s="420" t="s">
        <v>1183</v>
      </c>
      <c r="C155" s="421" t="s">
        <v>1215</v>
      </c>
    </row>
    <row r="156" spans="1:3" ht="28.05" customHeight="1" x14ac:dyDescent="0.3">
      <c r="A156" s="421"/>
      <c r="B156" s="420" t="s">
        <v>1185</v>
      </c>
      <c r="C156" s="421" t="b">
        <v>1</v>
      </c>
    </row>
    <row r="157" spans="1:3" ht="42" customHeight="1" x14ac:dyDescent="0.3">
      <c r="A157" s="419" t="s">
        <v>345</v>
      </c>
      <c r="B157" s="420" t="s">
        <v>1186</v>
      </c>
      <c r="C157" s="421" t="s">
        <v>1216</v>
      </c>
    </row>
    <row r="158" spans="1:3" ht="28.05" customHeight="1" x14ac:dyDescent="0.3">
      <c r="A158" s="421"/>
      <c r="B158" s="420" t="s">
        <v>1131</v>
      </c>
      <c r="C158" s="421" t="s">
        <v>367</v>
      </c>
    </row>
    <row r="159" spans="1:3" ht="28.05" customHeight="1" x14ac:dyDescent="0.3">
      <c r="A159" s="421"/>
      <c r="B159" s="420" t="s">
        <v>1188</v>
      </c>
      <c r="C159" s="421" t="s">
        <v>1217</v>
      </c>
    </row>
    <row r="160" spans="1:3" ht="28.05" customHeight="1" x14ac:dyDescent="0.3">
      <c r="A160" s="421"/>
      <c r="B160" s="420" t="s">
        <v>1131</v>
      </c>
      <c r="C160" s="421" t="s">
        <v>946</v>
      </c>
    </row>
    <row r="161" spans="1:6" ht="28.05" customHeight="1" x14ac:dyDescent="0.3">
      <c r="A161" s="421"/>
      <c r="B161" s="420" t="s">
        <v>1133</v>
      </c>
      <c r="C161" s="421" t="s">
        <v>952</v>
      </c>
    </row>
    <row r="162" spans="1:6" ht="28.05" customHeight="1" x14ac:dyDescent="0.3">
      <c r="A162" s="421"/>
      <c r="B162" s="420" t="s">
        <v>1134</v>
      </c>
      <c r="C162" s="421" t="s">
        <v>979</v>
      </c>
    </row>
    <row r="163" spans="1:6" ht="28.05" customHeight="1" x14ac:dyDescent="0.3">
      <c r="A163" s="421"/>
      <c r="B163" s="420" t="s">
        <v>1190</v>
      </c>
      <c r="C163" s="421" t="b">
        <v>1</v>
      </c>
    </row>
    <row r="164" spans="1:6" ht="31.95" customHeight="1" x14ac:dyDescent="0.35">
      <c r="A164" s="422" t="s">
        <v>1072</v>
      </c>
      <c r="B164" s="415" t="s">
        <v>1218</v>
      </c>
      <c r="C164" s="423" t="s">
        <v>1219</v>
      </c>
      <c r="D164" s="393"/>
      <c r="E164" s="393"/>
      <c r="F164" s="393"/>
    </row>
    <row r="165" spans="1:6" ht="7.95" customHeight="1" x14ac:dyDescent="0.3">
      <c r="A165" s="7"/>
      <c r="B165" s="7"/>
      <c r="C165" s="7"/>
      <c r="D165" s="7"/>
      <c r="E165" s="7"/>
      <c r="F165" s="7"/>
    </row>
    <row r="166" spans="1:6" ht="36" customHeight="1" x14ac:dyDescent="0.35">
      <c r="A166" s="424"/>
      <c r="B166" s="425" t="s">
        <v>1220</v>
      </c>
      <c r="C166" s="426"/>
      <c r="D166" s="424"/>
      <c r="E166" s="424"/>
      <c r="F166" s="424"/>
    </row>
    <row r="167" spans="1:6" ht="28.05" customHeight="1" x14ac:dyDescent="0.3">
      <c r="A167" s="427" t="s">
        <v>1194</v>
      </c>
      <c r="B167" s="428" t="s">
        <v>1195</v>
      </c>
      <c r="C167" s="429" t="b">
        <v>1</v>
      </c>
    </row>
    <row r="168" spans="1:6" ht="28.05" customHeight="1" x14ac:dyDescent="0.3">
      <c r="A168" s="427" t="s">
        <v>1196</v>
      </c>
      <c r="B168" s="428" t="s">
        <v>1154</v>
      </c>
      <c r="C168" s="429" t="s">
        <v>1221</v>
      </c>
    </row>
    <row r="169" spans="1:6" ht="28.05" customHeight="1" x14ac:dyDescent="0.3">
      <c r="A169" s="429"/>
      <c r="B169" s="428" t="s">
        <v>1081</v>
      </c>
      <c r="C169" s="429" t="s">
        <v>730</v>
      </c>
    </row>
    <row r="170" spans="1:6" ht="28.05" customHeight="1" x14ac:dyDescent="0.3">
      <c r="A170" s="429"/>
      <c r="B170" s="428" t="s">
        <v>1082</v>
      </c>
      <c r="C170" s="429" t="s">
        <v>742</v>
      </c>
    </row>
    <row r="171" spans="1:6" ht="46.05" customHeight="1" x14ac:dyDescent="0.3">
      <c r="A171" s="429"/>
      <c r="B171" s="428" t="s">
        <v>1156</v>
      </c>
      <c r="C171" s="429" t="s">
        <v>1222</v>
      </c>
    </row>
    <row r="172" spans="1:6" ht="28.05" customHeight="1" x14ac:dyDescent="0.3">
      <c r="A172" s="429"/>
      <c r="B172" s="428" t="s">
        <v>1158</v>
      </c>
      <c r="C172" s="429" t="s">
        <v>1223</v>
      </c>
    </row>
    <row r="173" spans="1:6" ht="28.05" customHeight="1" x14ac:dyDescent="0.3">
      <c r="A173" s="427" t="s">
        <v>1200</v>
      </c>
      <c r="B173" s="428" t="s">
        <v>1088</v>
      </c>
      <c r="C173" s="429" t="s">
        <v>353</v>
      </c>
    </row>
    <row r="174" spans="1:6" ht="28.05" customHeight="1" x14ac:dyDescent="0.3">
      <c r="A174" s="429"/>
      <c r="B174" s="428" t="s">
        <v>1160</v>
      </c>
      <c r="C174" s="429" t="s">
        <v>1224</v>
      </c>
    </row>
    <row r="175" spans="1:6" ht="28.05" customHeight="1" x14ac:dyDescent="0.3">
      <c r="A175" s="429"/>
      <c r="B175" s="428" t="s">
        <v>1090</v>
      </c>
      <c r="C175" s="429" t="s">
        <v>1225</v>
      </c>
    </row>
    <row r="176" spans="1:6" ht="28.05" customHeight="1" x14ac:dyDescent="0.3">
      <c r="A176" s="429"/>
      <c r="B176" s="428" t="s">
        <v>1091</v>
      </c>
      <c r="C176" s="429" t="s">
        <v>812</v>
      </c>
    </row>
    <row r="177" spans="1:3" ht="46.05" customHeight="1" x14ac:dyDescent="0.3">
      <c r="A177" s="427" t="s">
        <v>1202</v>
      </c>
      <c r="B177" s="428" t="s">
        <v>1162</v>
      </c>
      <c r="C177" s="429" t="s">
        <v>1226</v>
      </c>
    </row>
    <row r="178" spans="1:3" ht="28.05" customHeight="1" x14ac:dyDescent="0.3">
      <c r="A178" s="429"/>
      <c r="B178" s="428" t="s">
        <v>1097</v>
      </c>
      <c r="C178" s="429" t="s">
        <v>823</v>
      </c>
    </row>
    <row r="179" spans="1:3" ht="28.05" customHeight="1" x14ac:dyDescent="0.3">
      <c r="A179" s="429"/>
      <c r="B179" s="428" t="s">
        <v>1098</v>
      </c>
      <c r="C179" s="429" t="s">
        <v>836</v>
      </c>
    </row>
    <row r="180" spans="1:3" ht="28.05" customHeight="1" x14ac:dyDescent="0.3">
      <c r="A180" s="429"/>
      <c r="B180" s="428" t="s">
        <v>1099</v>
      </c>
      <c r="C180" s="429" t="s">
        <v>797</v>
      </c>
    </row>
    <row r="181" spans="1:3" ht="46.05" customHeight="1" x14ac:dyDescent="0.3">
      <c r="A181" s="429"/>
      <c r="B181" s="428" t="s">
        <v>1164</v>
      </c>
      <c r="C181" s="429" t="s">
        <v>1227</v>
      </c>
    </row>
    <row r="182" spans="1:3" ht="28.05" customHeight="1" x14ac:dyDescent="0.3">
      <c r="A182" s="427" t="s">
        <v>341</v>
      </c>
      <c r="B182" s="428" t="s">
        <v>1105</v>
      </c>
      <c r="C182" s="429" t="s">
        <v>357</v>
      </c>
    </row>
    <row r="183" spans="1:3" ht="28.05" customHeight="1" x14ac:dyDescent="0.3">
      <c r="A183" s="429"/>
      <c r="B183" s="428" t="s">
        <v>1106</v>
      </c>
      <c r="C183" s="429" t="s">
        <v>883</v>
      </c>
    </row>
    <row r="184" spans="1:3" ht="46.05" customHeight="1" x14ac:dyDescent="0.3">
      <c r="A184" s="429"/>
      <c r="B184" s="428" t="s">
        <v>1166</v>
      </c>
      <c r="C184" s="429" t="s">
        <v>1228</v>
      </c>
    </row>
    <row r="185" spans="1:3" ht="46.05" customHeight="1" x14ac:dyDescent="0.3">
      <c r="A185" s="429"/>
      <c r="B185" s="428" t="s">
        <v>1168</v>
      </c>
      <c r="C185" s="429" t="s">
        <v>1229</v>
      </c>
    </row>
    <row r="186" spans="1:3" ht="46.05" customHeight="1" x14ac:dyDescent="0.3">
      <c r="A186" s="429"/>
      <c r="B186" s="428" t="s">
        <v>1170</v>
      </c>
      <c r="C186" s="429" t="s">
        <v>1230</v>
      </c>
    </row>
    <row r="187" spans="1:3" ht="28.05" customHeight="1" x14ac:dyDescent="0.3">
      <c r="A187" s="429"/>
      <c r="B187" s="428" t="s">
        <v>1172</v>
      </c>
      <c r="C187" s="429" t="s">
        <v>895</v>
      </c>
    </row>
    <row r="188" spans="1:3" ht="28.05" customHeight="1" x14ac:dyDescent="0.3">
      <c r="A188" s="429"/>
      <c r="B188" s="428" t="s">
        <v>1173</v>
      </c>
      <c r="C188" s="429" t="b">
        <v>1</v>
      </c>
    </row>
    <row r="189" spans="1:3" ht="28.05" customHeight="1" x14ac:dyDescent="0.3">
      <c r="A189" s="427" t="s">
        <v>1209</v>
      </c>
      <c r="B189" s="428" t="s">
        <v>1174</v>
      </c>
      <c r="C189" s="429" t="s">
        <v>1231</v>
      </c>
    </row>
    <row r="190" spans="1:3" ht="46.05" customHeight="1" x14ac:dyDescent="0.3">
      <c r="A190" s="429"/>
      <c r="B190" s="428" t="s">
        <v>1176</v>
      </c>
      <c r="C190" s="429" t="s">
        <v>1232</v>
      </c>
    </row>
    <row r="191" spans="1:3" ht="28.05" customHeight="1" x14ac:dyDescent="0.3">
      <c r="A191" s="429"/>
      <c r="B191" s="428" t="s">
        <v>1178</v>
      </c>
      <c r="C191" s="429" t="s">
        <v>907</v>
      </c>
    </row>
    <row r="192" spans="1:3" ht="28.05" customHeight="1" x14ac:dyDescent="0.3">
      <c r="A192" s="429"/>
      <c r="B192" s="428" t="s">
        <v>1179</v>
      </c>
      <c r="C192" s="429" t="s">
        <v>927</v>
      </c>
    </row>
    <row r="193" spans="1:6" ht="46.05" customHeight="1" x14ac:dyDescent="0.3">
      <c r="A193" s="427" t="s">
        <v>1212</v>
      </c>
      <c r="B193" s="428" t="s">
        <v>1180</v>
      </c>
      <c r="C193" s="429" t="s">
        <v>1233</v>
      </c>
    </row>
    <row r="194" spans="1:6" ht="46.05" customHeight="1" x14ac:dyDescent="0.3">
      <c r="A194" s="429"/>
      <c r="B194" s="428" t="s">
        <v>1124</v>
      </c>
      <c r="C194" s="429" t="s">
        <v>1234</v>
      </c>
    </row>
    <row r="195" spans="1:6" ht="28.05" customHeight="1" x14ac:dyDescent="0.3">
      <c r="A195" s="429"/>
      <c r="B195" s="428" t="s">
        <v>1183</v>
      </c>
      <c r="C195" s="429" t="s">
        <v>1235</v>
      </c>
    </row>
    <row r="196" spans="1:6" ht="28.05" customHeight="1" x14ac:dyDescent="0.3">
      <c r="A196" s="429"/>
      <c r="B196" s="428" t="s">
        <v>1185</v>
      </c>
      <c r="C196" s="429" t="b">
        <v>1</v>
      </c>
    </row>
    <row r="197" spans="1:6" ht="46.05" customHeight="1" x14ac:dyDescent="0.3">
      <c r="A197" s="427" t="s">
        <v>345</v>
      </c>
      <c r="B197" s="428" t="s">
        <v>1186</v>
      </c>
      <c r="C197" s="429" t="s">
        <v>1236</v>
      </c>
    </row>
    <row r="198" spans="1:6" ht="28.05" customHeight="1" x14ac:dyDescent="0.3">
      <c r="A198" s="429"/>
      <c r="B198" s="428" t="s">
        <v>1131</v>
      </c>
      <c r="C198" s="429" t="s">
        <v>367</v>
      </c>
    </row>
    <row r="199" spans="1:6" ht="28.05" customHeight="1" x14ac:dyDescent="0.3">
      <c r="A199" s="429"/>
      <c r="B199" s="428" t="s">
        <v>1188</v>
      </c>
      <c r="C199" s="429" t="s">
        <v>1237</v>
      </c>
    </row>
    <row r="200" spans="1:6" ht="28.05" customHeight="1" x14ac:dyDescent="0.3">
      <c r="A200" s="429"/>
      <c r="B200" s="428" t="s">
        <v>1131</v>
      </c>
      <c r="C200" s="429" t="s">
        <v>949</v>
      </c>
    </row>
    <row r="201" spans="1:6" ht="28.05" customHeight="1" x14ac:dyDescent="0.3">
      <c r="A201" s="429"/>
      <c r="B201" s="428" t="s">
        <v>1133</v>
      </c>
      <c r="C201" s="429" t="s">
        <v>952</v>
      </c>
    </row>
    <row r="202" spans="1:6" ht="28.05" customHeight="1" x14ac:dyDescent="0.3">
      <c r="A202" s="429"/>
      <c r="B202" s="428" t="s">
        <v>1134</v>
      </c>
      <c r="C202" s="429" t="s">
        <v>976</v>
      </c>
    </row>
    <row r="203" spans="1:6" ht="28.05" customHeight="1" x14ac:dyDescent="0.3">
      <c r="A203" s="429"/>
      <c r="B203" s="428" t="s">
        <v>1190</v>
      </c>
      <c r="C203" s="429" t="b">
        <v>1</v>
      </c>
    </row>
    <row r="204" spans="1:6" ht="31.95" customHeight="1" x14ac:dyDescent="0.35">
      <c r="A204" s="422" t="s">
        <v>1072</v>
      </c>
      <c r="B204" s="415" t="s">
        <v>1238</v>
      </c>
      <c r="C204" s="423" t="s">
        <v>1239</v>
      </c>
      <c r="D204" s="393"/>
      <c r="E204" s="393"/>
      <c r="F204" s="393"/>
    </row>
    <row r="205" spans="1:6" ht="7.95" customHeight="1" x14ac:dyDescent="0.3">
      <c r="A205" s="7"/>
      <c r="B205" s="7"/>
      <c r="C205" s="7"/>
      <c r="D205" s="7"/>
      <c r="E205" s="7"/>
      <c r="F205" s="7"/>
    </row>
    <row r="206" spans="1:6" ht="36" customHeight="1" x14ac:dyDescent="0.35">
      <c r="A206" s="333"/>
      <c r="B206" s="430" t="s">
        <v>1240</v>
      </c>
      <c r="C206" s="431"/>
      <c r="D206" s="333"/>
      <c r="E206" s="333"/>
      <c r="F206" s="333"/>
    </row>
    <row r="207" spans="1:6" ht="28.05" customHeight="1" x14ac:dyDescent="0.3">
      <c r="A207" s="432" t="s">
        <v>1194</v>
      </c>
      <c r="B207" s="433" t="s">
        <v>1195</v>
      </c>
      <c r="C207" s="434" t="b">
        <v>1</v>
      </c>
    </row>
    <row r="208" spans="1:6" ht="28.05" customHeight="1" x14ac:dyDescent="0.3">
      <c r="A208" s="432" t="s">
        <v>1196</v>
      </c>
      <c r="B208" s="433" t="s">
        <v>1154</v>
      </c>
      <c r="C208" s="434" t="s">
        <v>1241</v>
      </c>
    </row>
    <row r="209" spans="1:3" ht="28.05" customHeight="1" x14ac:dyDescent="0.3">
      <c r="A209" s="434"/>
      <c r="B209" s="433" t="s">
        <v>1081</v>
      </c>
      <c r="C209" s="434" t="s">
        <v>733</v>
      </c>
    </row>
    <row r="210" spans="1:3" ht="28.05" customHeight="1" x14ac:dyDescent="0.3">
      <c r="A210" s="434"/>
      <c r="B210" s="433" t="s">
        <v>1082</v>
      </c>
      <c r="C210" s="434" t="s">
        <v>739</v>
      </c>
    </row>
    <row r="211" spans="1:3" ht="46.05" customHeight="1" x14ac:dyDescent="0.3">
      <c r="A211" s="434"/>
      <c r="B211" s="433" t="s">
        <v>1156</v>
      </c>
      <c r="C211" s="434" t="s">
        <v>1242</v>
      </c>
    </row>
    <row r="212" spans="1:3" ht="28.05" customHeight="1" x14ac:dyDescent="0.3">
      <c r="A212" s="434"/>
      <c r="B212" s="433" t="s">
        <v>1158</v>
      </c>
      <c r="C212" s="434" t="s">
        <v>1243</v>
      </c>
    </row>
    <row r="213" spans="1:3" ht="28.05" customHeight="1" x14ac:dyDescent="0.3">
      <c r="A213" s="432" t="s">
        <v>1200</v>
      </c>
      <c r="B213" s="433" t="s">
        <v>1088</v>
      </c>
      <c r="C213" s="434" t="s">
        <v>404</v>
      </c>
    </row>
    <row r="214" spans="1:3" ht="28.05" customHeight="1" x14ac:dyDescent="0.3">
      <c r="A214" s="434"/>
      <c r="B214" s="433" t="s">
        <v>1160</v>
      </c>
      <c r="C214" s="434" t="s">
        <v>1244</v>
      </c>
    </row>
    <row r="215" spans="1:3" ht="28.05" customHeight="1" x14ac:dyDescent="0.3">
      <c r="A215" s="434"/>
      <c r="B215" s="433" t="s">
        <v>1090</v>
      </c>
      <c r="C215" s="434" t="s">
        <v>1245</v>
      </c>
    </row>
    <row r="216" spans="1:3" ht="28.05" customHeight="1" x14ac:dyDescent="0.3">
      <c r="A216" s="434"/>
      <c r="B216" s="433" t="s">
        <v>1091</v>
      </c>
      <c r="C216" s="434" t="s">
        <v>808</v>
      </c>
    </row>
    <row r="217" spans="1:3" ht="46.05" customHeight="1" x14ac:dyDescent="0.3">
      <c r="A217" s="432" t="s">
        <v>1202</v>
      </c>
      <c r="B217" s="433" t="s">
        <v>1162</v>
      </c>
      <c r="C217" s="434" t="s">
        <v>1246</v>
      </c>
    </row>
    <row r="218" spans="1:3" ht="28.05" customHeight="1" x14ac:dyDescent="0.3">
      <c r="A218" s="434"/>
      <c r="B218" s="433" t="s">
        <v>1097</v>
      </c>
      <c r="C218" s="434" t="s">
        <v>823</v>
      </c>
    </row>
    <row r="219" spans="1:3" ht="28.05" customHeight="1" x14ac:dyDescent="0.3">
      <c r="A219" s="434"/>
      <c r="B219" s="433" t="s">
        <v>1098</v>
      </c>
      <c r="C219" s="434" t="s">
        <v>836</v>
      </c>
    </row>
    <row r="220" spans="1:3" ht="28.05" customHeight="1" x14ac:dyDescent="0.3">
      <c r="A220" s="434"/>
      <c r="B220" s="433" t="s">
        <v>1099</v>
      </c>
      <c r="C220" s="434" t="s">
        <v>850</v>
      </c>
    </row>
    <row r="221" spans="1:3" ht="46.05" customHeight="1" x14ac:dyDescent="0.3">
      <c r="A221" s="434"/>
      <c r="B221" s="433" t="s">
        <v>1164</v>
      </c>
      <c r="C221" s="434" t="s">
        <v>1247</v>
      </c>
    </row>
    <row r="222" spans="1:3" ht="28.05" customHeight="1" x14ac:dyDescent="0.3">
      <c r="A222" s="432" t="s">
        <v>341</v>
      </c>
      <c r="B222" s="433" t="s">
        <v>1105</v>
      </c>
      <c r="C222" s="434" t="s">
        <v>1248</v>
      </c>
    </row>
    <row r="223" spans="1:3" ht="28.05" customHeight="1" x14ac:dyDescent="0.3">
      <c r="A223" s="434"/>
      <c r="B223" s="433" t="s">
        <v>1106</v>
      </c>
      <c r="C223" s="434" t="s">
        <v>887</v>
      </c>
    </row>
    <row r="224" spans="1:3" ht="28.05" customHeight="1" x14ac:dyDescent="0.3">
      <c r="A224" s="434"/>
      <c r="B224" s="433" t="s">
        <v>1166</v>
      </c>
      <c r="C224" s="434" t="s">
        <v>1249</v>
      </c>
    </row>
    <row r="225" spans="1:3" ht="46.05" customHeight="1" x14ac:dyDescent="0.3">
      <c r="A225" s="434"/>
      <c r="B225" s="433" t="s">
        <v>1168</v>
      </c>
      <c r="C225" s="434" t="s">
        <v>1250</v>
      </c>
    </row>
    <row r="226" spans="1:3" ht="46.05" customHeight="1" x14ac:dyDescent="0.3">
      <c r="A226" s="434"/>
      <c r="B226" s="433" t="s">
        <v>1170</v>
      </c>
      <c r="C226" s="434" t="s">
        <v>1251</v>
      </c>
    </row>
    <row r="227" spans="1:3" ht="28.05" customHeight="1" x14ac:dyDescent="0.3">
      <c r="A227" s="434"/>
      <c r="B227" s="433" t="s">
        <v>1172</v>
      </c>
      <c r="C227" s="434" t="s">
        <v>898</v>
      </c>
    </row>
    <row r="228" spans="1:3" ht="28.05" customHeight="1" x14ac:dyDescent="0.3">
      <c r="A228" s="434"/>
      <c r="B228" s="433" t="s">
        <v>1173</v>
      </c>
      <c r="C228" s="434" t="b">
        <v>1</v>
      </c>
    </row>
    <row r="229" spans="1:3" ht="28.05" customHeight="1" x14ac:dyDescent="0.3">
      <c r="A229" s="432" t="s">
        <v>1209</v>
      </c>
      <c r="B229" s="433" t="s">
        <v>1174</v>
      </c>
      <c r="C229" s="434" t="s">
        <v>1252</v>
      </c>
    </row>
    <row r="230" spans="1:3" ht="46.05" customHeight="1" x14ac:dyDescent="0.3">
      <c r="A230" s="434"/>
      <c r="B230" s="433" t="s">
        <v>1176</v>
      </c>
      <c r="C230" s="434" t="s">
        <v>1253</v>
      </c>
    </row>
    <row r="231" spans="1:3" ht="46.05" customHeight="1" x14ac:dyDescent="0.3">
      <c r="A231" s="434"/>
      <c r="B231" s="433" t="s">
        <v>1178</v>
      </c>
      <c r="C231" s="434" t="s">
        <v>907</v>
      </c>
    </row>
    <row r="232" spans="1:3" ht="28.05" customHeight="1" x14ac:dyDescent="0.3">
      <c r="A232" s="434"/>
      <c r="B232" s="433" t="s">
        <v>1179</v>
      </c>
      <c r="C232" s="434" t="s">
        <v>923</v>
      </c>
    </row>
    <row r="233" spans="1:3" ht="46.05" customHeight="1" x14ac:dyDescent="0.3">
      <c r="A233" s="432" t="s">
        <v>1212</v>
      </c>
      <c r="B233" s="433" t="s">
        <v>1180</v>
      </c>
      <c r="C233" s="434" t="s">
        <v>1254</v>
      </c>
    </row>
    <row r="234" spans="1:3" ht="46.05" customHeight="1" x14ac:dyDescent="0.3">
      <c r="A234" s="434"/>
      <c r="B234" s="433" t="s">
        <v>1124</v>
      </c>
      <c r="C234" s="434" t="s">
        <v>1255</v>
      </c>
    </row>
    <row r="235" spans="1:3" ht="28.05" customHeight="1" x14ac:dyDescent="0.3">
      <c r="A235" s="434"/>
      <c r="B235" s="433" t="s">
        <v>1183</v>
      </c>
      <c r="C235" s="434" t="s">
        <v>1256</v>
      </c>
    </row>
    <row r="236" spans="1:3" ht="28.05" customHeight="1" x14ac:dyDescent="0.3">
      <c r="A236" s="434"/>
      <c r="B236" s="433" t="s">
        <v>1185</v>
      </c>
      <c r="C236" s="434" t="b">
        <v>0</v>
      </c>
    </row>
    <row r="237" spans="1:3" ht="46.05" customHeight="1" x14ac:dyDescent="0.3">
      <c r="A237" s="432" t="s">
        <v>345</v>
      </c>
      <c r="B237" s="433" t="s">
        <v>1186</v>
      </c>
      <c r="C237" s="434" t="s">
        <v>1257</v>
      </c>
    </row>
    <row r="238" spans="1:3" ht="28.05" customHeight="1" x14ac:dyDescent="0.3">
      <c r="A238" s="434"/>
      <c r="B238" s="433" t="s">
        <v>1131</v>
      </c>
      <c r="C238" s="434" t="s">
        <v>367</v>
      </c>
    </row>
    <row r="239" spans="1:3" ht="28.05" customHeight="1" x14ac:dyDescent="0.3">
      <c r="A239" s="434"/>
      <c r="B239" s="433" t="s">
        <v>1188</v>
      </c>
      <c r="C239" s="434" t="s">
        <v>1258</v>
      </c>
    </row>
    <row r="240" spans="1:3" ht="46.05" customHeight="1" x14ac:dyDescent="0.3">
      <c r="A240" s="434"/>
      <c r="B240" s="433" t="s">
        <v>1131</v>
      </c>
      <c r="C240" s="434" t="s">
        <v>946</v>
      </c>
    </row>
    <row r="241" spans="1:6" ht="28.05" customHeight="1" x14ac:dyDescent="0.3">
      <c r="A241" s="434"/>
      <c r="B241" s="433" t="s">
        <v>1133</v>
      </c>
      <c r="C241" s="434" t="s">
        <v>959</v>
      </c>
    </row>
    <row r="242" spans="1:6" ht="28.05" customHeight="1" x14ac:dyDescent="0.3">
      <c r="A242" s="434"/>
      <c r="B242" s="433" t="s">
        <v>1134</v>
      </c>
      <c r="C242" s="434" t="s">
        <v>976</v>
      </c>
    </row>
    <row r="243" spans="1:6" ht="28.05" customHeight="1" x14ac:dyDescent="0.3">
      <c r="A243" s="434"/>
      <c r="B243" s="433" t="s">
        <v>1190</v>
      </c>
      <c r="C243" s="434" t="b">
        <v>1</v>
      </c>
    </row>
    <row r="244" spans="1:6" ht="31.95" customHeight="1" x14ac:dyDescent="0.35">
      <c r="A244" s="422" t="s">
        <v>1072</v>
      </c>
      <c r="B244" s="415" t="s">
        <v>1259</v>
      </c>
      <c r="C244" s="435" t="s">
        <v>1260</v>
      </c>
      <c r="D244" s="393"/>
      <c r="E244" s="393"/>
      <c r="F244" s="393"/>
    </row>
    <row r="245" spans="1:6" ht="7.95" customHeight="1" x14ac:dyDescent="0.3">
      <c r="A245" s="7"/>
      <c r="B245" s="7"/>
      <c r="C245" s="7"/>
      <c r="D245" s="7"/>
      <c r="E245" s="7"/>
      <c r="F245" s="7"/>
    </row>
    <row r="246" spans="1:6" ht="36" customHeight="1" x14ac:dyDescent="0.35">
      <c r="A246" s="310"/>
      <c r="B246" s="436" t="s">
        <v>1261</v>
      </c>
      <c r="C246" s="437"/>
      <c r="D246" s="310"/>
      <c r="E246" s="310"/>
      <c r="F246" s="310"/>
    </row>
    <row r="247" spans="1:6" ht="28.05" customHeight="1" x14ac:dyDescent="0.3">
      <c r="A247" s="438" t="s">
        <v>1194</v>
      </c>
      <c r="B247" s="439" t="s">
        <v>1195</v>
      </c>
      <c r="C247" s="440" t="b">
        <v>1</v>
      </c>
    </row>
    <row r="248" spans="1:6" ht="28.05" customHeight="1" x14ac:dyDescent="0.3">
      <c r="A248" s="438" t="s">
        <v>1196</v>
      </c>
      <c r="B248" s="439" t="s">
        <v>1154</v>
      </c>
      <c r="C248" s="440" t="s">
        <v>1262</v>
      </c>
    </row>
    <row r="249" spans="1:6" ht="28.05" customHeight="1" x14ac:dyDescent="0.3">
      <c r="A249" s="440"/>
      <c r="B249" s="439" t="s">
        <v>1081</v>
      </c>
      <c r="C249" s="440" t="s">
        <v>724</v>
      </c>
    </row>
    <row r="250" spans="1:6" ht="28.05" customHeight="1" x14ac:dyDescent="0.3">
      <c r="A250" s="440"/>
      <c r="B250" s="439" t="s">
        <v>1082</v>
      </c>
      <c r="C250" s="440" t="s">
        <v>739</v>
      </c>
    </row>
    <row r="251" spans="1:6" ht="49.95" customHeight="1" x14ac:dyDescent="0.3">
      <c r="A251" s="440"/>
      <c r="B251" s="439" t="s">
        <v>1156</v>
      </c>
      <c r="C251" s="440" t="s">
        <v>474</v>
      </c>
    </row>
    <row r="252" spans="1:6" ht="28.05" customHeight="1" x14ac:dyDescent="0.3">
      <c r="A252" s="440"/>
      <c r="B252" s="439" t="s">
        <v>1158</v>
      </c>
      <c r="C252" s="440" t="s">
        <v>1263</v>
      </c>
    </row>
    <row r="253" spans="1:6" ht="28.05" customHeight="1" x14ac:dyDescent="0.3">
      <c r="A253" s="438" t="s">
        <v>1200</v>
      </c>
      <c r="B253" s="439" t="s">
        <v>1088</v>
      </c>
      <c r="C253" s="440" t="s">
        <v>466</v>
      </c>
    </row>
    <row r="254" spans="1:6" ht="28.05" customHeight="1" x14ac:dyDescent="0.3">
      <c r="A254" s="440"/>
      <c r="B254" s="439" t="s">
        <v>1160</v>
      </c>
      <c r="C254" s="440" t="s">
        <v>1264</v>
      </c>
    </row>
    <row r="255" spans="1:6" ht="28.05" customHeight="1" x14ac:dyDescent="0.3">
      <c r="A255" s="440"/>
      <c r="B255" s="439" t="s">
        <v>1090</v>
      </c>
      <c r="C255" s="440" t="s">
        <v>797</v>
      </c>
    </row>
    <row r="256" spans="1:6" ht="28.05" customHeight="1" x14ac:dyDescent="0.3">
      <c r="A256" s="440"/>
      <c r="B256" s="439" t="s">
        <v>1091</v>
      </c>
      <c r="C256" s="440" t="s">
        <v>808</v>
      </c>
    </row>
    <row r="257" spans="1:3" ht="49.95" customHeight="1" x14ac:dyDescent="0.3">
      <c r="A257" s="438" t="s">
        <v>1202</v>
      </c>
      <c r="B257" s="439" t="s">
        <v>1162</v>
      </c>
      <c r="C257" s="440" t="s">
        <v>1265</v>
      </c>
    </row>
    <row r="258" spans="1:3" ht="28.05" customHeight="1" x14ac:dyDescent="0.3">
      <c r="A258" s="440"/>
      <c r="B258" s="439" t="s">
        <v>1097</v>
      </c>
      <c r="C258" s="440" t="s">
        <v>823</v>
      </c>
    </row>
    <row r="259" spans="1:3" ht="28.05" customHeight="1" x14ac:dyDescent="0.3">
      <c r="A259" s="440"/>
      <c r="B259" s="439" t="s">
        <v>1098</v>
      </c>
      <c r="C259" s="440" t="s">
        <v>742</v>
      </c>
    </row>
    <row r="260" spans="1:3" ht="28.05" customHeight="1" x14ac:dyDescent="0.3">
      <c r="A260" s="440"/>
      <c r="B260" s="439" t="s">
        <v>1099</v>
      </c>
      <c r="C260" s="440" t="s">
        <v>797</v>
      </c>
    </row>
    <row r="261" spans="1:3" ht="49.95" customHeight="1" x14ac:dyDescent="0.3">
      <c r="A261" s="440"/>
      <c r="B261" s="439" t="s">
        <v>1164</v>
      </c>
      <c r="C261" s="440" t="s">
        <v>1266</v>
      </c>
    </row>
    <row r="262" spans="1:3" ht="28.05" customHeight="1" x14ac:dyDescent="0.3">
      <c r="A262" s="438" t="s">
        <v>341</v>
      </c>
      <c r="B262" s="439" t="s">
        <v>1105</v>
      </c>
      <c r="C262" s="440" t="s">
        <v>1267</v>
      </c>
    </row>
    <row r="263" spans="1:3" ht="28.05" customHeight="1" x14ac:dyDescent="0.3">
      <c r="A263" s="440"/>
      <c r="B263" s="439" t="s">
        <v>1106</v>
      </c>
      <c r="C263" s="440" t="s">
        <v>887</v>
      </c>
    </row>
    <row r="264" spans="1:3" ht="28.05" customHeight="1" x14ac:dyDescent="0.3">
      <c r="A264" s="440"/>
      <c r="B264" s="439" t="s">
        <v>1166</v>
      </c>
      <c r="C264" s="440" t="s">
        <v>1268</v>
      </c>
    </row>
    <row r="265" spans="1:3" ht="49.95" customHeight="1" x14ac:dyDescent="0.3">
      <c r="A265" s="440"/>
      <c r="B265" s="439" t="s">
        <v>1168</v>
      </c>
      <c r="C265" s="440" t="s">
        <v>1269</v>
      </c>
    </row>
    <row r="266" spans="1:3" ht="49.95" customHeight="1" x14ac:dyDescent="0.3">
      <c r="A266" s="440"/>
      <c r="B266" s="439" t="s">
        <v>1170</v>
      </c>
      <c r="C266" s="440" t="s">
        <v>1270</v>
      </c>
    </row>
    <row r="267" spans="1:3" ht="49.95" customHeight="1" x14ac:dyDescent="0.3">
      <c r="A267" s="440"/>
      <c r="B267" s="439" t="s">
        <v>1172</v>
      </c>
      <c r="C267" s="440" t="s">
        <v>904</v>
      </c>
    </row>
    <row r="268" spans="1:3" ht="28.05" customHeight="1" x14ac:dyDescent="0.3">
      <c r="A268" s="440"/>
      <c r="B268" s="439" t="s">
        <v>1173</v>
      </c>
      <c r="C268" s="440" t="b">
        <v>1</v>
      </c>
    </row>
    <row r="269" spans="1:3" ht="28.05" customHeight="1" x14ac:dyDescent="0.3">
      <c r="A269" s="438" t="s">
        <v>1209</v>
      </c>
      <c r="B269" s="439" t="s">
        <v>1174</v>
      </c>
      <c r="C269" s="440" t="s">
        <v>1271</v>
      </c>
    </row>
    <row r="270" spans="1:3" ht="49.95" customHeight="1" x14ac:dyDescent="0.3">
      <c r="A270" s="440"/>
      <c r="B270" s="439" t="s">
        <v>1176</v>
      </c>
      <c r="C270" s="440" t="s">
        <v>1272</v>
      </c>
    </row>
    <row r="271" spans="1:3" ht="49.95" customHeight="1" x14ac:dyDescent="0.3">
      <c r="A271" s="440"/>
      <c r="B271" s="439" t="s">
        <v>1178</v>
      </c>
      <c r="C271" s="440" t="s">
        <v>907</v>
      </c>
    </row>
    <row r="272" spans="1:3" ht="28.05" customHeight="1" x14ac:dyDescent="0.3">
      <c r="A272" s="440"/>
      <c r="B272" s="439" t="s">
        <v>1179</v>
      </c>
      <c r="C272" s="440" t="s">
        <v>927</v>
      </c>
    </row>
    <row r="273" spans="1:6" ht="49.95" customHeight="1" x14ac:dyDescent="0.3">
      <c r="A273" s="438" t="s">
        <v>1212</v>
      </c>
      <c r="B273" s="439" t="s">
        <v>1180</v>
      </c>
      <c r="C273" s="440" t="s">
        <v>1273</v>
      </c>
    </row>
    <row r="274" spans="1:6" ht="49.95" customHeight="1" x14ac:dyDescent="0.3">
      <c r="A274" s="440"/>
      <c r="B274" s="439" t="s">
        <v>1124</v>
      </c>
      <c r="C274" s="440" t="s">
        <v>1274</v>
      </c>
    </row>
    <row r="275" spans="1:6" ht="49.95" customHeight="1" x14ac:dyDescent="0.3">
      <c r="A275" s="440"/>
      <c r="B275" s="439" t="s">
        <v>1183</v>
      </c>
      <c r="C275" s="440" t="s">
        <v>1275</v>
      </c>
    </row>
    <row r="276" spans="1:6" ht="28.05" customHeight="1" x14ac:dyDescent="0.3">
      <c r="A276" s="440"/>
      <c r="B276" s="439" t="s">
        <v>1185</v>
      </c>
      <c r="C276" s="440" t="b">
        <v>1</v>
      </c>
    </row>
    <row r="277" spans="1:6" ht="49.95" customHeight="1" x14ac:dyDescent="0.3">
      <c r="A277" s="438" t="s">
        <v>345</v>
      </c>
      <c r="B277" s="439" t="s">
        <v>1186</v>
      </c>
      <c r="C277" s="440" t="s">
        <v>1276</v>
      </c>
    </row>
    <row r="278" spans="1:6" ht="28.05" customHeight="1" x14ac:dyDescent="0.3">
      <c r="A278" s="440"/>
      <c r="B278" s="439" t="s">
        <v>1131</v>
      </c>
      <c r="C278" s="440" t="s">
        <v>946</v>
      </c>
    </row>
    <row r="279" spans="1:6" ht="28.05" customHeight="1" x14ac:dyDescent="0.3">
      <c r="A279" s="440"/>
      <c r="B279" s="439" t="s">
        <v>1188</v>
      </c>
      <c r="C279" s="440" t="s">
        <v>1277</v>
      </c>
    </row>
    <row r="280" spans="1:6" ht="49.95" customHeight="1" x14ac:dyDescent="0.3">
      <c r="A280" s="440"/>
      <c r="B280" s="439" t="s">
        <v>1131</v>
      </c>
      <c r="C280" s="440" t="s">
        <v>367</v>
      </c>
    </row>
    <row r="281" spans="1:6" ht="28.05" customHeight="1" x14ac:dyDescent="0.3">
      <c r="A281" s="440"/>
      <c r="B281" s="439" t="s">
        <v>1133</v>
      </c>
      <c r="C281" s="440" t="s">
        <v>952</v>
      </c>
    </row>
    <row r="282" spans="1:6" ht="28.05" customHeight="1" x14ac:dyDescent="0.3">
      <c r="A282" s="440"/>
      <c r="B282" s="439" t="s">
        <v>1134</v>
      </c>
      <c r="C282" s="440" t="s">
        <v>971</v>
      </c>
    </row>
    <row r="283" spans="1:6" ht="28.05" customHeight="1" x14ac:dyDescent="0.3">
      <c r="A283" s="440"/>
      <c r="B283" s="439" t="s">
        <v>1190</v>
      </c>
      <c r="C283" s="440" t="b">
        <v>1</v>
      </c>
    </row>
    <row r="284" spans="1:6" ht="31.95" customHeight="1" x14ac:dyDescent="0.35">
      <c r="A284" s="422" t="s">
        <v>1072</v>
      </c>
      <c r="B284" s="415" t="s">
        <v>1278</v>
      </c>
      <c r="C284" s="441" t="s">
        <v>1279</v>
      </c>
      <c r="D284" s="393"/>
      <c r="E284" s="393"/>
      <c r="F284" s="393"/>
    </row>
    <row r="285" spans="1:6" ht="7.95" customHeight="1" x14ac:dyDescent="0.3">
      <c r="A285" s="7"/>
      <c r="B285" s="7"/>
      <c r="C285" s="7"/>
      <c r="D285" s="7"/>
      <c r="E285" s="7"/>
      <c r="F285" s="7"/>
    </row>
    <row r="286" spans="1:6" ht="37.950000000000003" customHeight="1" x14ac:dyDescent="0.3">
      <c r="A286" s="305"/>
      <c r="B286" s="442" t="s">
        <v>1280</v>
      </c>
      <c r="C286" s="119"/>
      <c r="D286" s="305"/>
      <c r="E286" s="305"/>
      <c r="F286" s="305"/>
    </row>
  </sheetData>
  <mergeCells count="32">
    <mergeCell ref="B246:C246"/>
    <mergeCell ref="B286:C286"/>
    <mergeCell ref="B82:C82"/>
    <mergeCell ref="B83:C83"/>
    <mergeCell ref="B85:C85"/>
    <mergeCell ref="B126:C126"/>
    <mergeCell ref="B166:C166"/>
    <mergeCell ref="B206:C206"/>
    <mergeCell ref="B53:C53"/>
    <mergeCell ref="B59:C59"/>
    <mergeCell ref="B60:C60"/>
    <mergeCell ref="B68:C68"/>
    <mergeCell ref="B70:C70"/>
    <mergeCell ref="B71:C71"/>
    <mergeCell ref="B34:C34"/>
    <mergeCell ref="B35:C35"/>
    <mergeCell ref="B44:C44"/>
    <mergeCell ref="B45:C45"/>
    <mergeCell ref="B50:C50"/>
    <mergeCell ref="B52:C52"/>
    <mergeCell ref="B17:C17"/>
    <mergeCell ref="B18:C18"/>
    <mergeCell ref="B23:C23"/>
    <mergeCell ref="B25:C25"/>
    <mergeCell ref="B26:C26"/>
    <mergeCell ref="B32:C32"/>
    <mergeCell ref="B1:C1"/>
    <mergeCell ref="B2:C2"/>
    <mergeCell ref="B4:C4"/>
    <mergeCell ref="B5:C5"/>
    <mergeCell ref="B8:C8"/>
    <mergeCell ref="B9:C9"/>
  </mergeCells>
  <dataValidations count="16">
    <dataValidation type="list" allowBlank="1" showInputMessage="1" showErrorMessage="1" sqref="C6 C42 C57 C67" xr:uid="{9C682227-C038-4A32-8930-80158A39B58D}">
      <formula1>"TRUE,FALSE"</formula1>
    </dataValidation>
    <dataValidation type="list" allowBlank="1" showInputMessage="1" showErrorMessage="1" sqref="C12" xr:uid="{22F71852-24FD-4FEB-9B18-527DBF5A043E}">
      <formula1>"Settings!$A$5:$A$11"</formula1>
    </dataValidation>
    <dataValidation type="list" allowBlank="1" showInputMessage="1" showErrorMessage="1" sqref="C13" xr:uid="{0386BE4E-6688-4821-9B93-EF33574D76A3}">
      <formula1>"Settings!$B$5:$B$9"</formula1>
    </dataValidation>
    <dataValidation type="list" allowBlank="1" showInputMessage="1" showErrorMessage="1" sqref="C19" xr:uid="{B06BA5F5-8DDB-4772-97BD-9041F2A4B6B2}">
      <formula1>"Settings!$D$5:$D$15"</formula1>
    </dataValidation>
    <dataValidation type="list" allowBlank="1" showInputMessage="1" showErrorMessage="1" sqref="C21" xr:uid="{5919E8A4-A138-4B01-9E32-B8E7EC5742F3}">
      <formula1>"Settings!$E$5:$E$12"</formula1>
    </dataValidation>
    <dataValidation type="list" allowBlank="1" showInputMessage="1" showErrorMessage="1" sqref="C22" xr:uid="{85E2E682-F4C1-400E-B8FB-D2FA665E7122}">
      <formula1>"Settings!$F$5:$F$8"</formula1>
    </dataValidation>
    <dataValidation type="list" allowBlank="1" showInputMessage="1" showErrorMessage="1" sqref="C28" xr:uid="{8FDD00F6-1E6F-4AE3-A83A-B8EBF3DC9F11}">
      <formula1>"Settings!$G$5:$G$9"</formula1>
    </dataValidation>
    <dataValidation type="list" allowBlank="1" showInputMessage="1" showErrorMessage="1" sqref="C29" xr:uid="{88E49F15-695E-47EF-BDF2-01AA31E05DF0}">
      <formula1>"Settings!$H$5:$H$10"</formula1>
    </dataValidation>
    <dataValidation type="list" allowBlank="1" showInputMessage="1" showErrorMessage="1" sqref="C30" xr:uid="{222BD1AB-C871-4A1C-A774-C9785B44DA25}">
      <formula1>"Settings!$I$5:$I$8"</formula1>
    </dataValidation>
    <dataValidation type="list" allowBlank="1" showInputMessage="1" showErrorMessage="1" sqref="C37" xr:uid="{CB183E88-BE5B-4A6B-BAD3-3BA0773D9256}">
      <formula1>"Settings!$K$5:$K$7"</formula1>
    </dataValidation>
    <dataValidation type="list" allowBlank="1" showInputMessage="1" showErrorMessage="1" sqref="C41" xr:uid="{3089F570-CEFD-4385-AEDA-A749494C00F0}">
      <formula1>"Settings!$L$5:$L$8"</formula1>
    </dataValidation>
    <dataValidation type="list" allowBlank="1" showInputMessage="1" showErrorMessage="1" sqref="C48" xr:uid="{3FF66DDA-8B84-49CF-89CE-6ACDAB20D8B7}">
      <formula1>"Settings!$M$5:$M$8"</formula1>
    </dataValidation>
    <dataValidation type="list" allowBlank="1" showInputMessage="1" showErrorMessage="1" sqref="C49" xr:uid="{DC04D5C1-B710-4968-A681-ECFEE21DCC7F}">
      <formula1>"Settings!$A$19:$A$21"</formula1>
    </dataValidation>
    <dataValidation type="list" allowBlank="1" showInputMessage="1" showErrorMessage="1" sqref="C62 C64" xr:uid="{08259A4A-E656-4E29-8B0B-E0EF90A3F6EA}">
      <formula1>"Settings!$B$19:$B$23"</formula1>
    </dataValidation>
    <dataValidation type="list" allowBlank="1" showInputMessage="1" showErrorMessage="1" sqref="C65" xr:uid="{3DC0686A-F037-41C4-B40B-0EC75307D815}">
      <formula1>"Settings!$C$19:$C$23"</formula1>
    </dataValidation>
    <dataValidation type="list" allowBlank="1" showInputMessage="1" showErrorMessage="1" sqref="C66" xr:uid="{AC9034E4-6FEF-4F37-AD9E-E926FD77F876}">
      <formula1>"Settings!$D$19:$D$23"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62C1-9651-46C3-80A0-5527B1E5830F}">
  <dimension ref="A1:G64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33.33203125" customWidth="1"/>
    <col min="2" max="2" width="29.6640625" customWidth="1"/>
    <col min="3" max="3" width="18.5546875" customWidth="1"/>
    <col min="4" max="4" width="14.77734375" customWidth="1"/>
    <col min="5" max="6" width="46.33203125" customWidth="1"/>
    <col min="7" max="7" width="37" customWidth="1"/>
  </cols>
  <sheetData>
    <row r="1" spans="1:7" ht="45" customHeight="1" x14ac:dyDescent="0.45">
      <c r="A1" s="4" t="s">
        <v>1444</v>
      </c>
      <c r="B1" s="3"/>
      <c r="C1" s="3"/>
      <c r="D1" s="3"/>
      <c r="E1" s="3"/>
      <c r="F1" s="3"/>
      <c r="G1" s="3"/>
    </row>
    <row r="2" spans="1:7" ht="25.95" customHeight="1" x14ac:dyDescent="0.3">
      <c r="A2" s="499" t="s">
        <v>1445</v>
      </c>
      <c r="B2" s="3"/>
      <c r="C2" s="3"/>
      <c r="D2" s="3"/>
      <c r="E2" s="3"/>
      <c r="F2" s="3"/>
      <c r="G2" s="3"/>
    </row>
    <row r="3" spans="1:7" ht="6" customHeight="1" x14ac:dyDescent="0.3">
      <c r="A3" s="7"/>
      <c r="B3" s="7"/>
      <c r="C3" s="7"/>
      <c r="D3" s="7"/>
      <c r="E3" s="7"/>
      <c r="F3" s="7"/>
      <c r="G3" s="7"/>
    </row>
    <row r="4" spans="1:7" ht="31.95" customHeight="1" x14ac:dyDescent="0.35">
      <c r="A4" s="500" t="s">
        <v>1446</v>
      </c>
      <c r="B4" s="122"/>
      <c r="C4" s="122"/>
      <c r="D4" s="122"/>
      <c r="E4" s="122"/>
      <c r="F4" s="122"/>
      <c r="G4" s="122"/>
    </row>
    <row r="5" spans="1:7" ht="28.05" customHeight="1" x14ac:dyDescent="0.3">
      <c r="A5" s="501" t="s">
        <v>1447</v>
      </c>
      <c r="B5" s="501" t="s">
        <v>1448</v>
      </c>
      <c r="C5" s="501" t="s">
        <v>686</v>
      </c>
      <c r="D5" s="501" t="s">
        <v>1449</v>
      </c>
      <c r="E5" s="501" t="s">
        <v>1450</v>
      </c>
      <c r="F5" s="501" t="s">
        <v>1451</v>
      </c>
      <c r="G5" s="501" t="s">
        <v>1452</v>
      </c>
    </row>
    <row r="6" spans="1:7" ht="60" customHeight="1" x14ac:dyDescent="0.3">
      <c r="A6" s="504" t="s">
        <v>1453</v>
      </c>
      <c r="B6" s="503" t="s">
        <v>1454</v>
      </c>
      <c r="C6" s="503" t="s">
        <v>1455</v>
      </c>
      <c r="D6" s="503" t="s">
        <v>1456</v>
      </c>
      <c r="E6" s="503" t="s">
        <v>1457</v>
      </c>
      <c r="F6" s="503" t="s">
        <v>1458</v>
      </c>
      <c r="G6" s="503" t="s">
        <v>1459</v>
      </c>
    </row>
    <row r="7" spans="1:7" ht="60" customHeight="1" x14ac:dyDescent="0.3">
      <c r="A7" s="505" t="s">
        <v>1460</v>
      </c>
      <c r="B7" s="214" t="s">
        <v>1461</v>
      </c>
      <c r="C7" s="214" t="s">
        <v>1462</v>
      </c>
      <c r="D7" s="214" t="s">
        <v>1463</v>
      </c>
      <c r="E7" s="214" t="s">
        <v>1464</v>
      </c>
      <c r="F7" s="214" t="s">
        <v>1465</v>
      </c>
      <c r="G7" s="214" t="s">
        <v>1466</v>
      </c>
    </row>
    <row r="8" spans="1:7" ht="60" customHeight="1" x14ac:dyDescent="0.3">
      <c r="A8" s="506" t="s">
        <v>1467</v>
      </c>
      <c r="B8" s="213" t="s">
        <v>1468</v>
      </c>
      <c r="C8" s="213" t="s">
        <v>1462</v>
      </c>
      <c r="D8" s="213" t="s">
        <v>1469</v>
      </c>
      <c r="E8" s="213" t="s">
        <v>1470</v>
      </c>
      <c r="F8" s="213" t="s">
        <v>1471</v>
      </c>
      <c r="G8" s="213" t="s">
        <v>1472</v>
      </c>
    </row>
    <row r="9" spans="1:7" ht="6" customHeight="1" x14ac:dyDescent="0.3">
      <c r="A9" s="7"/>
      <c r="B9" s="7"/>
      <c r="C9" s="7"/>
      <c r="D9" s="7"/>
      <c r="E9" s="7"/>
      <c r="F9" s="7"/>
      <c r="G9" s="7"/>
    </row>
    <row r="10" spans="1:7" ht="36" customHeight="1" x14ac:dyDescent="0.3">
      <c r="A10" s="507" t="s">
        <v>1473</v>
      </c>
      <c r="B10" s="357"/>
      <c r="C10" s="357"/>
      <c r="D10" s="357"/>
      <c r="E10" s="357"/>
      <c r="F10" s="357"/>
      <c r="G10" s="357"/>
    </row>
    <row r="11" spans="1:7" ht="25.95" customHeight="1" x14ac:dyDescent="0.3">
      <c r="A11" s="110" t="s">
        <v>1474</v>
      </c>
      <c r="B11" s="111"/>
      <c r="C11" s="111"/>
      <c r="D11" s="111"/>
      <c r="E11" s="111"/>
      <c r="F11" s="111"/>
      <c r="G11" s="111"/>
    </row>
    <row r="12" spans="1:7" ht="22.05" customHeight="1" x14ac:dyDescent="0.3">
      <c r="A12" s="508" t="s">
        <v>1475</v>
      </c>
      <c r="B12" s="508" t="s">
        <v>1454</v>
      </c>
      <c r="C12" s="508" t="s">
        <v>1461</v>
      </c>
      <c r="D12" s="508" t="s">
        <v>1468</v>
      </c>
      <c r="E12" s="508" t="s">
        <v>1476</v>
      </c>
      <c r="F12" s="508" t="s">
        <v>1477</v>
      </c>
      <c r="G12" s="508" t="s">
        <v>1478</v>
      </c>
    </row>
    <row r="13" spans="1:7" ht="25.95" customHeight="1" x14ac:dyDescent="0.3">
      <c r="A13" s="509" t="s">
        <v>1479</v>
      </c>
      <c r="B13" s="510">
        <v>0.9</v>
      </c>
      <c r="C13" s="510">
        <v>0.8</v>
      </c>
      <c r="D13" s="510">
        <v>0.9</v>
      </c>
      <c r="E13" s="510">
        <v>0.86</v>
      </c>
      <c r="F13" s="510">
        <v>0.77</v>
      </c>
      <c r="G13" s="139" t="s">
        <v>1480</v>
      </c>
    </row>
    <row r="14" spans="1:7" ht="25.95" customHeight="1" x14ac:dyDescent="0.3">
      <c r="A14" s="511" t="s">
        <v>1481</v>
      </c>
      <c r="B14" s="512">
        <v>0.9</v>
      </c>
      <c r="C14" s="512">
        <v>0.1</v>
      </c>
      <c r="D14" s="512">
        <v>0.5</v>
      </c>
      <c r="E14" s="512">
        <v>0.41</v>
      </c>
      <c r="F14" s="513">
        <v>0.37</v>
      </c>
      <c r="G14" s="514" t="s">
        <v>1482</v>
      </c>
    </row>
    <row r="15" spans="1:7" ht="25.95" customHeight="1" x14ac:dyDescent="0.3">
      <c r="A15" s="509" t="s">
        <v>1483</v>
      </c>
      <c r="B15" s="510">
        <v>0.3</v>
      </c>
      <c r="C15" s="510">
        <v>0.9</v>
      </c>
      <c r="D15" s="510">
        <v>0.5</v>
      </c>
      <c r="E15" s="510">
        <v>0.71</v>
      </c>
      <c r="F15" s="510">
        <v>0.21</v>
      </c>
      <c r="G15" s="139" t="s">
        <v>1484</v>
      </c>
    </row>
    <row r="16" spans="1:7" ht="25.95" customHeight="1" x14ac:dyDescent="0.3">
      <c r="A16" s="515" t="s">
        <v>1485</v>
      </c>
      <c r="B16" s="516">
        <v>0.2</v>
      </c>
      <c r="C16" s="516">
        <v>0.3</v>
      </c>
      <c r="D16" s="516">
        <v>0.85</v>
      </c>
      <c r="E16" s="516">
        <v>0.6</v>
      </c>
      <c r="F16" s="516">
        <v>0.12</v>
      </c>
      <c r="G16" s="140" t="s">
        <v>1486</v>
      </c>
    </row>
    <row r="17" spans="1:7" ht="25.95" customHeight="1" x14ac:dyDescent="0.3">
      <c r="A17" s="509" t="s">
        <v>1487</v>
      </c>
      <c r="B17" s="510">
        <v>0.2</v>
      </c>
      <c r="C17" s="510">
        <v>0.7</v>
      </c>
      <c r="D17" s="510">
        <v>0.85</v>
      </c>
      <c r="E17" s="510">
        <v>0.78</v>
      </c>
      <c r="F17" s="510">
        <v>0.16</v>
      </c>
      <c r="G17" s="139" t="s">
        <v>1488</v>
      </c>
    </row>
    <row r="18" spans="1:7" ht="25.95" customHeight="1" x14ac:dyDescent="0.3">
      <c r="A18" s="515" t="s">
        <v>1489</v>
      </c>
      <c r="B18" s="516">
        <v>0.9</v>
      </c>
      <c r="C18" s="516">
        <v>0.8</v>
      </c>
      <c r="D18" s="516">
        <v>0</v>
      </c>
      <c r="E18" s="516">
        <v>0.45</v>
      </c>
      <c r="F18" s="516">
        <v>0.41</v>
      </c>
      <c r="G18" s="140" t="s">
        <v>1490</v>
      </c>
    </row>
    <row r="19" spans="1:7" ht="25.95" customHeight="1" x14ac:dyDescent="0.3">
      <c r="A19" s="517" t="s">
        <v>1491</v>
      </c>
      <c r="B19" s="518">
        <v>0.1</v>
      </c>
      <c r="C19" s="518">
        <v>0.1</v>
      </c>
      <c r="D19" s="518">
        <v>0.1</v>
      </c>
      <c r="E19" s="518">
        <v>0.28000000000000003</v>
      </c>
      <c r="F19" s="518">
        <v>0.03</v>
      </c>
      <c r="G19" s="519" t="s">
        <v>1492</v>
      </c>
    </row>
    <row r="20" spans="1:7" ht="6" customHeight="1" x14ac:dyDescent="0.3">
      <c r="A20" s="7"/>
      <c r="B20" s="7"/>
      <c r="C20" s="7"/>
      <c r="D20" s="7"/>
      <c r="E20" s="7"/>
      <c r="F20" s="7"/>
      <c r="G20" s="7"/>
    </row>
    <row r="21" spans="1:7" ht="31.95" customHeight="1" x14ac:dyDescent="0.35">
      <c r="A21" s="500" t="s">
        <v>1493</v>
      </c>
      <c r="B21" s="122"/>
      <c r="C21" s="122"/>
      <c r="D21" s="122"/>
      <c r="E21" s="122"/>
      <c r="F21" s="122"/>
      <c r="G21" s="122"/>
    </row>
    <row r="22" spans="1:7" ht="25.95" customHeight="1" x14ac:dyDescent="0.3">
      <c r="A22" s="176" t="s">
        <v>1462</v>
      </c>
      <c r="B22" s="176" t="s">
        <v>4</v>
      </c>
      <c r="C22" s="176" t="s">
        <v>5</v>
      </c>
      <c r="D22" s="176" t="s">
        <v>6</v>
      </c>
      <c r="E22" s="176" t="s">
        <v>1494</v>
      </c>
      <c r="F22" s="176" t="s">
        <v>9</v>
      </c>
      <c r="G22" s="176" t="s">
        <v>10</v>
      </c>
    </row>
    <row r="23" spans="1:7" ht="24" customHeight="1" x14ac:dyDescent="0.3">
      <c r="A23" s="192" t="s">
        <v>1495</v>
      </c>
      <c r="B23" s="193"/>
      <c r="C23" s="193"/>
      <c r="D23" s="193"/>
      <c r="E23" s="193"/>
      <c r="F23" s="193"/>
      <c r="G23" s="193"/>
    </row>
    <row r="24" spans="1:7" ht="31.95" customHeight="1" x14ac:dyDescent="0.3">
      <c r="A24" s="527" t="s">
        <v>1496</v>
      </c>
      <c r="B24" s="520" t="s">
        <v>25</v>
      </c>
      <c r="C24" s="520" t="s">
        <v>1497</v>
      </c>
      <c r="D24" s="532" t="s">
        <v>27</v>
      </c>
      <c r="E24" s="520" t="s">
        <v>1498</v>
      </c>
      <c r="F24" s="520" t="s">
        <v>1499</v>
      </c>
      <c r="G24" s="520" t="s">
        <v>1500</v>
      </c>
    </row>
    <row r="25" spans="1:7" ht="31.95" customHeight="1" x14ac:dyDescent="0.3">
      <c r="A25" s="520"/>
      <c r="B25" s="520" t="s">
        <v>32</v>
      </c>
      <c r="C25" s="520" t="s">
        <v>1501</v>
      </c>
      <c r="D25" s="532" t="s">
        <v>1502</v>
      </c>
      <c r="E25" s="520" t="s">
        <v>1503</v>
      </c>
      <c r="F25" s="520" t="s">
        <v>1504</v>
      </c>
      <c r="G25" s="520"/>
    </row>
    <row r="26" spans="1:7" ht="31.95" customHeight="1" x14ac:dyDescent="0.3">
      <c r="A26" s="520"/>
      <c r="B26" s="520" t="s">
        <v>1505</v>
      </c>
      <c r="C26" s="520" t="s">
        <v>39</v>
      </c>
      <c r="D26" s="532" t="s">
        <v>1502</v>
      </c>
      <c r="E26" s="520" t="s">
        <v>1506</v>
      </c>
      <c r="F26" s="520" t="s">
        <v>1507</v>
      </c>
      <c r="G26" s="520" t="s">
        <v>1508</v>
      </c>
    </row>
    <row r="27" spans="1:7" ht="31.95" customHeight="1" x14ac:dyDescent="0.3">
      <c r="A27" s="195" t="s">
        <v>1509</v>
      </c>
      <c r="B27" s="335"/>
      <c r="C27" s="335"/>
      <c r="D27" s="533"/>
      <c r="E27" s="335"/>
      <c r="F27" s="335"/>
      <c r="G27" s="335"/>
    </row>
    <row r="28" spans="1:7" ht="31.95" customHeight="1" x14ac:dyDescent="0.3">
      <c r="A28" s="433" t="s">
        <v>1510</v>
      </c>
      <c r="B28" s="434" t="s">
        <v>1511</v>
      </c>
      <c r="C28" s="434" t="s">
        <v>39</v>
      </c>
      <c r="D28" s="534" t="s">
        <v>1502</v>
      </c>
      <c r="E28" s="434" t="s">
        <v>1512</v>
      </c>
      <c r="F28" s="434" t="s">
        <v>1513</v>
      </c>
      <c r="G28" s="434" t="s">
        <v>1514</v>
      </c>
    </row>
    <row r="29" spans="1:7" ht="31.95" customHeight="1" x14ac:dyDescent="0.3">
      <c r="A29" s="434"/>
      <c r="B29" s="434" t="s">
        <v>162</v>
      </c>
      <c r="C29" s="434" t="s">
        <v>39</v>
      </c>
      <c r="D29" s="534" t="s">
        <v>1502</v>
      </c>
      <c r="E29" s="434" t="s">
        <v>1515</v>
      </c>
      <c r="F29" s="434" t="s">
        <v>1516</v>
      </c>
      <c r="G29" s="434" t="s">
        <v>1517</v>
      </c>
    </row>
    <row r="30" spans="1:7" ht="31.95" customHeight="1" x14ac:dyDescent="0.3">
      <c r="A30" s="434"/>
      <c r="B30" s="434" t="s">
        <v>1518</v>
      </c>
      <c r="C30" s="434" t="s">
        <v>39</v>
      </c>
      <c r="D30" s="534" t="s">
        <v>1502</v>
      </c>
      <c r="E30" s="434" t="s">
        <v>1519</v>
      </c>
      <c r="F30" s="434" t="s">
        <v>1520</v>
      </c>
      <c r="G30" s="434" t="s">
        <v>1521</v>
      </c>
    </row>
    <row r="31" spans="1:7" ht="31.95" customHeight="1" x14ac:dyDescent="0.3">
      <c r="A31" s="521" t="s">
        <v>1522</v>
      </c>
      <c r="B31" s="19"/>
      <c r="C31" s="19"/>
      <c r="D31" s="535"/>
      <c r="E31" s="19"/>
      <c r="F31" s="19"/>
      <c r="G31" s="19"/>
    </row>
    <row r="32" spans="1:7" ht="31.95" customHeight="1" x14ac:dyDescent="0.3">
      <c r="A32" s="502" t="s">
        <v>1523</v>
      </c>
      <c r="B32" s="503" t="s">
        <v>1524</v>
      </c>
      <c r="C32" s="503" t="s">
        <v>1525</v>
      </c>
      <c r="D32" s="536" t="s">
        <v>1502</v>
      </c>
      <c r="E32" s="503" t="s">
        <v>1526</v>
      </c>
      <c r="F32" s="503" t="s">
        <v>1527</v>
      </c>
      <c r="G32" s="503" t="s">
        <v>1528</v>
      </c>
    </row>
    <row r="33" spans="1:7" ht="31.95" customHeight="1" x14ac:dyDescent="0.3">
      <c r="A33" s="503"/>
      <c r="B33" s="503" t="s">
        <v>1529</v>
      </c>
      <c r="C33" s="503" t="s">
        <v>1525</v>
      </c>
      <c r="D33" s="536" t="s">
        <v>1502</v>
      </c>
      <c r="E33" s="503" t="s">
        <v>1530</v>
      </c>
      <c r="F33" s="503" t="s">
        <v>1531</v>
      </c>
      <c r="G33" s="503" t="s">
        <v>1532</v>
      </c>
    </row>
    <row r="34" spans="1:7" ht="31.95" customHeight="1" x14ac:dyDescent="0.3">
      <c r="A34" s="503"/>
      <c r="B34" s="503" t="s">
        <v>1533</v>
      </c>
      <c r="C34" s="503" t="s">
        <v>1525</v>
      </c>
      <c r="D34" s="536" t="s">
        <v>1502</v>
      </c>
      <c r="E34" s="503" t="s">
        <v>1534</v>
      </c>
      <c r="F34" s="503" t="s">
        <v>1535</v>
      </c>
      <c r="G34" s="503" t="s">
        <v>1536</v>
      </c>
    </row>
    <row r="35" spans="1:7" ht="31.95" customHeight="1" x14ac:dyDescent="0.3">
      <c r="A35" s="528" t="s">
        <v>1537</v>
      </c>
      <c r="B35" s="522" t="s">
        <v>1538</v>
      </c>
      <c r="C35" s="522" t="s">
        <v>1525</v>
      </c>
      <c r="D35" s="537" t="s">
        <v>1502</v>
      </c>
      <c r="E35" s="522" t="s">
        <v>1539</v>
      </c>
      <c r="F35" s="522" t="s">
        <v>1540</v>
      </c>
      <c r="G35" s="522" t="s">
        <v>1541</v>
      </c>
    </row>
    <row r="36" spans="1:7" ht="31.95" customHeight="1" x14ac:dyDescent="0.3">
      <c r="A36" s="522"/>
      <c r="B36" s="522" t="s">
        <v>1542</v>
      </c>
      <c r="C36" s="522" t="s">
        <v>1525</v>
      </c>
      <c r="D36" s="537" t="s">
        <v>1502</v>
      </c>
      <c r="E36" s="522" t="s">
        <v>1543</v>
      </c>
      <c r="F36" s="522" t="s">
        <v>1544</v>
      </c>
      <c r="G36" s="522" t="s">
        <v>1545</v>
      </c>
    </row>
    <row r="37" spans="1:7" ht="31.95" customHeight="1" x14ac:dyDescent="0.3">
      <c r="A37" s="522"/>
      <c r="B37" s="522" t="s">
        <v>138</v>
      </c>
      <c r="C37" s="522" t="s">
        <v>1525</v>
      </c>
      <c r="D37" s="537" t="s">
        <v>1502</v>
      </c>
      <c r="E37" s="522" t="s">
        <v>1546</v>
      </c>
      <c r="F37" s="522" t="s">
        <v>1547</v>
      </c>
      <c r="G37" s="522" t="s">
        <v>1548</v>
      </c>
    </row>
    <row r="38" spans="1:7" ht="31.95" customHeight="1" x14ac:dyDescent="0.3">
      <c r="A38" s="529" t="s">
        <v>1549</v>
      </c>
      <c r="B38" s="523" t="s">
        <v>1550</v>
      </c>
      <c r="C38" s="523" t="s">
        <v>1525</v>
      </c>
      <c r="D38" s="538" t="s">
        <v>1502</v>
      </c>
      <c r="E38" s="523" t="s">
        <v>1551</v>
      </c>
      <c r="F38" s="523" t="s">
        <v>1552</v>
      </c>
      <c r="G38" s="523" t="s">
        <v>1553</v>
      </c>
    </row>
    <row r="39" spans="1:7" ht="31.95" customHeight="1" x14ac:dyDescent="0.3">
      <c r="A39" s="523"/>
      <c r="B39" s="523" t="s">
        <v>1554</v>
      </c>
      <c r="C39" s="523" t="s">
        <v>1525</v>
      </c>
      <c r="D39" s="538" t="s">
        <v>1502</v>
      </c>
      <c r="E39" s="523" t="s">
        <v>1555</v>
      </c>
      <c r="F39" s="523" t="s">
        <v>1556</v>
      </c>
      <c r="G39" s="523" t="s">
        <v>1557</v>
      </c>
    </row>
    <row r="40" spans="1:7" ht="31.95" customHeight="1" x14ac:dyDescent="0.3">
      <c r="A40" s="523"/>
      <c r="B40" s="523" t="s">
        <v>1558</v>
      </c>
      <c r="C40" s="523" t="s">
        <v>1525</v>
      </c>
      <c r="D40" s="538" t="s">
        <v>1502</v>
      </c>
      <c r="E40" s="523" t="s">
        <v>1559</v>
      </c>
      <c r="F40" s="523" t="s">
        <v>1560</v>
      </c>
      <c r="G40" s="523" t="s">
        <v>1561</v>
      </c>
    </row>
    <row r="41" spans="1:7" ht="31.95" customHeight="1" x14ac:dyDescent="0.3">
      <c r="A41" s="523"/>
      <c r="B41" s="523" t="s">
        <v>1562</v>
      </c>
      <c r="C41" s="523" t="s">
        <v>1525</v>
      </c>
      <c r="D41" s="538" t="s">
        <v>1502</v>
      </c>
      <c r="E41" s="523" t="s">
        <v>1563</v>
      </c>
      <c r="F41" s="523" t="s">
        <v>1564</v>
      </c>
      <c r="G41" s="523" t="s">
        <v>1565</v>
      </c>
    </row>
    <row r="42" spans="1:7" ht="31.95" customHeight="1" x14ac:dyDescent="0.3">
      <c r="A42" s="203" t="s">
        <v>1566</v>
      </c>
      <c r="B42" s="368"/>
      <c r="C42" s="368"/>
      <c r="D42" s="539"/>
      <c r="E42" s="368"/>
      <c r="F42" s="368"/>
      <c r="G42" s="368"/>
    </row>
    <row r="43" spans="1:7" ht="31.95" customHeight="1" x14ac:dyDescent="0.3">
      <c r="A43" s="530" t="s">
        <v>1567</v>
      </c>
      <c r="B43" s="524" t="s">
        <v>1568</v>
      </c>
      <c r="C43" s="524" t="s">
        <v>198</v>
      </c>
      <c r="D43" s="540" t="s">
        <v>1502</v>
      </c>
      <c r="E43" s="524" t="s">
        <v>1569</v>
      </c>
      <c r="F43" s="524" t="s">
        <v>1570</v>
      </c>
      <c r="G43" s="524" t="s">
        <v>1571</v>
      </c>
    </row>
    <row r="44" spans="1:7" ht="31.95" customHeight="1" x14ac:dyDescent="0.3">
      <c r="A44" s="524"/>
      <c r="B44" s="524" t="s">
        <v>1572</v>
      </c>
      <c r="C44" s="524" t="s">
        <v>198</v>
      </c>
      <c r="D44" s="540" t="s">
        <v>45</v>
      </c>
      <c r="E44" s="524" t="s">
        <v>1573</v>
      </c>
      <c r="F44" s="524" t="s">
        <v>1574</v>
      </c>
      <c r="G44" s="524"/>
    </row>
    <row r="45" spans="1:7" ht="31.95" customHeight="1" x14ac:dyDescent="0.3">
      <c r="A45" s="524"/>
      <c r="B45" s="524" t="s">
        <v>1575</v>
      </c>
      <c r="C45" s="524" t="s">
        <v>39</v>
      </c>
      <c r="D45" s="540" t="s">
        <v>1502</v>
      </c>
      <c r="E45" s="524" t="s">
        <v>1576</v>
      </c>
      <c r="F45" s="524" t="s">
        <v>1577</v>
      </c>
      <c r="G45" s="524" t="s">
        <v>1578</v>
      </c>
    </row>
    <row r="46" spans="1:7" ht="31.95" customHeight="1" x14ac:dyDescent="0.3">
      <c r="A46" s="524"/>
      <c r="B46" s="524" t="s">
        <v>179</v>
      </c>
      <c r="C46" s="524" t="s">
        <v>15</v>
      </c>
      <c r="D46" s="540" t="s">
        <v>1502</v>
      </c>
      <c r="E46" s="524" t="s">
        <v>1579</v>
      </c>
      <c r="F46" s="524" t="s">
        <v>1580</v>
      </c>
      <c r="G46" s="524" t="s">
        <v>1581</v>
      </c>
    </row>
    <row r="47" spans="1:7" ht="31.95" customHeight="1" x14ac:dyDescent="0.3">
      <c r="A47" s="524"/>
      <c r="B47" s="524" t="s">
        <v>1582</v>
      </c>
      <c r="C47" s="524" t="s">
        <v>123</v>
      </c>
      <c r="D47" s="540" t="s">
        <v>103</v>
      </c>
      <c r="E47" s="524" t="s">
        <v>1583</v>
      </c>
      <c r="F47" s="524" t="s">
        <v>1584</v>
      </c>
      <c r="G47" s="524" t="s">
        <v>1585</v>
      </c>
    </row>
    <row r="48" spans="1:7" ht="31.95" customHeight="1" x14ac:dyDescent="0.3">
      <c r="A48" s="525" t="s">
        <v>1586</v>
      </c>
      <c r="B48" s="3"/>
      <c r="C48" s="3"/>
      <c r="D48" s="541"/>
      <c r="E48" s="3"/>
      <c r="F48" s="3"/>
      <c r="G48" s="3"/>
    </row>
    <row r="49" spans="1:7" ht="31.95" customHeight="1" x14ac:dyDescent="0.3">
      <c r="A49" s="531" t="s">
        <v>1587</v>
      </c>
      <c r="B49" s="526" t="s">
        <v>1588</v>
      </c>
      <c r="C49" s="526" t="s">
        <v>39</v>
      </c>
      <c r="D49" s="542" t="s">
        <v>1502</v>
      </c>
      <c r="E49" s="526" t="s">
        <v>1589</v>
      </c>
      <c r="F49" s="526" t="s">
        <v>1590</v>
      </c>
      <c r="G49" s="526" t="s">
        <v>1591</v>
      </c>
    </row>
    <row r="50" spans="1:7" ht="31.95" customHeight="1" x14ac:dyDescent="0.3">
      <c r="A50" s="526"/>
      <c r="B50" s="526" t="s">
        <v>1034</v>
      </c>
      <c r="C50" s="526" t="s">
        <v>39</v>
      </c>
      <c r="D50" s="542" t="s">
        <v>1502</v>
      </c>
      <c r="E50" s="526" t="s">
        <v>1592</v>
      </c>
      <c r="F50" s="526" t="s">
        <v>1593</v>
      </c>
      <c r="G50" s="526" t="s">
        <v>1594</v>
      </c>
    </row>
    <row r="51" spans="1:7" ht="31.95" customHeight="1" x14ac:dyDescent="0.3">
      <c r="A51" s="526"/>
      <c r="B51" s="526" t="s">
        <v>296</v>
      </c>
      <c r="C51" s="526" t="s">
        <v>15</v>
      </c>
      <c r="D51" s="542" t="s">
        <v>1502</v>
      </c>
      <c r="E51" s="526" t="s">
        <v>1595</v>
      </c>
      <c r="F51" s="526" t="s">
        <v>1596</v>
      </c>
      <c r="G51" s="526" t="s">
        <v>1597</v>
      </c>
    </row>
    <row r="52" spans="1:7" ht="31.95" customHeight="1" x14ac:dyDescent="0.3">
      <c r="A52" s="526"/>
      <c r="B52" s="526" t="s">
        <v>1598</v>
      </c>
      <c r="C52" s="526" t="s">
        <v>123</v>
      </c>
      <c r="D52" s="542" t="s">
        <v>45</v>
      </c>
      <c r="E52" s="526" t="s">
        <v>1599</v>
      </c>
      <c r="F52" s="526" t="s">
        <v>1600</v>
      </c>
      <c r="G52" s="526" t="s">
        <v>1601</v>
      </c>
    </row>
    <row r="53" spans="1:7" ht="6" customHeight="1" x14ac:dyDescent="0.3">
      <c r="A53" s="7"/>
      <c r="B53" s="7"/>
      <c r="C53" s="7"/>
      <c r="D53" s="7"/>
      <c r="E53" s="7"/>
      <c r="F53" s="7"/>
      <c r="G53" s="7"/>
    </row>
    <row r="54" spans="1:7" ht="30" customHeight="1" x14ac:dyDescent="0.3">
      <c r="A54" s="175" t="s">
        <v>1602</v>
      </c>
      <c r="B54" s="122"/>
      <c r="C54" s="122"/>
      <c r="D54" s="122"/>
      <c r="E54" s="122"/>
      <c r="F54" s="122"/>
      <c r="G54" s="122"/>
    </row>
    <row r="55" spans="1:7" ht="24" customHeight="1" x14ac:dyDescent="0.3">
      <c r="A55" s="543" t="s">
        <v>1603</v>
      </c>
      <c r="B55" s="543" t="s">
        <v>1604</v>
      </c>
      <c r="C55" s="543" t="s">
        <v>657</v>
      </c>
    </row>
    <row r="56" spans="1:7" ht="36" customHeight="1" x14ac:dyDescent="0.3">
      <c r="A56" s="177" t="s">
        <v>1605</v>
      </c>
      <c r="B56" s="125" t="s">
        <v>1606</v>
      </c>
      <c r="C56" s="125" t="s">
        <v>1607</v>
      </c>
    </row>
    <row r="57" spans="1:7" ht="36" customHeight="1" x14ac:dyDescent="0.3">
      <c r="A57" s="178" t="s">
        <v>1608</v>
      </c>
      <c r="B57" s="126" t="s">
        <v>1609</v>
      </c>
      <c r="C57" s="126" t="s">
        <v>1610</v>
      </c>
    </row>
    <row r="58" spans="1:7" ht="36" customHeight="1" x14ac:dyDescent="0.3">
      <c r="A58" s="177" t="s">
        <v>1611</v>
      </c>
      <c r="B58" s="125" t="s">
        <v>1612</v>
      </c>
      <c r="C58" s="125" t="s">
        <v>1613</v>
      </c>
    </row>
    <row r="59" spans="1:7" ht="36" customHeight="1" x14ac:dyDescent="0.3">
      <c r="A59" s="178" t="s">
        <v>1614</v>
      </c>
      <c r="B59" s="126" t="s">
        <v>1615</v>
      </c>
      <c r="C59" s="126" t="s">
        <v>1616</v>
      </c>
    </row>
    <row r="60" spans="1:7" ht="6" customHeight="1" x14ac:dyDescent="0.3">
      <c r="A60" s="7"/>
      <c r="B60" s="7"/>
      <c r="C60" s="7"/>
      <c r="D60" s="7"/>
      <c r="E60" s="7"/>
      <c r="F60" s="7"/>
      <c r="G60" s="7"/>
    </row>
    <row r="61" spans="1:7" ht="36" customHeight="1" x14ac:dyDescent="0.3">
      <c r="A61" s="544" t="s">
        <v>1617</v>
      </c>
      <c r="B61" s="19"/>
      <c r="C61" s="19"/>
      <c r="D61" s="19"/>
      <c r="E61" s="19"/>
      <c r="F61" s="19"/>
      <c r="G61" s="19"/>
    </row>
    <row r="62" spans="1:7" ht="49.95" customHeight="1" x14ac:dyDescent="0.3">
      <c r="A62" s="545" t="s">
        <v>1618</v>
      </c>
      <c r="B62" s="1"/>
      <c r="C62" s="1"/>
      <c r="D62" s="1"/>
      <c r="E62" s="1"/>
      <c r="F62" s="1"/>
      <c r="G62" s="1"/>
    </row>
    <row r="63" spans="1:7" ht="6" customHeight="1" x14ac:dyDescent="0.3">
      <c r="A63" s="7"/>
      <c r="B63" s="7"/>
      <c r="C63" s="7"/>
      <c r="D63" s="7"/>
      <c r="E63" s="7"/>
      <c r="F63" s="7"/>
      <c r="G63" s="7"/>
    </row>
    <row r="64" spans="1:7" ht="37.950000000000003" customHeight="1" x14ac:dyDescent="0.3">
      <c r="A64" s="498" t="s">
        <v>1619</v>
      </c>
      <c r="B64" s="3"/>
      <c r="C64" s="3"/>
      <c r="D64" s="3"/>
      <c r="E64" s="3"/>
      <c r="F64" s="3"/>
      <c r="G64" s="3"/>
    </row>
  </sheetData>
  <mergeCells count="15">
    <mergeCell ref="A61:G61"/>
    <mergeCell ref="A62:G62"/>
    <mergeCell ref="A64:G64"/>
    <mergeCell ref="A23:G23"/>
    <mergeCell ref="A27:G27"/>
    <mergeCell ref="A31:G31"/>
    <mergeCell ref="A42:G42"/>
    <mergeCell ref="A48:G48"/>
    <mergeCell ref="A54:G54"/>
    <mergeCell ref="A1:G1"/>
    <mergeCell ref="A2:G2"/>
    <mergeCell ref="A4:G4"/>
    <mergeCell ref="A10:G10"/>
    <mergeCell ref="A11:G11"/>
    <mergeCell ref="A21:G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F72E-6C48-4377-A753-2E1A2FC5194D}">
  <dimension ref="A1:F73"/>
  <sheetViews>
    <sheetView workbookViewId="0">
      <pane ySplit="4" topLeftCell="A24" activePane="bottomLeft" state="frozen"/>
      <selection pane="bottomLeft"/>
    </sheetView>
  </sheetViews>
  <sheetFormatPr defaultRowHeight="14.4" x14ac:dyDescent="0.3"/>
  <cols>
    <col min="1" max="1" width="2.77734375" customWidth="1"/>
    <col min="2" max="2" width="42.5546875" customWidth="1"/>
    <col min="3" max="3" width="64.77734375" customWidth="1"/>
    <col min="4" max="4" width="2.77734375" customWidth="1"/>
    <col min="5" max="5" width="29.6640625" customWidth="1"/>
    <col min="6" max="6" width="22.21875" customWidth="1"/>
  </cols>
  <sheetData>
    <row r="1" spans="1:6" ht="48" customHeight="1" x14ac:dyDescent="0.45">
      <c r="A1" s="305"/>
      <c r="B1" s="2" t="s">
        <v>1368</v>
      </c>
      <c r="C1" s="3"/>
      <c r="D1" s="305"/>
      <c r="E1" s="308" t="s">
        <v>1371</v>
      </c>
      <c r="F1" s="308" t="s">
        <v>1372</v>
      </c>
    </row>
    <row r="2" spans="1:6" ht="25.95" customHeight="1" x14ac:dyDescent="0.3">
      <c r="A2" s="305"/>
      <c r="B2" s="307" t="s">
        <v>1369</v>
      </c>
      <c r="C2" s="3"/>
      <c r="D2" s="305"/>
      <c r="E2" s="305"/>
      <c r="F2" s="305"/>
    </row>
    <row r="3" spans="1:6" ht="22.05" customHeight="1" x14ac:dyDescent="0.3">
      <c r="A3" s="305"/>
      <c r="B3" s="446" t="s">
        <v>1370</v>
      </c>
      <c r="C3" s="3"/>
      <c r="D3" s="305"/>
      <c r="E3" s="305"/>
      <c r="F3" s="305"/>
    </row>
    <row r="4" spans="1:6" ht="6" customHeight="1" x14ac:dyDescent="0.3">
      <c r="A4" s="7"/>
      <c r="B4" s="7"/>
      <c r="C4" s="7"/>
      <c r="D4" s="7"/>
      <c r="E4" s="7"/>
      <c r="F4" s="7"/>
    </row>
    <row r="5" spans="1:6" ht="31.95" customHeight="1" x14ac:dyDescent="0.3">
      <c r="A5" s="345"/>
      <c r="B5" s="192" t="s">
        <v>1373</v>
      </c>
      <c r="C5" s="193"/>
      <c r="D5" s="345"/>
      <c r="E5" s="345"/>
      <c r="F5" s="345"/>
    </row>
    <row r="6" spans="1:6" ht="19.95" customHeight="1" x14ac:dyDescent="0.3">
      <c r="A6" s="347"/>
      <c r="B6" s="449" t="s">
        <v>1374</v>
      </c>
      <c r="C6" s="349"/>
      <c r="D6" s="347"/>
      <c r="E6" s="347"/>
      <c r="F6" s="347"/>
    </row>
    <row r="7" spans="1:6" ht="24" customHeight="1" x14ac:dyDescent="0.3">
      <c r="B7" s="220" t="s">
        <v>1375</v>
      </c>
      <c r="C7" s="316" t="str">
        <f ca="1">"e_"&amp;DEC2HEX(RANDBETWEEN(0,4294967295),8)&amp;"-"&amp;DEC2HEX(RANDBETWEEN(0,65535),4)&amp;"-4"&amp;DEC2HEX(RANDBETWEEN(0,4095),3)&amp;"-"&amp;DEC2HEX(RANDBETWEEN(32768,49151),4)&amp;"-"&amp;DEC2HEX(RANDBETWEEN(0,4294967295),8)&amp;DEC2HEX(RANDBETWEEN(0,65535),4)</f>
        <v>e_2687D420-3DB4-4E33-811A-978597CEA322</v>
      </c>
    </row>
    <row r="8" spans="1:6" ht="28.05" customHeight="1" x14ac:dyDescent="0.3">
      <c r="B8" s="8" t="s">
        <v>1376</v>
      </c>
      <c r="C8" s="329"/>
    </row>
    <row r="9" spans="1:6" ht="28.05" customHeight="1" x14ac:dyDescent="0.3">
      <c r="B9" s="8" t="s">
        <v>1377</v>
      </c>
      <c r="C9" s="351"/>
    </row>
    <row r="10" spans="1:6" ht="49.95" customHeight="1" x14ac:dyDescent="0.3">
      <c r="B10" s="8" t="s">
        <v>1378</v>
      </c>
      <c r="C10" s="352"/>
    </row>
    <row r="11" spans="1:6" ht="6" customHeight="1" x14ac:dyDescent="0.3">
      <c r="A11" s="7"/>
      <c r="B11" s="450"/>
      <c r="C11" s="7"/>
      <c r="D11" s="7"/>
      <c r="E11" s="7"/>
      <c r="F11" s="7"/>
    </row>
    <row r="12" spans="1:6" ht="31.95" customHeight="1" x14ac:dyDescent="0.3">
      <c r="A12" s="333"/>
      <c r="B12" s="195" t="s">
        <v>1379</v>
      </c>
      <c r="C12" s="447"/>
      <c r="D12" s="333"/>
      <c r="E12" s="333"/>
      <c r="F12" s="333"/>
    </row>
    <row r="13" spans="1:6" ht="19.95" customHeight="1" x14ac:dyDescent="0.3">
      <c r="A13" s="336"/>
      <c r="B13" s="451" t="s">
        <v>1380</v>
      </c>
      <c r="C13" s="448"/>
      <c r="D13" s="336"/>
      <c r="E13" s="336"/>
      <c r="F13" s="336"/>
    </row>
    <row r="14" spans="1:6" ht="28.05" customHeight="1" x14ac:dyDescent="0.3">
      <c r="B14" s="8" t="s">
        <v>1381</v>
      </c>
      <c r="C14" s="329"/>
    </row>
    <row r="15" spans="1:6" ht="28.05" customHeight="1" x14ac:dyDescent="0.3">
      <c r="B15" s="8" t="s">
        <v>1382</v>
      </c>
      <c r="C15" s="341"/>
    </row>
    <row r="16" spans="1:6" ht="28.05" customHeight="1" x14ac:dyDescent="0.3">
      <c r="B16" s="8" t="s">
        <v>1383</v>
      </c>
      <c r="C16" s="340"/>
    </row>
    <row r="17" spans="1:6" ht="6" customHeight="1" x14ac:dyDescent="0.3">
      <c r="A17" s="7"/>
      <c r="B17" s="7"/>
      <c r="C17" s="7"/>
      <c r="D17" s="7"/>
      <c r="E17" s="7"/>
      <c r="F17" s="7"/>
    </row>
    <row r="18" spans="1:6" ht="31.95" customHeight="1" x14ac:dyDescent="0.35">
      <c r="A18" s="314"/>
      <c r="B18" s="18" t="s">
        <v>1384</v>
      </c>
      <c r="C18" s="452"/>
      <c r="D18" s="314"/>
      <c r="E18" s="314"/>
      <c r="F18" s="314"/>
    </row>
    <row r="19" spans="1:6" ht="19.95" customHeight="1" x14ac:dyDescent="0.3">
      <c r="A19" s="315"/>
      <c r="B19" s="453" t="s">
        <v>1385</v>
      </c>
      <c r="C19" s="454"/>
      <c r="D19" s="315"/>
      <c r="E19" s="315"/>
      <c r="F19" s="315"/>
    </row>
    <row r="20" spans="1:6" ht="25.95" customHeight="1" x14ac:dyDescent="0.3">
      <c r="A20" s="455"/>
      <c r="B20" s="456" t="s">
        <v>1386</v>
      </c>
      <c r="C20" s="457"/>
      <c r="D20" s="455"/>
      <c r="E20" s="459" t="s">
        <v>1391</v>
      </c>
      <c r="F20" s="460" t="str">
        <f>IF(ISNUMBER(C24),C24,"—")</f>
        <v>—</v>
      </c>
    </row>
    <row r="21" spans="1:6" ht="28.05" customHeight="1" x14ac:dyDescent="0.3">
      <c r="B21" s="15" t="s">
        <v>1387</v>
      </c>
      <c r="C21" s="329"/>
    </row>
    <row r="22" spans="1:6" ht="28.05" customHeight="1" x14ac:dyDescent="0.3">
      <c r="B22" s="15" t="s">
        <v>1388</v>
      </c>
      <c r="C22" s="351"/>
    </row>
    <row r="23" spans="1:6" ht="28.05" customHeight="1" x14ac:dyDescent="0.3">
      <c r="B23" s="15" t="s">
        <v>1389</v>
      </c>
      <c r="C23" s="350"/>
    </row>
    <row r="24" spans="1:6" ht="28.05" customHeight="1" x14ac:dyDescent="0.3">
      <c r="A24" s="455"/>
      <c r="B24" s="264" t="s">
        <v>1390</v>
      </c>
      <c r="C24" s="458" t="str">
        <f>IF(OR(C21="",C22="",C23=""),"—",VALUE(MID(C21,FIND("(",C21)+1,FIND(")",C21)-FIND("(",C21)-1))*0.4+VALUE(MID(C22,FIND("(",C22)+1,FIND(")",C22)-FIND("(",C22)-1))*0.3+VALUE(MID(C23,FIND("(",C23)+1,FIND(")",C23)-FIND("(",C23)-1))*0.3)</f>
        <v>—</v>
      </c>
      <c r="D24" s="455"/>
      <c r="E24" s="455"/>
      <c r="F24" s="455"/>
    </row>
    <row r="25" spans="1:6" ht="4.05" customHeight="1" x14ac:dyDescent="0.3">
      <c r="B25" s="15"/>
    </row>
    <row r="26" spans="1:6" ht="25.95" customHeight="1" x14ac:dyDescent="0.3">
      <c r="A26" s="461"/>
      <c r="B26" s="471" t="s">
        <v>1392</v>
      </c>
      <c r="C26" s="462"/>
      <c r="D26" s="461"/>
      <c r="E26" s="466" t="s">
        <v>1397</v>
      </c>
      <c r="F26" s="198" t="str">
        <f>IF(ISNUMBER(C30),C30,"—")</f>
        <v>—</v>
      </c>
    </row>
    <row r="27" spans="1:6" ht="28.05" customHeight="1" x14ac:dyDescent="0.3">
      <c r="B27" s="15" t="s">
        <v>1393</v>
      </c>
      <c r="C27" s="329"/>
    </row>
    <row r="28" spans="1:6" ht="28.05" customHeight="1" x14ac:dyDescent="0.3">
      <c r="B28" s="15" t="s">
        <v>1394</v>
      </c>
      <c r="C28" s="464"/>
    </row>
    <row r="29" spans="1:6" ht="28.05" customHeight="1" x14ac:dyDescent="0.3">
      <c r="B29" s="15" t="s">
        <v>1395</v>
      </c>
      <c r="C29" s="463"/>
    </row>
    <row r="30" spans="1:6" ht="28.05" customHeight="1" x14ac:dyDescent="0.3">
      <c r="A30" s="461"/>
      <c r="B30" s="472" t="s">
        <v>1396</v>
      </c>
      <c r="C30" s="465" t="str">
        <f>IF(OR(C27="",C28="",C29=""),"—",VALUE(MID(C27,FIND("(",C27)+1,FIND(")",C27)-FIND("(",C27)-1))*0.4+VALUE(MID(C28,FIND("(",C28)+1,FIND(")",C28)-FIND("(",C28)-1))*0.3+VALUE(MID(C29,FIND("(",C29)+1,FIND(")",C29)-FIND("(",C29)-1))*0.3)</f>
        <v>—</v>
      </c>
      <c r="D30" s="461"/>
      <c r="E30" s="461"/>
      <c r="F30" s="461"/>
    </row>
    <row r="31" spans="1:6" ht="4.05" customHeight="1" x14ac:dyDescent="0.3">
      <c r="B31" s="15"/>
    </row>
    <row r="32" spans="1:6" ht="25.95" customHeight="1" x14ac:dyDescent="0.3">
      <c r="A32" s="467"/>
      <c r="B32" s="473" t="s">
        <v>1398</v>
      </c>
      <c r="C32" s="468"/>
      <c r="D32" s="467"/>
      <c r="E32" s="470" t="s">
        <v>1404</v>
      </c>
      <c r="F32" s="202" t="str">
        <f>IF(ISNUMBER(C37),C37,"—")</f>
        <v>—</v>
      </c>
    </row>
    <row r="33" spans="1:6" ht="28.05" customHeight="1" x14ac:dyDescent="0.3">
      <c r="B33" s="15" t="s">
        <v>1399</v>
      </c>
      <c r="C33" s="329"/>
    </row>
    <row r="34" spans="1:6" ht="28.05" customHeight="1" x14ac:dyDescent="0.3">
      <c r="B34" s="15" t="s">
        <v>1400</v>
      </c>
      <c r="C34" s="331"/>
    </row>
    <row r="35" spans="1:6" ht="28.05" customHeight="1" x14ac:dyDescent="0.3">
      <c r="B35" s="15" t="s">
        <v>1401</v>
      </c>
      <c r="C35" s="331"/>
    </row>
    <row r="36" spans="1:6" ht="28.05" customHeight="1" x14ac:dyDescent="0.3">
      <c r="B36" s="15" t="s">
        <v>1402</v>
      </c>
      <c r="C36" s="330"/>
    </row>
    <row r="37" spans="1:6" ht="28.05" customHeight="1" x14ac:dyDescent="0.3">
      <c r="A37" s="467"/>
      <c r="B37" s="474" t="s">
        <v>1403</v>
      </c>
      <c r="C37" s="469" t="str">
        <f>IF(OR(C33="",C34="",C35="",C36=""),"—",VALUE(MID(C33,FIND("(",C33)+1,FIND(")",C33)-FIND("(",C33)-1))*0.25+VALUE(MID(C34,FIND("(",C34)+1,FIND(")",C34)-FIND("(",C34)-1))*0.25+VALUE(MID(C35,FIND("(",C35)+1,FIND(")",C35)-FIND("(",C35)-1))*0.25+VALUE(MID(C36,FIND("(",C36)+1,FIND(")",C36)-FIND("(",C36)-1))*0.25)</f>
        <v>—</v>
      </c>
      <c r="D37" s="467"/>
      <c r="E37" s="467"/>
      <c r="F37" s="467"/>
    </row>
    <row r="38" spans="1:6" ht="6" customHeight="1" x14ac:dyDescent="0.3">
      <c r="A38" s="7"/>
      <c r="B38" s="7"/>
      <c r="C38" s="7"/>
      <c r="D38" s="7"/>
      <c r="E38" s="7"/>
      <c r="F38" s="7"/>
    </row>
    <row r="39" spans="1:6" ht="31.95" customHeight="1" x14ac:dyDescent="0.35">
      <c r="A39" s="355"/>
      <c r="B39" s="356" t="s">
        <v>1405</v>
      </c>
      <c r="C39" s="475"/>
      <c r="D39" s="355"/>
      <c r="E39" s="482" t="s">
        <v>1411</v>
      </c>
      <c r="F39" s="481" t="str">
        <f>IF(ISNUMBER(C42),C42,"—")</f>
        <v>—</v>
      </c>
    </row>
    <row r="40" spans="1:6" ht="22.05" customHeight="1" x14ac:dyDescent="0.3">
      <c r="A40" s="476"/>
      <c r="B40" s="477" t="s">
        <v>1406</v>
      </c>
      <c r="C40" s="478"/>
      <c r="D40" s="476"/>
      <c r="E40" s="476"/>
      <c r="F40" s="476"/>
    </row>
    <row r="41" spans="1:6" ht="19.95" customHeight="1" x14ac:dyDescent="0.3">
      <c r="B41" s="218" t="s">
        <v>1407</v>
      </c>
      <c r="C41" s="1"/>
    </row>
    <row r="42" spans="1:6" ht="31.95" customHeight="1" x14ac:dyDescent="0.35">
      <c r="B42" s="8" t="s">
        <v>1408</v>
      </c>
      <c r="C42" s="479" t="str">
        <f>IF(OR(C30="—",C37="—"),"—",(0.5+0.5*C30)*(0.5+0.5*C37))</f>
        <v>—</v>
      </c>
    </row>
    <row r="43" spans="1:6" ht="42" customHeight="1" x14ac:dyDescent="0.5">
      <c r="A43" s="393"/>
      <c r="B43" s="396" t="s">
        <v>1409</v>
      </c>
      <c r="C43" s="480" t="str">
        <f>IF(OR(C24="—",C42="—"),"Complete all channels above",C24*C42)</f>
        <v>Complete all channels above</v>
      </c>
      <c r="D43" s="393"/>
      <c r="E43" s="483" t="s">
        <v>1412</v>
      </c>
      <c r="F43" s="483" t="str">
        <f>IF(ISNUMBER(C43),C43,"—")</f>
        <v>—</v>
      </c>
    </row>
    <row r="44" spans="1:6" ht="31.95" customHeight="1" x14ac:dyDescent="0.35">
      <c r="A44" s="393"/>
      <c r="B44" s="230" t="s">
        <v>1410</v>
      </c>
      <c r="C44" s="396" t="str">
        <f>IF(ISNUMBER(C43),IF(C43&gt;=0.7,"★ STRONG EVIDENCE",IF(C43&gt;=0.4,"● MODERATE EVIDENCE",IF(C43&gt;=0.15,"◐ WEAK EVIDENCE","○ INSUFFICIENT"))),"—")</f>
        <v>—</v>
      </c>
      <c r="D44" s="393"/>
      <c r="E44" s="393"/>
      <c r="F44" s="393"/>
    </row>
    <row r="45" spans="1:6" ht="6" customHeight="1" x14ac:dyDescent="0.3">
      <c r="A45" s="7"/>
      <c r="B45" s="7"/>
      <c r="C45" s="7"/>
      <c r="D45" s="7"/>
      <c r="E45" s="7"/>
      <c r="F45" s="7"/>
    </row>
    <row r="46" spans="1:6" ht="31.95" customHeight="1" x14ac:dyDescent="0.3">
      <c r="A46" s="366"/>
      <c r="B46" s="488" t="s">
        <v>1413</v>
      </c>
      <c r="C46" s="368"/>
      <c r="D46" s="366"/>
      <c r="E46" s="366"/>
      <c r="F46" s="366"/>
    </row>
    <row r="47" spans="1:6" ht="19.95" customHeight="1" x14ac:dyDescent="0.3">
      <c r="A47" s="369"/>
      <c r="B47" s="489" t="s">
        <v>1414</v>
      </c>
      <c r="C47" s="371"/>
      <c r="D47" s="369"/>
      <c r="E47" s="369"/>
      <c r="F47" s="369"/>
    </row>
    <row r="48" spans="1:6" ht="28.05" customHeight="1" x14ac:dyDescent="0.3">
      <c r="B48" s="9" t="s">
        <v>1415</v>
      </c>
      <c r="C48" s="329"/>
    </row>
    <row r="49" spans="1:6" ht="28.05" customHeight="1" x14ac:dyDescent="0.3">
      <c r="B49" s="15" t="s">
        <v>1416</v>
      </c>
      <c r="C49" s="484"/>
    </row>
    <row r="50" spans="1:6" ht="28.05" customHeight="1" x14ac:dyDescent="0.3">
      <c r="B50" s="9" t="s">
        <v>1417</v>
      </c>
      <c r="C50" s="484"/>
    </row>
    <row r="51" spans="1:6" ht="28.05" customHeight="1" x14ac:dyDescent="0.3">
      <c r="B51" s="9" t="s">
        <v>1418</v>
      </c>
      <c r="C51" s="484"/>
    </row>
    <row r="52" spans="1:6" ht="28.05" customHeight="1" x14ac:dyDescent="0.3">
      <c r="B52" s="9" t="s">
        <v>1419</v>
      </c>
      <c r="C52" s="373"/>
    </row>
    <row r="53" spans="1:6" ht="6" customHeight="1" x14ac:dyDescent="0.3">
      <c r="A53" s="7"/>
      <c r="B53" s="490"/>
      <c r="C53" s="7"/>
      <c r="D53" s="7"/>
      <c r="E53" s="7"/>
      <c r="F53" s="7"/>
    </row>
    <row r="54" spans="1:6" ht="31.95" customHeight="1" x14ac:dyDescent="0.3">
      <c r="A54" s="305"/>
      <c r="B54" s="491" t="s">
        <v>1420</v>
      </c>
      <c r="C54" s="485"/>
      <c r="D54" s="305"/>
      <c r="E54" s="305"/>
      <c r="F54" s="305"/>
    </row>
    <row r="55" spans="1:6" ht="19.95" customHeight="1" x14ac:dyDescent="0.3">
      <c r="A55" s="377"/>
      <c r="B55" s="492" t="s">
        <v>1421</v>
      </c>
      <c r="C55" s="486"/>
      <c r="D55" s="377"/>
      <c r="E55" s="377"/>
      <c r="F55" s="377"/>
    </row>
    <row r="56" spans="1:6" ht="28.05" customHeight="1" x14ac:dyDescent="0.3">
      <c r="B56" s="9" t="s">
        <v>1422</v>
      </c>
      <c r="C56" s="329"/>
    </row>
    <row r="57" spans="1:6" ht="36" customHeight="1" x14ac:dyDescent="0.3">
      <c r="B57" s="15" t="s">
        <v>1423</v>
      </c>
      <c r="C57" s="487"/>
    </row>
    <row r="58" spans="1:6" ht="28.05" customHeight="1" x14ac:dyDescent="0.3">
      <c r="B58" s="15" t="s">
        <v>1424</v>
      </c>
      <c r="C58" s="383"/>
    </row>
    <row r="59" spans="1:6" ht="28.05" customHeight="1" x14ac:dyDescent="0.3">
      <c r="B59" s="9" t="s">
        <v>1425</v>
      </c>
      <c r="C59" s="383"/>
    </row>
    <row r="60" spans="1:6" ht="28.05" customHeight="1" x14ac:dyDescent="0.3">
      <c r="B60" s="15" t="s">
        <v>1424</v>
      </c>
      <c r="C60" s="381"/>
    </row>
    <row r="61" spans="1:6" ht="28.05" customHeight="1" x14ac:dyDescent="0.3">
      <c r="B61" s="9" t="s">
        <v>1426</v>
      </c>
      <c r="C61" s="383"/>
    </row>
    <row r="62" spans="1:6" ht="28.05" customHeight="1" x14ac:dyDescent="0.3">
      <c r="B62" s="15" t="s">
        <v>1427</v>
      </c>
      <c r="C62" s="384"/>
    </row>
    <row r="63" spans="1:6" ht="6" customHeight="1" x14ac:dyDescent="0.3">
      <c r="A63" s="7"/>
      <c r="B63" s="7"/>
      <c r="C63" s="7"/>
      <c r="D63" s="7"/>
      <c r="E63" s="7"/>
      <c r="F63" s="7"/>
    </row>
    <row r="64" spans="1:6" ht="30" customHeight="1" x14ac:dyDescent="0.3">
      <c r="A64" s="386"/>
      <c r="B64" s="175" t="s">
        <v>1428</v>
      </c>
      <c r="C64" s="122"/>
      <c r="D64" s="386"/>
      <c r="E64" s="386"/>
      <c r="F64" s="386"/>
    </row>
    <row r="65" spans="1:6" ht="24" customHeight="1" x14ac:dyDescent="0.3">
      <c r="A65" s="493"/>
      <c r="B65" s="494" t="s">
        <v>1429</v>
      </c>
      <c r="C65" s="293" t="s">
        <v>1430</v>
      </c>
      <c r="D65" s="493"/>
      <c r="E65" s="493"/>
      <c r="F65" s="493"/>
    </row>
    <row r="66" spans="1:6" ht="24" customHeight="1" x14ac:dyDescent="0.3">
      <c r="A66" s="495"/>
      <c r="B66" s="496" t="s">
        <v>1431</v>
      </c>
      <c r="C66" s="497" t="s">
        <v>1432</v>
      </c>
      <c r="D66" s="495"/>
      <c r="E66" s="495"/>
      <c r="F66" s="495"/>
    </row>
    <row r="67" spans="1:6" ht="24" customHeight="1" x14ac:dyDescent="0.3">
      <c r="A67" s="493"/>
      <c r="B67" s="494" t="s">
        <v>1433</v>
      </c>
      <c r="C67" s="293" t="s">
        <v>1434</v>
      </c>
      <c r="D67" s="493"/>
      <c r="E67" s="493"/>
      <c r="F67" s="493"/>
    </row>
    <row r="68" spans="1:6" ht="24" customHeight="1" x14ac:dyDescent="0.3">
      <c r="A68" s="495"/>
      <c r="B68" s="496" t="s">
        <v>1435</v>
      </c>
      <c r="C68" s="497" t="s">
        <v>1436</v>
      </c>
      <c r="D68" s="495"/>
      <c r="E68" s="495"/>
      <c r="F68" s="495"/>
    </row>
    <row r="69" spans="1:6" ht="24" customHeight="1" x14ac:dyDescent="0.3">
      <c r="A69" s="493"/>
      <c r="B69" s="494" t="s">
        <v>1437</v>
      </c>
      <c r="C69" s="293" t="s">
        <v>1438</v>
      </c>
      <c r="D69" s="493"/>
      <c r="E69" s="493"/>
      <c r="F69" s="493"/>
    </row>
    <row r="70" spans="1:6" ht="24" customHeight="1" x14ac:dyDescent="0.3">
      <c r="A70" s="495"/>
      <c r="B70" s="496" t="s">
        <v>1439</v>
      </c>
      <c r="C70" s="497" t="s">
        <v>1440</v>
      </c>
      <c r="D70" s="495"/>
      <c r="E70" s="495"/>
      <c r="F70" s="495"/>
    </row>
    <row r="71" spans="1:6" ht="24" customHeight="1" x14ac:dyDescent="0.3">
      <c r="A71" s="493"/>
      <c r="B71" s="494" t="s">
        <v>1441</v>
      </c>
      <c r="C71" s="293" t="s">
        <v>1442</v>
      </c>
      <c r="D71" s="493"/>
      <c r="E71" s="493"/>
      <c r="F71" s="493"/>
    </row>
    <row r="72" spans="1:6" ht="6" customHeight="1" x14ac:dyDescent="0.3">
      <c r="A72" s="7"/>
      <c r="B72" s="7"/>
      <c r="C72" s="7"/>
      <c r="D72" s="7"/>
      <c r="E72" s="7"/>
      <c r="F72" s="7"/>
    </row>
    <row r="73" spans="1:6" ht="37.950000000000003" customHeight="1" x14ac:dyDescent="0.3">
      <c r="A73" s="305"/>
      <c r="B73" s="498" t="s">
        <v>1443</v>
      </c>
      <c r="C73" s="3"/>
      <c r="D73" s="305"/>
      <c r="E73" s="305"/>
      <c r="F73" s="305"/>
    </row>
  </sheetData>
  <mergeCells count="21">
    <mergeCell ref="B55:C55"/>
    <mergeCell ref="B64:C64"/>
    <mergeCell ref="B73:C73"/>
    <mergeCell ref="B39:C39"/>
    <mergeCell ref="B40:C40"/>
    <mergeCell ref="B41:C41"/>
    <mergeCell ref="B46:C46"/>
    <mergeCell ref="B47:C47"/>
    <mergeCell ref="B54:C54"/>
    <mergeCell ref="B13:C13"/>
    <mergeCell ref="B18:C18"/>
    <mergeCell ref="B19:C19"/>
    <mergeCell ref="B20:C20"/>
    <mergeCell ref="B26:C26"/>
    <mergeCell ref="B32:C32"/>
    <mergeCell ref="B1:C1"/>
    <mergeCell ref="B2:C2"/>
    <mergeCell ref="B3:C3"/>
    <mergeCell ref="B5:C5"/>
    <mergeCell ref="B6:C6"/>
    <mergeCell ref="B12:C12"/>
  </mergeCells>
  <dataValidations count="18">
    <dataValidation type="list" allowBlank="1" showInputMessage="1" showErrorMessage="1" sqref="C9" xr:uid="{92B3978A-A6B0-4773-A838-96F878851AAC}">
      <formula1>"Settings!$A$29:$A$37"</formula1>
    </dataValidation>
    <dataValidation type="list" allowBlank="1" showInputMessage="1" showErrorMessage="1" sqref="C14" xr:uid="{945EF74A-80D5-468B-9045-F654EACEA017}">
      <formula1>"Settings!$B$29:$B$32"</formula1>
    </dataValidation>
    <dataValidation type="list" allowBlank="1" showInputMessage="1" showErrorMessage="1" sqref="C15" xr:uid="{8D355737-4A4C-44CD-9B4A-EA1E3F145F45}">
      <formula1>"Settings!$C$29:$C$38"</formula1>
    </dataValidation>
    <dataValidation type="list" allowBlank="1" showInputMessage="1" showErrorMessage="1" sqref="C16" xr:uid="{075496A3-038A-45E9-BF8D-40DEA8033197}">
      <formula1>"Settings!$D$29:$D$33"</formula1>
    </dataValidation>
    <dataValidation type="list" allowBlank="1" showInputMessage="1" showErrorMessage="1" sqref="C21" xr:uid="{24F236CC-B411-42BE-AC9A-03627AFCBA1F}">
      <formula1>"Settings!$E$29:$E$33"</formula1>
    </dataValidation>
    <dataValidation type="list" allowBlank="1" showInputMessage="1" showErrorMessage="1" sqref="C22" xr:uid="{39E7B876-326A-41AF-8725-032A803AF479}">
      <formula1>"Settings!$F$29:$F$33"</formula1>
    </dataValidation>
    <dataValidation type="list" allowBlank="1" showInputMessage="1" showErrorMessage="1" sqref="C23" xr:uid="{193656D7-2219-407F-B324-F83E635DF094}">
      <formula1>"Settings!$G$29:$G$32"</formula1>
    </dataValidation>
    <dataValidation type="list" allowBlank="1" showInputMessage="1" showErrorMessage="1" sqref="C27" xr:uid="{3C0962BC-8B2C-429F-8C98-BCE92ACD0CB1}">
      <formula1>"Settings!$H$29:$H$33"</formula1>
    </dataValidation>
    <dataValidation type="list" allowBlank="1" showInputMessage="1" showErrorMessage="1" sqref="C28" xr:uid="{CB20E706-A08B-4BE2-BA79-0081830DFFC0}">
      <formula1>"Settings!$I$29:$I$32"</formula1>
    </dataValidation>
    <dataValidation type="list" allowBlank="1" showInputMessage="1" showErrorMessage="1" sqref="C29" xr:uid="{84D4D324-0A55-45D6-AABE-BCF12C54C385}">
      <formula1>"Settings!$J$29:$J$32"</formula1>
    </dataValidation>
    <dataValidation type="list" allowBlank="1" showInputMessage="1" showErrorMessage="1" sqref="C33" xr:uid="{47828662-F6F2-4E90-ABBF-2183E384FF1E}">
      <formula1>"Settings!$K$29:$K$32"</formula1>
    </dataValidation>
    <dataValidation type="list" allowBlank="1" showInputMessage="1" showErrorMessage="1" sqref="C34" xr:uid="{A90BC003-7647-4B30-BC11-329C9369ECAC}">
      <formula1>"Settings!$L$29:$L$32"</formula1>
    </dataValidation>
    <dataValidation type="list" allowBlank="1" showInputMessage="1" showErrorMessage="1" sqref="C35" xr:uid="{A351D68D-5712-4DF6-AF71-FA9F02DC91DC}">
      <formula1>"Settings!$M$29:$M$32"</formula1>
    </dataValidation>
    <dataValidation type="list" allowBlank="1" showInputMessage="1" showErrorMessage="1" sqref="C36" xr:uid="{B52F888E-3D1F-4DDF-864C-0BF467C73F7E}">
      <formula1>"Settings!$A$42:$A$45"</formula1>
    </dataValidation>
    <dataValidation type="list" allowBlank="1" showInputMessage="1" showErrorMessage="1" sqref="C50" xr:uid="{06A963E2-314E-471E-B3A5-D141EAAAFB12}">
      <formula1>"Settings!$B$42:$B$44"</formula1>
    </dataValidation>
    <dataValidation type="list" allowBlank="1" showInputMessage="1" showErrorMessage="1" sqref="C51 C61" xr:uid="{FB02809D-174C-4ECD-BBB4-281CED12F8BF}">
      <formula1>"TRUE,FALSE"</formula1>
    </dataValidation>
    <dataValidation type="list" allowBlank="1" showInputMessage="1" showErrorMessage="1" sqref="C56 C59" xr:uid="{A71C4898-B614-4B84-A179-7A594D6A2ECC}">
      <formula1>"Settings!$C$42:$C$47"</formula1>
    </dataValidation>
    <dataValidation type="list" allowBlank="1" showInputMessage="1" showErrorMessage="1" sqref="C58 C60" xr:uid="{69D0BC3E-1838-4F52-A9A1-2059F16A8E97}">
      <formula1>"Settings!$D$42:$D$44"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80B2-77A7-47E6-BB70-4666D150D081}">
  <dimension ref="A1:H123"/>
  <sheetViews>
    <sheetView tabSelected="1" workbookViewId="0">
      <pane ySplit="5" topLeftCell="A116" activePane="bottomLeft" state="frozen"/>
      <selection pane="bottomLeft" activeCell="F15" sqref="F15"/>
    </sheetView>
  </sheetViews>
  <sheetFormatPr defaultRowHeight="14.4" x14ac:dyDescent="0.3"/>
  <cols>
    <col min="1" max="1" width="33.33203125" customWidth="1"/>
    <col min="2" max="2" width="29.6640625" customWidth="1"/>
    <col min="3" max="3" width="22.21875" customWidth="1"/>
    <col min="4" max="4" width="13" customWidth="1"/>
    <col min="5" max="5" width="33.33203125" customWidth="1"/>
    <col min="6" max="6" width="59.21875" customWidth="1"/>
    <col min="7" max="7" width="51.88671875" customWidth="1"/>
    <col min="8" max="8" width="37" customWidth="1"/>
  </cols>
  <sheetData>
    <row r="1" spans="1:8" ht="45" customHeight="1" x14ac:dyDescent="0.45">
      <c r="A1" s="4" t="s">
        <v>0</v>
      </c>
      <c r="B1" s="3"/>
      <c r="C1" s="3"/>
      <c r="D1" s="3"/>
      <c r="E1" s="3"/>
      <c r="F1" s="3"/>
      <c r="G1" s="3"/>
      <c r="H1" s="3"/>
    </row>
    <row r="2" spans="1:8" ht="28.05" customHeight="1" x14ac:dyDescent="0.3">
      <c r="A2" s="5" t="s">
        <v>1</v>
      </c>
      <c r="B2" s="3"/>
      <c r="C2" s="3"/>
      <c r="D2" s="3"/>
      <c r="E2" s="3"/>
      <c r="F2" s="3"/>
      <c r="G2" s="3"/>
      <c r="H2" s="3"/>
    </row>
    <row r="3" spans="1:8" ht="22.05" customHeight="1" x14ac:dyDescent="0.3">
      <c r="A3" s="6" t="s">
        <v>2</v>
      </c>
      <c r="B3" s="3"/>
      <c r="C3" s="3"/>
      <c r="D3" s="3"/>
      <c r="E3" s="3"/>
      <c r="F3" s="3"/>
      <c r="G3" s="3"/>
      <c r="H3" s="3"/>
    </row>
    <row r="4" spans="1:8" ht="7.95" customHeight="1" x14ac:dyDescent="0.3">
      <c r="A4" s="7"/>
      <c r="B4" s="7"/>
      <c r="C4" s="7"/>
      <c r="D4" s="7"/>
      <c r="E4" s="7"/>
      <c r="F4" s="7"/>
      <c r="G4" s="7"/>
      <c r="H4" s="7"/>
    </row>
    <row r="5" spans="1:8" ht="30" customHeight="1" x14ac:dyDescent="0.3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</row>
    <row r="6" spans="1:8" ht="34.950000000000003" customHeight="1" x14ac:dyDescent="0.35">
      <c r="A6" s="11" t="s">
        <v>11</v>
      </c>
      <c r="B6" s="12"/>
      <c r="C6" s="12"/>
      <c r="D6" s="12"/>
      <c r="E6" s="12"/>
      <c r="F6" s="12"/>
      <c r="G6" s="12"/>
      <c r="H6" s="12"/>
    </row>
    <row r="7" spans="1:8" ht="22.05" customHeight="1" x14ac:dyDescent="0.3">
      <c r="A7" s="13" t="s">
        <v>12</v>
      </c>
      <c r="B7" s="14"/>
      <c r="C7" s="14"/>
      <c r="D7" s="14"/>
      <c r="E7" s="14"/>
      <c r="F7" s="14"/>
      <c r="G7" s="14"/>
      <c r="H7" s="14"/>
    </row>
    <row r="8" spans="1:8" ht="40.049999999999997" customHeight="1" x14ac:dyDescent="0.3">
      <c r="A8" s="16" t="s">
        <v>13</v>
      </c>
      <c r="B8" s="16" t="s">
        <v>14</v>
      </c>
      <c r="C8" s="16" t="s">
        <v>15</v>
      </c>
      <c r="D8" s="17" t="s">
        <v>16</v>
      </c>
      <c r="E8" s="16" t="s">
        <v>17</v>
      </c>
      <c r="F8" s="16" t="s">
        <v>18</v>
      </c>
      <c r="G8" s="16" t="s">
        <v>19</v>
      </c>
      <c r="H8" s="16" t="s">
        <v>20</v>
      </c>
    </row>
    <row r="9" spans="1:8" ht="22.05" customHeight="1" x14ac:dyDescent="0.3">
      <c r="A9" s="13" t="s">
        <v>21</v>
      </c>
      <c r="B9" s="14"/>
      <c r="C9" s="14"/>
      <c r="D9" s="14"/>
      <c r="E9" s="14"/>
      <c r="F9" s="14"/>
      <c r="G9" s="14"/>
      <c r="H9" s="14"/>
    </row>
    <row r="10" spans="1:8" ht="6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34.950000000000003" customHeight="1" x14ac:dyDescent="0.35">
      <c r="A11" s="18" t="s">
        <v>22</v>
      </c>
      <c r="B11" s="19"/>
      <c r="C11" s="19"/>
      <c r="D11" s="19"/>
      <c r="E11" s="19"/>
      <c r="F11" s="19"/>
      <c r="G11" s="19"/>
      <c r="H11" s="19"/>
    </row>
    <row r="12" spans="1:8" ht="22.05" customHeight="1" x14ac:dyDescent="0.3">
      <c r="A12" s="20" t="s">
        <v>23</v>
      </c>
      <c r="B12" s="21"/>
      <c r="C12" s="21"/>
      <c r="D12" s="21"/>
      <c r="E12" s="21"/>
      <c r="F12" s="21"/>
      <c r="G12" s="21"/>
      <c r="H12" s="21"/>
    </row>
    <row r="13" spans="1:8" ht="42" customHeight="1" x14ac:dyDescent="0.3">
      <c r="A13" s="23" t="s">
        <v>24</v>
      </c>
      <c r="B13" s="23" t="s">
        <v>25</v>
      </c>
      <c r="C13" s="23" t="s">
        <v>26</v>
      </c>
      <c r="D13" s="23" t="s">
        <v>27</v>
      </c>
      <c r="E13" s="23" t="s">
        <v>28</v>
      </c>
      <c r="F13" s="23" t="s">
        <v>29</v>
      </c>
      <c r="G13" s="23" t="s">
        <v>30</v>
      </c>
      <c r="H13" s="23" t="s">
        <v>31</v>
      </c>
    </row>
    <row r="14" spans="1:8" ht="42" customHeight="1" x14ac:dyDescent="0.3">
      <c r="A14" s="23" t="s">
        <v>24</v>
      </c>
      <c r="B14" s="23" t="s">
        <v>32</v>
      </c>
      <c r="C14" s="23" t="s">
        <v>33</v>
      </c>
      <c r="D14" s="24" t="s">
        <v>16</v>
      </c>
      <c r="E14" s="23" t="s">
        <v>34</v>
      </c>
      <c r="F14" s="23" t="s">
        <v>35</v>
      </c>
      <c r="G14" s="23" t="s">
        <v>36</v>
      </c>
      <c r="H14" s="23" t="s">
        <v>37</v>
      </c>
    </row>
    <row r="15" spans="1:8" ht="42" customHeight="1" x14ac:dyDescent="0.3">
      <c r="A15" s="23" t="s">
        <v>24</v>
      </c>
      <c r="B15" s="23" t="s">
        <v>38</v>
      </c>
      <c r="C15" s="23" t="s">
        <v>39</v>
      </c>
      <c r="D15" s="24" t="s">
        <v>16</v>
      </c>
      <c r="E15" s="23" t="s">
        <v>40</v>
      </c>
      <c r="F15" s="23" t="s">
        <v>41</v>
      </c>
      <c r="G15" s="23" t="s">
        <v>42</v>
      </c>
      <c r="H15" s="23" t="s">
        <v>43</v>
      </c>
    </row>
    <row r="16" spans="1:8" ht="42" customHeight="1" x14ac:dyDescent="0.3">
      <c r="A16" s="23" t="s">
        <v>24</v>
      </c>
      <c r="B16" s="23" t="s">
        <v>44</v>
      </c>
      <c r="C16" s="23" t="s">
        <v>39</v>
      </c>
      <c r="D16" s="23" t="s">
        <v>45</v>
      </c>
      <c r="E16" s="23" t="s">
        <v>40</v>
      </c>
      <c r="F16" s="23" t="s">
        <v>46</v>
      </c>
      <c r="G16" s="23" t="s">
        <v>47</v>
      </c>
      <c r="H16" s="23" t="s">
        <v>48</v>
      </c>
    </row>
    <row r="17" spans="1:8" ht="42" customHeight="1" x14ac:dyDescent="0.3">
      <c r="A17" s="23" t="s">
        <v>24</v>
      </c>
      <c r="B17" s="23" t="s">
        <v>49</v>
      </c>
      <c r="C17" s="23" t="s">
        <v>50</v>
      </c>
      <c r="D17" s="24" t="s">
        <v>16</v>
      </c>
      <c r="E17" s="23" t="s">
        <v>51</v>
      </c>
      <c r="F17" s="23" t="s">
        <v>52</v>
      </c>
      <c r="G17" s="23" t="s">
        <v>53</v>
      </c>
      <c r="H17" s="23" t="s">
        <v>54</v>
      </c>
    </row>
    <row r="18" spans="1:8" ht="42" customHeight="1" x14ac:dyDescent="0.3">
      <c r="A18" s="23" t="s">
        <v>24</v>
      </c>
      <c r="B18" s="23" t="s">
        <v>55</v>
      </c>
      <c r="C18" s="23" t="s">
        <v>56</v>
      </c>
      <c r="D18" s="23" t="s">
        <v>57</v>
      </c>
      <c r="E18" s="23" t="s">
        <v>58</v>
      </c>
      <c r="F18" s="23" t="s">
        <v>59</v>
      </c>
      <c r="G18" s="23" t="s">
        <v>60</v>
      </c>
      <c r="H18" s="23" t="s">
        <v>61</v>
      </c>
    </row>
    <row r="19" spans="1:8" ht="42" customHeight="1" x14ac:dyDescent="0.3">
      <c r="A19" s="23" t="s">
        <v>24</v>
      </c>
      <c r="B19" s="23" t="s">
        <v>62</v>
      </c>
      <c r="C19" s="23" t="s">
        <v>63</v>
      </c>
      <c r="D19" s="23" t="s">
        <v>45</v>
      </c>
      <c r="E19" s="23" t="s">
        <v>64</v>
      </c>
      <c r="F19" s="23" t="s">
        <v>65</v>
      </c>
      <c r="G19" s="23" t="s">
        <v>66</v>
      </c>
      <c r="H19" s="23" t="s">
        <v>67</v>
      </c>
    </row>
    <row r="20" spans="1:8" ht="24" customHeight="1" x14ac:dyDescent="0.3">
      <c r="A20" s="25" t="s">
        <v>68</v>
      </c>
      <c r="B20" s="26"/>
      <c r="C20" s="26"/>
      <c r="D20" s="26"/>
      <c r="E20" s="26"/>
      <c r="F20" s="26"/>
      <c r="G20" s="26"/>
      <c r="H20" s="26"/>
    </row>
    <row r="21" spans="1:8" ht="36" customHeight="1" x14ac:dyDescent="0.3">
      <c r="A21" s="28" t="s">
        <v>69</v>
      </c>
      <c r="B21" s="28"/>
      <c r="C21" s="28"/>
      <c r="D21" s="28"/>
      <c r="E21" s="28" t="s">
        <v>70</v>
      </c>
      <c r="F21" s="29" t="s">
        <v>71</v>
      </c>
      <c r="G21" s="28"/>
      <c r="H21" s="28" t="s">
        <v>72</v>
      </c>
    </row>
    <row r="22" spans="1:8" ht="36" customHeight="1" x14ac:dyDescent="0.3">
      <c r="A22" s="28" t="s">
        <v>73</v>
      </c>
      <c r="B22" s="28"/>
      <c r="C22" s="28"/>
      <c r="D22" s="28"/>
      <c r="E22" s="28" t="s">
        <v>70</v>
      </c>
      <c r="F22" s="29" t="s">
        <v>74</v>
      </c>
      <c r="G22" s="28"/>
      <c r="H22" s="28" t="s">
        <v>75</v>
      </c>
    </row>
    <row r="23" spans="1:8" ht="36" customHeight="1" x14ac:dyDescent="0.3">
      <c r="A23" s="28" t="s">
        <v>76</v>
      </c>
      <c r="B23" s="28"/>
      <c r="C23" s="28"/>
      <c r="D23" s="28"/>
      <c r="E23" s="28" t="s">
        <v>70</v>
      </c>
      <c r="F23" s="29" t="s">
        <v>77</v>
      </c>
      <c r="G23" s="28"/>
      <c r="H23" s="28" t="s">
        <v>78</v>
      </c>
    </row>
    <row r="24" spans="1:8" ht="36" customHeight="1" x14ac:dyDescent="0.3">
      <c r="A24" s="28" t="s">
        <v>79</v>
      </c>
      <c r="B24" s="28"/>
      <c r="C24" s="28"/>
      <c r="D24" s="28"/>
      <c r="E24" s="28" t="s">
        <v>70</v>
      </c>
      <c r="F24" s="29" t="s">
        <v>80</v>
      </c>
      <c r="G24" s="28"/>
      <c r="H24" s="28" t="s">
        <v>81</v>
      </c>
    </row>
    <row r="25" spans="1:8" ht="36" customHeight="1" x14ac:dyDescent="0.3">
      <c r="A25" s="28" t="s">
        <v>82</v>
      </c>
      <c r="B25" s="28"/>
      <c r="C25" s="28"/>
      <c r="D25" s="28"/>
      <c r="E25" s="28" t="s">
        <v>70</v>
      </c>
      <c r="F25" s="29" t="s">
        <v>83</v>
      </c>
      <c r="G25" s="28"/>
      <c r="H25" s="28" t="s">
        <v>84</v>
      </c>
    </row>
    <row r="26" spans="1:8" ht="6" customHeight="1" x14ac:dyDescent="0.3">
      <c r="A26" s="7"/>
      <c r="B26" s="7"/>
      <c r="C26" s="7"/>
      <c r="D26" s="7"/>
      <c r="E26" s="7"/>
      <c r="F26" s="7"/>
      <c r="G26" s="7"/>
      <c r="H26" s="7"/>
    </row>
    <row r="27" spans="1:8" ht="34.950000000000003" customHeight="1" x14ac:dyDescent="0.35">
      <c r="A27" s="30" t="s">
        <v>85</v>
      </c>
      <c r="B27" s="31"/>
      <c r="C27" s="31"/>
      <c r="D27" s="31"/>
      <c r="E27" s="31"/>
      <c r="F27" s="31"/>
      <c r="G27" s="31"/>
      <c r="H27" s="31"/>
    </row>
    <row r="28" spans="1:8" ht="22.05" customHeight="1" x14ac:dyDescent="0.3">
      <c r="A28" s="32" t="s">
        <v>86</v>
      </c>
      <c r="B28" s="33"/>
      <c r="C28" s="33"/>
      <c r="D28" s="33"/>
      <c r="E28" s="33"/>
      <c r="F28" s="33"/>
      <c r="G28" s="33"/>
      <c r="H28" s="33"/>
    </row>
    <row r="29" spans="1:8" ht="48" customHeight="1" x14ac:dyDescent="0.3">
      <c r="A29" s="34" t="s">
        <v>87</v>
      </c>
      <c r="B29" s="34" t="s">
        <v>88</v>
      </c>
      <c r="C29" s="34" t="s">
        <v>39</v>
      </c>
      <c r="D29" s="35" t="s">
        <v>16</v>
      </c>
      <c r="E29" s="34" t="s">
        <v>40</v>
      </c>
      <c r="F29" s="34" t="s">
        <v>89</v>
      </c>
      <c r="G29" s="34" t="s">
        <v>90</v>
      </c>
      <c r="H29" s="34" t="s">
        <v>91</v>
      </c>
    </row>
    <row r="30" spans="1:8" ht="48" customHeight="1" x14ac:dyDescent="0.3">
      <c r="A30" s="34" t="s">
        <v>87</v>
      </c>
      <c r="B30" s="34" t="s">
        <v>92</v>
      </c>
      <c r="C30" s="34" t="s">
        <v>93</v>
      </c>
      <c r="D30" s="34" t="s">
        <v>45</v>
      </c>
      <c r="E30" s="34" t="s">
        <v>94</v>
      </c>
      <c r="F30" s="34" t="s">
        <v>95</v>
      </c>
      <c r="G30" s="34" t="s">
        <v>96</v>
      </c>
      <c r="H30" s="34" t="s">
        <v>97</v>
      </c>
    </row>
    <row r="31" spans="1:8" ht="48" customHeight="1" x14ac:dyDescent="0.3">
      <c r="A31" s="34" t="s">
        <v>87</v>
      </c>
      <c r="B31" s="34" t="s">
        <v>98</v>
      </c>
      <c r="C31" s="34" t="s">
        <v>39</v>
      </c>
      <c r="D31" s="35" t="s">
        <v>16</v>
      </c>
      <c r="E31" s="34" t="s">
        <v>40</v>
      </c>
      <c r="F31" s="34" t="s">
        <v>99</v>
      </c>
      <c r="G31" s="34" t="s">
        <v>100</v>
      </c>
      <c r="H31" s="34" t="s">
        <v>101</v>
      </c>
    </row>
    <row r="32" spans="1:8" ht="48" customHeight="1" x14ac:dyDescent="0.3">
      <c r="A32" s="34" t="s">
        <v>87</v>
      </c>
      <c r="B32" s="34" t="s">
        <v>102</v>
      </c>
      <c r="C32" s="34" t="s">
        <v>39</v>
      </c>
      <c r="D32" s="36" t="s">
        <v>103</v>
      </c>
      <c r="E32" s="34" t="s">
        <v>104</v>
      </c>
      <c r="F32" s="34" t="s">
        <v>105</v>
      </c>
      <c r="G32" s="34" t="s">
        <v>106</v>
      </c>
      <c r="H32" s="34" t="s">
        <v>107</v>
      </c>
    </row>
    <row r="33" spans="1:8" ht="28.05" customHeight="1" x14ac:dyDescent="0.3">
      <c r="A33" s="37" t="s">
        <v>108</v>
      </c>
      <c r="B33" s="38"/>
      <c r="C33" s="38"/>
      <c r="D33" s="38"/>
      <c r="E33" s="38"/>
      <c r="F33" s="38"/>
      <c r="G33" s="38"/>
      <c r="H33" s="38"/>
    </row>
    <row r="34" spans="1:8" ht="24" customHeight="1" x14ac:dyDescent="0.3">
      <c r="A34" s="39" t="s">
        <v>109</v>
      </c>
      <c r="B34" s="40"/>
      <c r="C34" s="40"/>
      <c r="D34" s="40"/>
      <c r="E34" s="40"/>
      <c r="F34" s="40"/>
      <c r="G34" s="40"/>
      <c r="H34" s="40"/>
    </row>
    <row r="35" spans="1:8" ht="42" customHeight="1" x14ac:dyDescent="0.3">
      <c r="A35" s="41" t="s">
        <v>110</v>
      </c>
      <c r="B35" s="41"/>
      <c r="C35" s="41"/>
      <c r="D35" s="41"/>
      <c r="E35" s="41" t="s">
        <v>70</v>
      </c>
      <c r="F35" s="42" t="s">
        <v>111</v>
      </c>
      <c r="G35" s="41"/>
      <c r="H35" s="41" t="s">
        <v>112</v>
      </c>
    </row>
    <row r="36" spans="1:8" ht="42" customHeight="1" x14ac:dyDescent="0.3">
      <c r="A36" s="41" t="s">
        <v>113</v>
      </c>
      <c r="B36" s="41"/>
      <c r="C36" s="41"/>
      <c r="D36" s="41"/>
      <c r="E36" s="41" t="s">
        <v>70</v>
      </c>
      <c r="F36" s="42" t="s">
        <v>114</v>
      </c>
      <c r="G36" s="41"/>
      <c r="H36" s="41" t="s">
        <v>115</v>
      </c>
    </row>
    <row r="37" spans="1:8" ht="42" customHeight="1" x14ac:dyDescent="0.3">
      <c r="A37" s="41" t="s">
        <v>116</v>
      </c>
      <c r="B37" s="41"/>
      <c r="C37" s="41"/>
      <c r="D37" s="41"/>
      <c r="E37" s="41" t="s">
        <v>70</v>
      </c>
      <c r="F37" s="42" t="s">
        <v>117</v>
      </c>
      <c r="G37" s="41"/>
      <c r="H37" s="41" t="s">
        <v>118</v>
      </c>
    </row>
    <row r="38" spans="1:8" ht="6" customHeight="1" x14ac:dyDescent="0.3">
      <c r="A38" s="7"/>
      <c r="B38" s="7"/>
      <c r="C38" s="7"/>
      <c r="D38" s="7"/>
      <c r="E38" s="7"/>
      <c r="F38" s="7"/>
      <c r="G38" s="7"/>
      <c r="H38" s="7"/>
    </row>
    <row r="39" spans="1:8" ht="34.950000000000003" customHeight="1" x14ac:dyDescent="0.35">
      <c r="A39" s="43" t="s">
        <v>119</v>
      </c>
      <c r="B39" s="44"/>
      <c r="C39" s="44"/>
      <c r="D39" s="44"/>
      <c r="E39" s="44"/>
      <c r="F39" s="44"/>
      <c r="G39" s="44"/>
      <c r="H39" s="44"/>
    </row>
    <row r="40" spans="1:8" ht="22.05" customHeight="1" x14ac:dyDescent="0.3">
      <c r="A40" s="45" t="s">
        <v>120</v>
      </c>
      <c r="B40" s="46"/>
      <c r="C40" s="46"/>
      <c r="D40" s="46"/>
      <c r="E40" s="46"/>
      <c r="F40" s="46"/>
      <c r="G40" s="46"/>
      <c r="H40" s="46"/>
    </row>
    <row r="41" spans="1:8" ht="48" customHeight="1" x14ac:dyDescent="0.3">
      <c r="A41" s="47" t="s">
        <v>121</v>
      </c>
      <c r="B41" s="47" t="s">
        <v>122</v>
      </c>
      <c r="C41" s="47" t="s">
        <v>123</v>
      </c>
      <c r="D41" s="48" t="s">
        <v>16</v>
      </c>
      <c r="E41" s="47" t="s">
        <v>124</v>
      </c>
      <c r="F41" s="47" t="s">
        <v>125</v>
      </c>
      <c r="G41" s="47" t="s">
        <v>126</v>
      </c>
      <c r="H41" s="47" t="s">
        <v>127</v>
      </c>
    </row>
    <row r="42" spans="1:8" ht="48" customHeight="1" x14ac:dyDescent="0.3">
      <c r="A42" s="47" t="s">
        <v>121</v>
      </c>
      <c r="B42" s="47" t="s">
        <v>128</v>
      </c>
      <c r="C42" s="47" t="s">
        <v>39</v>
      </c>
      <c r="D42" s="47" t="s">
        <v>129</v>
      </c>
      <c r="E42" s="47" t="s">
        <v>130</v>
      </c>
      <c r="F42" s="47" t="s">
        <v>131</v>
      </c>
      <c r="G42" s="47" t="s">
        <v>132</v>
      </c>
      <c r="H42" s="47" t="s">
        <v>133</v>
      </c>
    </row>
    <row r="43" spans="1:8" ht="48" customHeight="1" x14ac:dyDescent="0.3">
      <c r="A43" s="47" t="s">
        <v>121</v>
      </c>
      <c r="B43" s="47" t="s">
        <v>134</v>
      </c>
      <c r="C43" s="47" t="s">
        <v>39</v>
      </c>
      <c r="D43" s="48" t="s">
        <v>16</v>
      </c>
      <c r="E43" s="47" t="s">
        <v>40</v>
      </c>
      <c r="F43" s="47" t="s">
        <v>135</v>
      </c>
      <c r="G43" s="47" t="s">
        <v>136</v>
      </c>
      <c r="H43" s="47" t="s">
        <v>137</v>
      </c>
    </row>
    <row r="44" spans="1:8" ht="48" customHeight="1" x14ac:dyDescent="0.3">
      <c r="A44" s="47" t="s">
        <v>121</v>
      </c>
      <c r="B44" s="47" t="s">
        <v>138</v>
      </c>
      <c r="C44" s="47" t="s">
        <v>39</v>
      </c>
      <c r="D44" s="48" t="s">
        <v>16</v>
      </c>
      <c r="E44" s="47" t="s">
        <v>40</v>
      </c>
      <c r="F44" s="47" t="s">
        <v>139</v>
      </c>
      <c r="G44" s="47" t="s">
        <v>140</v>
      </c>
      <c r="H44" s="47" t="s">
        <v>141</v>
      </c>
    </row>
    <row r="45" spans="1:8" ht="48" customHeight="1" x14ac:dyDescent="0.3">
      <c r="A45" s="47" t="s">
        <v>121</v>
      </c>
      <c r="B45" s="47" t="s">
        <v>142</v>
      </c>
      <c r="C45" s="47" t="s">
        <v>123</v>
      </c>
      <c r="D45" s="47" t="s">
        <v>143</v>
      </c>
      <c r="E45" s="47" t="s">
        <v>144</v>
      </c>
      <c r="F45" s="47" t="s">
        <v>145</v>
      </c>
      <c r="G45" s="47" t="s">
        <v>146</v>
      </c>
      <c r="H45" s="47" t="s">
        <v>147</v>
      </c>
    </row>
    <row r="46" spans="1:8" ht="25.95" customHeight="1" x14ac:dyDescent="0.3">
      <c r="A46" s="49" t="s">
        <v>148</v>
      </c>
      <c r="B46" s="50"/>
      <c r="C46" s="50"/>
      <c r="D46" s="50"/>
      <c r="E46" s="50"/>
      <c r="F46" s="50"/>
      <c r="G46" s="50"/>
      <c r="H46" s="50"/>
    </row>
    <row r="47" spans="1:8" ht="24" customHeight="1" x14ac:dyDescent="0.3">
      <c r="A47" s="51" t="s">
        <v>149</v>
      </c>
      <c r="B47" s="52"/>
      <c r="C47" s="52"/>
      <c r="D47" s="52"/>
      <c r="E47" s="52"/>
      <c r="F47" s="52"/>
      <c r="G47" s="52"/>
      <c r="H47" s="52"/>
    </row>
    <row r="48" spans="1:8" ht="40.049999999999997" customHeight="1" x14ac:dyDescent="0.3">
      <c r="A48" s="53" t="s">
        <v>150</v>
      </c>
      <c r="B48" s="53"/>
      <c r="C48" s="53"/>
      <c r="D48" s="53"/>
      <c r="E48" s="53" t="s">
        <v>70</v>
      </c>
      <c r="F48" s="54" t="s">
        <v>151</v>
      </c>
      <c r="G48" s="53"/>
      <c r="H48" s="53" t="s">
        <v>152</v>
      </c>
    </row>
    <row r="49" spans="1:8" ht="40.049999999999997" customHeight="1" x14ac:dyDescent="0.3">
      <c r="A49" s="53" t="s">
        <v>153</v>
      </c>
      <c r="B49" s="53"/>
      <c r="C49" s="53"/>
      <c r="D49" s="53"/>
      <c r="E49" s="53" t="s">
        <v>70</v>
      </c>
      <c r="F49" s="54" t="s">
        <v>154</v>
      </c>
      <c r="G49" s="53"/>
      <c r="H49" s="53" t="s">
        <v>155</v>
      </c>
    </row>
    <row r="50" spans="1:8" ht="40.049999999999997" customHeight="1" x14ac:dyDescent="0.3">
      <c r="A50" s="53" t="s">
        <v>156</v>
      </c>
      <c r="B50" s="53"/>
      <c r="C50" s="53"/>
      <c r="D50" s="53"/>
      <c r="E50" s="53" t="s">
        <v>70</v>
      </c>
      <c r="F50" s="54" t="s">
        <v>157</v>
      </c>
      <c r="G50" s="53"/>
      <c r="H50" s="53" t="s">
        <v>158</v>
      </c>
    </row>
    <row r="51" spans="1:8" ht="6" customHeight="1" x14ac:dyDescent="0.3">
      <c r="A51" s="7"/>
      <c r="B51" s="7"/>
      <c r="C51" s="7"/>
      <c r="D51" s="7"/>
      <c r="E51" s="7"/>
      <c r="F51" s="7"/>
      <c r="G51" s="7"/>
      <c r="H51" s="7"/>
    </row>
    <row r="52" spans="1:8" ht="34.950000000000003" customHeight="1" x14ac:dyDescent="0.35">
      <c r="A52" s="55" t="s">
        <v>159</v>
      </c>
      <c r="B52" s="56"/>
      <c r="C52" s="56"/>
      <c r="D52" s="56"/>
      <c r="E52" s="56"/>
      <c r="F52" s="56"/>
      <c r="G52" s="56"/>
      <c r="H52" s="56"/>
    </row>
    <row r="53" spans="1:8" ht="22.05" customHeight="1" x14ac:dyDescent="0.3">
      <c r="A53" s="57" t="s">
        <v>160</v>
      </c>
      <c r="B53" s="58"/>
      <c r="C53" s="58"/>
      <c r="D53" s="58"/>
      <c r="E53" s="58"/>
      <c r="F53" s="58"/>
      <c r="G53" s="58"/>
      <c r="H53" s="58"/>
    </row>
    <row r="54" spans="1:8" ht="48" customHeight="1" x14ac:dyDescent="0.3">
      <c r="A54" s="59" t="s">
        <v>161</v>
      </c>
      <c r="B54" s="59" t="s">
        <v>162</v>
      </c>
      <c r="C54" s="59" t="s">
        <v>93</v>
      </c>
      <c r="D54" s="60" t="s">
        <v>16</v>
      </c>
      <c r="E54" s="59" t="s">
        <v>94</v>
      </c>
      <c r="F54" s="59" t="s">
        <v>163</v>
      </c>
      <c r="G54" s="59" t="s">
        <v>164</v>
      </c>
      <c r="H54" s="59" t="s">
        <v>165</v>
      </c>
    </row>
    <row r="55" spans="1:8" ht="48" customHeight="1" x14ac:dyDescent="0.3">
      <c r="A55" s="59" t="s">
        <v>161</v>
      </c>
      <c r="B55" s="59" t="s">
        <v>166</v>
      </c>
      <c r="C55" s="59" t="s">
        <v>39</v>
      </c>
      <c r="D55" s="60" t="s">
        <v>16</v>
      </c>
      <c r="E55" s="59" t="s">
        <v>40</v>
      </c>
      <c r="F55" s="59" t="s">
        <v>167</v>
      </c>
      <c r="G55" s="59" t="s">
        <v>168</v>
      </c>
      <c r="H55" s="59" t="s">
        <v>169</v>
      </c>
    </row>
    <row r="56" spans="1:8" ht="48" customHeight="1" x14ac:dyDescent="0.3">
      <c r="A56" s="59" t="s">
        <v>161</v>
      </c>
      <c r="B56" s="59" t="s">
        <v>170</v>
      </c>
      <c r="C56" s="59" t="s">
        <v>63</v>
      </c>
      <c r="D56" s="60" t="s">
        <v>16</v>
      </c>
      <c r="E56" s="59" t="s">
        <v>171</v>
      </c>
      <c r="F56" s="59" t="s">
        <v>172</v>
      </c>
      <c r="G56" s="59" t="s">
        <v>173</v>
      </c>
      <c r="H56" s="59" t="s">
        <v>174</v>
      </c>
    </row>
    <row r="57" spans="1:8" ht="48" customHeight="1" x14ac:dyDescent="0.3">
      <c r="A57" s="59" t="s">
        <v>161</v>
      </c>
      <c r="B57" s="59" t="s">
        <v>175</v>
      </c>
      <c r="C57" s="59" t="s">
        <v>39</v>
      </c>
      <c r="D57" s="60" t="s">
        <v>16</v>
      </c>
      <c r="E57" s="59" t="s">
        <v>40</v>
      </c>
      <c r="F57" s="59" t="s">
        <v>176</v>
      </c>
      <c r="G57" s="59" t="s">
        <v>177</v>
      </c>
      <c r="H57" s="59" t="s">
        <v>178</v>
      </c>
    </row>
    <row r="58" spans="1:8" ht="48" customHeight="1" x14ac:dyDescent="0.3">
      <c r="A58" s="59" t="s">
        <v>161</v>
      </c>
      <c r="B58" s="59" t="s">
        <v>179</v>
      </c>
      <c r="C58" s="59" t="s">
        <v>15</v>
      </c>
      <c r="D58" s="59" t="s">
        <v>45</v>
      </c>
      <c r="E58" s="59" t="s">
        <v>17</v>
      </c>
      <c r="F58" s="59" t="s">
        <v>180</v>
      </c>
      <c r="G58" s="59" t="s">
        <v>181</v>
      </c>
      <c r="H58" s="59" t="s">
        <v>182</v>
      </c>
    </row>
    <row r="59" spans="1:8" ht="25.95" customHeight="1" x14ac:dyDescent="0.3">
      <c r="A59" s="61" t="s">
        <v>183</v>
      </c>
      <c r="B59" s="62"/>
      <c r="C59" s="62"/>
      <c r="D59" s="62"/>
      <c r="E59" s="62"/>
      <c r="F59" s="62"/>
      <c r="G59" s="62"/>
      <c r="H59" s="62"/>
    </row>
    <row r="60" spans="1:8" ht="24" customHeight="1" x14ac:dyDescent="0.3">
      <c r="A60" s="63" t="s">
        <v>184</v>
      </c>
      <c r="B60" s="64"/>
      <c r="C60" s="64"/>
      <c r="D60" s="64"/>
      <c r="E60" s="64"/>
      <c r="F60" s="64"/>
      <c r="G60" s="64"/>
      <c r="H60" s="64"/>
    </row>
    <row r="61" spans="1:8" ht="40.049999999999997" customHeight="1" x14ac:dyDescent="0.3">
      <c r="A61" s="65" t="s">
        <v>185</v>
      </c>
      <c r="B61" s="65"/>
      <c r="C61" s="65"/>
      <c r="D61" s="65"/>
      <c r="E61" s="65" t="s">
        <v>70</v>
      </c>
      <c r="F61" s="66" t="s">
        <v>186</v>
      </c>
      <c r="G61" s="65"/>
      <c r="H61" s="65" t="s">
        <v>187</v>
      </c>
    </row>
    <row r="62" spans="1:8" ht="40.049999999999997" customHeight="1" x14ac:dyDescent="0.3">
      <c r="A62" s="65" t="s">
        <v>188</v>
      </c>
      <c r="B62" s="65"/>
      <c r="C62" s="65"/>
      <c r="D62" s="65"/>
      <c r="E62" s="65" t="s">
        <v>70</v>
      </c>
      <c r="F62" s="66" t="s">
        <v>189</v>
      </c>
      <c r="G62" s="65"/>
      <c r="H62" s="65" t="s">
        <v>190</v>
      </c>
    </row>
    <row r="63" spans="1:8" ht="40.049999999999997" customHeight="1" x14ac:dyDescent="0.3">
      <c r="A63" s="65" t="s">
        <v>191</v>
      </c>
      <c r="B63" s="65"/>
      <c r="C63" s="65"/>
      <c r="D63" s="65"/>
      <c r="E63" s="65" t="s">
        <v>70</v>
      </c>
      <c r="F63" s="66" t="s">
        <v>192</v>
      </c>
      <c r="G63" s="65"/>
      <c r="H63" s="65" t="s">
        <v>193</v>
      </c>
    </row>
    <row r="64" spans="1:8" ht="6" customHeight="1" x14ac:dyDescent="0.3">
      <c r="A64" s="7"/>
      <c r="B64" s="7"/>
      <c r="C64" s="7"/>
      <c r="D64" s="7"/>
      <c r="E64" s="7"/>
      <c r="F64" s="7"/>
      <c r="G64" s="7"/>
      <c r="H64" s="7"/>
    </row>
    <row r="65" spans="1:8" ht="34.950000000000003" customHeight="1" x14ac:dyDescent="0.35">
      <c r="A65" s="67" t="s">
        <v>194</v>
      </c>
      <c r="B65" s="68"/>
      <c r="C65" s="68"/>
      <c r="D65" s="68"/>
      <c r="E65" s="68"/>
      <c r="F65" s="68"/>
      <c r="G65" s="68"/>
      <c r="H65" s="68"/>
    </row>
    <row r="66" spans="1:8" ht="22.05" customHeight="1" x14ac:dyDescent="0.3">
      <c r="A66" s="69" t="s">
        <v>195</v>
      </c>
      <c r="B66" s="70"/>
      <c r="C66" s="70"/>
      <c r="D66" s="70"/>
      <c r="E66" s="70"/>
      <c r="F66" s="70"/>
      <c r="G66" s="70"/>
      <c r="H66" s="70"/>
    </row>
    <row r="67" spans="1:8" ht="48" customHeight="1" x14ac:dyDescent="0.3">
      <c r="A67" s="71" t="s">
        <v>196</v>
      </c>
      <c r="B67" s="71" t="s">
        <v>197</v>
      </c>
      <c r="C67" s="71" t="s">
        <v>198</v>
      </c>
      <c r="D67" s="72" t="s">
        <v>16</v>
      </c>
      <c r="E67" s="71" t="s">
        <v>199</v>
      </c>
      <c r="F67" s="71" t="s">
        <v>200</v>
      </c>
      <c r="G67" s="71" t="s">
        <v>201</v>
      </c>
      <c r="H67" s="71" t="s">
        <v>202</v>
      </c>
    </row>
    <row r="68" spans="1:8" ht="48" customHeight="1" x14ac:dyDescent="0.3">
      <c r="A68" s="71" t="s">
        <v>196</v>
      </c>
      <c r="B68" s="71" t="s">
        <v>203</v>
      </c>
      <c r="C68" s="71" t="s">
        <v>56</v>
      </c>
      <c r="D68" s="71" t="s">
        <v>45</v>
      </c>
      <c r="E68" s="71" t="s">
        <v>204</v>
      </c>
      <c r="F68" s="71" t="s">
        <v>205</v>
      </c>
      <c r="G68" s="71" t="s">
        <v>206</v>
      </c>
      <c r="H68" s="71" t="s">
        <v>207</v>
      </c>
    </row>
    <row r="69" spans="1:8" ht="48" customHeight="1" x14ac:dyDescent="0.3">
      <c r="A69" s="71" t="s">
        <v>196</v>
      </c>
      <c r="B69" s="71" t="s">
        <v>208</v>
      </c>
      <c r="C69" s="71" t="s">
        <v>56</v>
      </c>
      <c r="D69" s="72" t="s">
        <v>16</v>
      </c>
      <c r="E69" s="71" t="s">
        <v>209</v>
      </c>
      <c r="F69" s="71" t="s">
        <v>210</v>
      </c>
      <c r="G69" s="71" t="s">
        <v>211</v>
      </c>
      <c r="H69" s="71" t="s">
        <v>212</v>
      </c>
    </row>
    <row r="70" spans="1:8" ht="48" customHeight="1" x14ac:dyDescent="0.3">
      <c r="A70" s="71" t="s">
        <v>196</v>
      </c>
      <c r="B70" s="71" t="s">
        <v>213</v>
      </c>
      <c r="C70" s="71" t="s">
        <v>39</v>
      </c>
      <c r="D70" s="72" t="s">
        <v>16</v>
      </c>
      <c r="E70" s="71" t="s">
        <v>40</v>
      </c>
      <c r="F70" s="71" t="s">
        <v>214</v>
      </c>
      <c r="G70" s="71" t="s">
        <v>215</v>
      </c>
      <c r="H70" s="71" t="s">
        <v>216</v>
      </c>
    </row>
    <row r="71" spans="1:8" ht="48" customHeight="1" x14ac:dyDescent="0.3">
      <c r="A71" s="71" t="s">
        <v>196</v>
      </c>
      <c r="B71" s="71" t="s">
        <v>217</v>
      </c>
      <c r="C71" s="71" t="s">
        <v>39</v>
      </c>
      <c r="D71" s="72" t="s">
        <v>16</v>
      </c>
      <c r="E71" s="71" t="s">
        <v>40</v>
      </c>
      <c r="F71" s="71" t="s">
        <v>218</v>
      </c>
      <c r="G71" s="71" t="s">
        <v>219</v>
      </c>
      <c r="H71" s="71" t="s">
        <v>220</v>
      </c>
    </row>
    <row r="72" spans="1:8" ht="28.05" customHeight="1" x14ac:dyDescent="0.3">
      <c r="A72" s="73" t="s">
        <v>221</v>
      </c>
      <c r="B72" s="74"/>
      <c r="C72" s="74"/>
      <c r="D72" s="74"/>
      <c r="E72" s="74"/>
      <c r="F72" s="74"/>
      <c r="G72" s="74"/>
      <c r="H72" s="74"/>
    </row>
    <row r="73" spans="1:8" ht="24" customHeight="1" x14ac:dyDescent="0.3">
      <c r="A73" s="75" t="s">
        <v>222</v>
      </c>
      <c r="B73" s="76"/>
      <c r="C73" s="76"/>
      <c r="D73" s="76"/>
      <c r="E73" s="76"/>
      <c r="F73" s="76"/>
      <c r="G73" s="76"/>
      <c r="H73" s="76"/>
    </row>
    <row r="74" spans="1:8" ht="42" customHeight="1" x14ac:dyDescent="0.3">
      <c r="A74" s="77" t="s">
        <v>223</v>
      </c>
      <c r="B74" s="77"/>
      <c r="C74" s="77"/>
      <c r="D74" s="77"/>
      <c r="E74" s="77" t="s">
        <v>70</v>
      </c>
      <c r="F74" s="78" t="s">
        <v>224</v>
      </c>
      <c r="G74" s="77"/>
      <c r="H74" s="77" t="s">
        <v>225</v>
      </c>
    </row>
    <row r="75" spans="1:8" ht="42" customHeight="1" x14ac:dyDescent="0.3">
      <c r="A75" s="77" t="s">
        <v>226</v>
      </c>
      <c r="B75" s="77"/>
      <c r="C75" s="77"/>
      <c r="D75" s="77"/>
      <c r="E75" s="77" t="s">
        <v>70</v>
      </c>
      <c r="F75" s="78" t="s">
        <v>227</v>
      </c>
      <c r="G75" s="77"/>
      <c r="H75" s="77" t="s">
        <v>228</v>
      </c>
    </row>
    <row r="76" spans="1:8" ht="42" customHeight="1" x14ac:dyDescent="0.3">
      <c r="A76" s="77" t="s">
        <v>229</v>
      </c>
      <c r="B76" s="77"/>
      <c r="C76" s="77"/>
      <c r="D76" s="77"/>
      <c r="E76" s="77" t="s">
        <v>70</v>
      </c>
      <c r="F76" s="78" t="s">
        <v>230</v>
      </c>
      <c r="G76" s="77"/>
      <c r="H76" s="77" t="s">
        <v>231</v>
      </c>
    </row>
    <row r="77" spans="1:8" ht="6" customHeight="1" x14ac:dyDescent="0.3">
      <c r="A77" s="7"/>
      <c r="B77" s="7"/>
      <c r="C77" s="7"/>
      <c r="D77" s="7"/>
      <c r="E77" s="7"/>
      <c r="F77" s="7"/>
      <c r="G77" s="7"/>
      <c r="H77" s="7"/>
    </row>
    <row r="78" spans="1:8" ht="34.950000000000003" customHeight="1" x14ac:dyDescent="0.35">
      <c r="A78" s="79" t="s">
        <v>232</v>
      </c>
      <c r="B78" s="80"/>
      <c r="C78" s="80"/>
      <c r="D78" s="80"/>
      <c r="E78" s="80"/>
      <c r="F78" s="80"/>
      <c r="G78" s="80"/>
      <c r="H78" s="80"/>
    </row>
    <row r="79" spans="1:8" ht="22.05" customHeight="1" x14ac:dyDescent="0.3">
      <c r="A79" s="81" t="s">
        <v>233</v>
      </c>
      <c r="B79" s="82"/>
      <c r="C79" s="82"/>
      <c r="D79" s="82"/>
      <c r="E79" s="82"/>
      <c r="F79" s="82"/>
      <c r="G79" s="82"/>
      <c r="H79" s="82"/>
    </row>
    <row r="80" spans="1:8" ht="48" customHeight="1" x14ac:dyDescent="0.3">
      <c r="A80" s="83" t="s">
        <v>234</v>
      </c>
      <c r="B80" s="83" t="s">
        <v>235</v>
      </c>
      <c r="C80" s="83" t="s">
        <v>198</v>
      </c>
      <c r="D80" s="83" t="s">
        <v>45</v>
      </c>
      <c r="E80" s="83" t="s">
        <v>236</v>
      </c>
      <c r="F80" s="83" t="s">
        <v>237</v>
      </c>
      <c r="G80" s="83" t="s">
        <v>238</v>
      </c>
      <c r="H80" s="83" t="s">
        <v>239</v>
      </c>
    </row>
    <row r="81" spans="1:8" ht="48" customHeight="1" x14ac:dyDescent="0.3">
      <c r="A81" s="83" t="s">
        <v>234</v>
      </c>
      <c r="B81" s="83" t="s">
        <v>240</v>
      </c>
      <c r="C81" s="83" t="s">
        <v>56</v>
      </c>
      <c r="D81" s="84" t="s">
        <v>16</v>
      </c>
      <c r="E81" s="83" t="s">
        <v>209</v>
      </c>
      <c r="F81" s="83" t="s">
        <v>241</v>
      </c>
      <c r="G81" s="83" t="s">
        <v>242</v>
      </c>
      <c r="H81" s="83" t="s">
        <v>243</v>
      </c>
    </row>
    <row r="82" spans="1:8" ht="48" customHeight="1" x14ac:dyDescent="0.3">
      <c r="A82" s="83" t="s">
        <v>234</v>
      </c>
      <c r="B82" s="83" t="s">
        <v>244</v>
      </c>
      <c r="C82" s="83" t="s">
        <v>56</v>
      </c>
      <c r="D82" s="84" t="s">
        <v>16</v>
      </c>
      <c r="E82" s="83" t="s">
        <v>209</v>
      </c>
      <c r="F82" s="83" t="s">
        <v>245</v>
      </c>
      <c r="G82" s="83" t="s">
        <v>246</v>
      </c>
      <c r="H82" s="83" t="s">
        <v>247</v>
      </c>
    </row>
    <row r="83" spans="1:8" ht="48" customHeight="1" x14ac:dyDescent="0.3">
      <c r="A83" s="83" t="s">
        <v>234</v>
      </c>
      <c r="B83" s="83" t="s">
        <v>248</v>
      </c>
      <c r="C83" s="83" t="s">
        <v>15</v>
      </c>
      <c r="D83" s="83" t="s">
        <v>45</v>
      </c>
      <c r="E83" s="83" t="s">
        <v>17</v>
      </c>
      <c r="F83" s="83" t="s">
        <v>249</v>
      </c>
      <c r="G83" s="83" t="s">
        <v>250</v>
      </c>
      <c r="H83" s="83" t="s">
        <v>251</v>
      </c>
    </row>
    <row r="84" spans="1:8" ht="48" customHeight="1" x14ac:dyDescent="0.3">
      <c r="A84" s="83" t="s">
        <v>234</v>
      </c>
      <c r="B84" s="83" t="s">
        <v>252</v>
      </c>
      <c r="C84" s="83" t="s">
        <v>56</v>
      </c>
      <c r="D84" s="83" t="s">
        <v>45</v>
      </c>
      <c r="E84" s="83" t="s">
        <v>209</v>
      </c>
      <c r="F84" s="83" t="s">
        <v>253</v>
      </c>
      <c r="G84" s="83" t="s">
        <v>254</v>
      </c>
      <c r="H84" s="83" t="s">
        <v>255</v>
      </c>
    </row>
    <row r="85" spans="1:8" ht="36" customHeight="1" x14ac:dyDescent="0.3">
      <c r="A85" s="85" t="s">
        <v>256</v>
      </c>
      <c r="B85" s="86"/>
      <c r="C85" s="86"/>
      <c r="D85" s="86"/>
      <c r="E85" s="86"/>
      <c r="F85" s="86"/>
      <c r="G85" s="86"/>
      <c r="H85" s="86"/>
    </row>
    <row r="86" spans="1:8" ht="24" customHeight="1" x14ac:dyDescent="0.3">
      <c r="A86" s="87" t="s">
        <v>257</v>
      </c>
      <c r="B86" s="88"/>
      <c r="C86" s="88"/>
      <c r="D86" s="88"/>
      <c r="E86" s="88"/>
      <c r="F86" s="88"/>
      <c r="G86" s="88"/>
      <c r="H86" s="88"/>
    </row>
    <row r="87" spans="1:8" ht="42" customHeight="1" x14ac:dyDescent="0.3">
      <c r="A87" s="89" t="s">
        <v>258</v>
      </c>
      <c r="B87" s="89"/>
      <c r="C87" s="89"/>
      <c r="D87" s="89"/>
      <c r="E87" s="89" t="s">
        <v>70</v>
      </c>
      <c r="F87" s="90" t="s">
        <v>259</v>
      </c>
      <c r="G87" s="89"/>
      <c r="H87" s="89" t="s">
        <v>260</v>
      </c>
    </row>
    <row r="88" spans="1:8" ht="42" customHeight="1" x14ac:dyDescent="0.3">
      <c r="A88" s="89" t="s">
        <v>261</v>
      </c>
      <c r="B88" s="89"/>
      <c r="C88" s="89"/>
      <c r="D88" s="89"/>
      <c r="E88" s="89" t="s">
        <v>70</v>
      </c>
      <c r="F88" s="90" t="s">
        <v>262</v>
      </c>
      <c r="G88" s="89"/>
      <c r="H88" s="89" t="s">
        <v>263</v>
      </c>
    </row>
    <row r="89" spans="1:8" ht="42" customHeight="1" x14ac:dyDescent="0.3">
      <c r="A89" s="89" t="s">
        <v>264</v>
      </c>
      <c r="B89" s="89"/>
      <c r="C89" s="89"/>
      <c r="D89" s="89"/>
      <c r="E89" s="89" t="s">
        <v>70</v>
      </c>
      <c r="F89" s="90" t="s">
        <v>265</v>
      </c>
      <c r="G89" s="89"/>
      <c r="H89" s="89" t="s">
        <v>266</v>
      </c>
    </row>
    <row r="90" spans="1:8" ht="6" customHeight="1" x14ac:dyDescent="0.3">
      <c r="A90" s="7"/>
      <c r="B90" s="7"/>
      <c r="C90" s="7"/>
      <c r="D90" s="7"/>
      <c r="E90" s="7"/>
      <c r="F90" s="7"/>
      <c r="G90" s="7"/>
      <c r="H90" s="7"/>
    </row>
    <row r="91" spans="1:8" ht="34.950000000000003" customHeight="1" x14ac:dyDescent="0.35">
      <c r="A91" s="91" t="s">
        <v>267</v>
      </c>
      <c r="B91" s="92"/>
      <c r="C91" s="92"/>
      <c r="D91" s="92"/>
      <c r="E91" s="92"/>
      <c r="F91" s="92"/>
      <c r="G91" s="92"/>
      <c r="H91" s="92"/>
    </row>
    <row r="92" spans="1:8" ht="22.05" customHeight="1" x14ac:dyDescent="0.3">
      <c r="A92" s="93" t="s">
        <v>268</v>
      </c>
      <c r="B92" s="94"/>
      <c r="C92" s="94"/>
      <c r="D92" s="94"/>
      <c r="E92" s="94"/>
      <c r="F92" s="94"/>
      <c r="G92" s="94"/>
      <c r="H92" s="94"/>
    </row>
    <row r="93" spans="1:8" ht="48" customHeight="1" x14ac:dyDescent="0.3">
      <c r="A93" s="95" t="s">
        <v>269</v>
      </c>
      <c r="B93" s="95" t="s">
        <v>270</v>
      </c>
      <c r="C93" s="95" t="s">
        <v>63</v>
      </c>
      <c r="D93" s="96" t="s">
        <v>16</v>
      </c>
      <c r="E93" s="95" t="s">
        <v>271</v>
      </c>
      <c r="F93" s="95" t="s">
        <v>272</v>
      </c>
      <c r="G93" s="95" t="s">
        <v>273</v>
      </c>
      <c r="H93" s="95" t="s">
        <v>274</v>
      </c>
    </row>
    <row r="94" spans="1:8" ht="48" customHeight="1" x14ac:dyDescent="0.3">
      <c r="A94" s="97" t="s">
        <v>269</v>
      </c>
      <c r="B94" s="97" t="s">
        <v>275</v>
      </c>
      <c r="C94" s="95" t="s">
        <v>39</v>
      </c>
      <c r="D94" s="95" t="s">
        <v>276</v>
      </c>
      <c r="E94" s="95" t="s">
        <v>277</v>
      </c>
      <c r="F94" s="95" t="s">
        <v>278</v>
      </c>
      <c r="G94" s="95" t="s">
        <v>279</v>
      </c>
      <c r="H94" s="95" t="s">
        <v>280</v>
      </c>
    </row>
    <row r="95" spans="1:8" ht="48" customHeight="1" x14ac:dyDescent="0.3">
      <c r="A95" s="97" t="s">
        <v>269</v>
      </c>
      <c r="B95" s="97" t="s">
        <v>281</v>
      </c>
      <c r="C95" s="95" t="s">
        <v>39</v>
      </c>
      <c r="D95" s="95" t="s">
        <v>276</v>
      </c>
      <c r="E95" s="95" t="s">
        <v>277</v>
      </c>
      <c r="F95" s="95" t="s">
        <v>282</v>
      </c>
      <c r="G95" s="95" t="s">
        <v>279</v>
      </c>
      <c r="H95" s="95" t="s">
        <v>283</v>
      </c>
    </row>
    <row r="96" spans="1:8" ht="48" customHeight="1" x14ac:dyDescent="0.3">
      <c r="A96" s="95" t="s">
        <v>269</v>
      </c>
      <c r="B96" s="95" t="s">
        <v>284</v>
      </c>
      <c r="C96" s="95" t="s">
        <v>39</v>
      </c>
      <c r="D96" s="96" t="s">
        <v>16</v>
      </c>
      <c r="E96" s="95" t="s">
        <v>40</v>
      </c>
      <c r="F96" s="95" t="s">
        <v>285</v>
      </c>
      <c r="G96" s="95" t="s">
        <v>286</v>
      </c>
      <c r="H96" s="95" t="s">
        <v>287</v>
      </c>
    </row>
    <row r="97" spans="1:8" ht="48" customHeight="1" x14ac:dyDescent="0.3">
      <c r="A97" s="95" t="s">
        <v>269</v>
      </c>
      <c r="B97" s="95" t="s">
        <v>288</v>
      </c>
      <c r="C97" s="95" t="s">
        <v>198</v>
      </c>
      <c r="D97" s="95" t="s">
        <v>45</v>
      </c>
      <c r="E97" s="95" t="s">
        <v>236</v>
      </c>
      <c r="F97" s="95" t="s">
        <v>289</v>
      </c>
      <c r="G97" s="95" t="s">
        <v>290</v>
      </c>
      <c r="H97" s="95" t="s">
        <v>291</v>
      </c>
    </row>
    <row r="98" spans="1:8" ht="48" customHeight="1" x14ac:dyDescent="0.3">
      <c r="A98" s="95" t="s">
        <v>269</v>
      </c>
      <c r="B98" s="95" t="s">
        <v>292</v>
      </c>
      <c r="C98" s="95" t="s">
        <v>39</v>
      </c>
      <c r="D98" s="96" t="s">
        <v>16</v>
      </c>
      <c r="E98" s="95" t="s">
        <v>40</v>
      </c>
      <c r="F98" s="95" t="s">
        <v>293</v>
      </c>
      <c r="G98" s="95" t="s">
        <v>294</v>
      </c>
      <c r="H98" s="95" t="s">
        <v>295</v>
      </c>
    </row>
    <row r="99" spans="1:8" ht="48" customHeight="1" x14ac:dyDescent="0.3">
      <c r="A99" s="95" t="s">
        <v>269</v>
      </c>
      <c r="B99" s="95" t="s">
        <v>296</v>
      </c>
      <c r="C99" s="95" t="s">
        <v>15</v>
      </c>
      <c r="D99" s="96" t="s">
        <v>16</v>
      </c>
      <c r="E99" s="95" t="s">
        <v>17</v>
      </c>
      <c r="F99" s="95" t="s">
        <v>297</v>
      </c>
      <c r="G99" s="95" t="s">
        <v>298</v>
      </c>
      <c r="H99" s="95" t="s">
        <v>299</v>
      </c>
    </row>
    <row r="100" spans="1:8" ht="30" customHeight="1" x14ac:dyDescent="0.3">
      <c r="A100" s="98" t="s">
        <v>300</v>
      </c>
      <c r="B100" s="99"/>
      <c r="C100" s="99"/>
      <c r="D100" s="99"/>
      <c r="E100" s="99"/>
      <c r="F100" s="99"/>
      <c r="G100" s="99"/>
      <c r="H100" s="99"/>
    </row>
    <row r="101" spans="1:8" ht="24" customHeight="1" x14ac:dyDescent="0.3">
      <c r="A101" s="100" t="s">
        <v>301</v>
      </c>
      <c r="B101" s="101"/>
      <c r="C101" s="101"/>
      <c r="D101" s="101"/>
      <c r="E101" s="101"/>
      <c r="F101" s="101"/>
      <c r="G101" s="101"/>
      <c r="H101" s="101"/>
    </row>
    <row r="102" spans="1:8" ht="42" customHeight="1" x14ac:dyDescent="0.3">
      <c r="A102" s="102" t="s">
        <v>302</v>
      </c>
      <c r="B102" s="102"/>
      <c r="C102" s="102"/>
      <c r="D102" s="102"/>
      <c r="E102" s="102" t="s">
        <v>70</v>
      </c>
      <c r="F102" s="103" t="s">
        <v>303</v>
      </c>
      <c r="G102" s="102"/>
      <c r="H102" s="102" t="s">
        <v>304</v>
      </c>
    </row>
    <row r="103" spans="1:8" ht="42" customHeight="1" x14ac:dyDescent="0.3">
      <c r="A103" s="102" t="s">
        <v>305</v>
      </c>
      <c r="B103" s="102"/>
      <c r="C103" s="102"/>
      <c r="D103" s="102"/>
      <c r="E103" s="102" t="s">
        <v>70</v>
      </c>
      <c r="F103" s="103" t="s">
        <v>306</v>
      </c>
      <c r="G103" s="102"/>
      <c r="H103" s="102" t="s">
        <v>307</v>
      </c>
    </row>
    <row r="104" spans="1:8" ht="42" customHeight="1" x14ac:dyDescent="0.3">
      <c r="A104" s="102" t="s">
        <v>308</v>
      </c>
      <c r="B104" s="102"/>
      <c r="C104" s="102"/>
      <c r="D104" s="102"/>
      <c r="E104" s="102" t="s">
        <v>70</v>
      </c>
      <c r="F104" s="103" t="s">
        <v>309</v>
      </c>
      <c r="G104" s="102"/>
      <c r="H104" s="102" t="s">
        <v>310</v>
      </c>
    </row>
    <row r="105" spans="1:8" ht="42" customHeight="1" x14ac:dyDescent="0.3">
      <c r="A105" s="102" t="s">
        <v>311</v>
      </c>
      <c r="B105" s="102"/>
      <c r="C105" s="102"/>
      <c r="D105" s="102"/>
      <c r="E105" s="102" t="s">
        <v>70</v>
      </c>
      <c r="F105" s="103" t="s">
        <v>312</v>
      </c>
      <c r="G105" s="102"/>
      <c r="H105" s="102" t="s">
        <v>313</v>
      </c>
    </row>
    <row r="106" spans="1:8" ht="6" customHeight="1" x14ac:dyDescent="0.3">
      <c r="A106" s="7"/>
      <c r="B106" s="7"/>
      <c r="C106" s="7"/>
      <c r="D106" s="7"/>
      <c r="E106" s="7"/>
      <c r="F106" s="7"/>
      <c r="G106" s="7"/>
      <c r="H106" s="7"/>
    </row>
    <row r="107" spans="1:8" ht="6" customHeight="1" x14ac:dyDescent="0.3">
      <c r="A107" s="7"/>
      <c r="B107" s="7"/>
      <c r="C107" s="7"/>
      <c r="D107" s="7"/>
      <c r="E107" s="7"/>
      <c r="F107" s="7"/>
      <c r="G107" s="7"/>
      <c r="H107" s="7"/>
    </row>
    <row r="108" spans="1:8" ht="34.950000000000003" customHeight="1" x14ac:dyDescent="0.35">
      <c r="A108" s="104" t="s">
        <v>314</v>
      </c>
      <c r="B108" s="105"/>
      <c r="C108" s="105"/>
      <c r="D108" s="105"/>
      <c r="E108" s="105"/>
      <c r="F108" s="105"/>
      <c r="G108" s="105"/>
      <c r="H108" s="105"/>
    </row>
    <row r="109" spans="1:8" ht="22.05" customHeight="1" x14ac:dyDescent="0.3">
      <c r="A109" s="106" t="s">
        <v>315</v>
      </c>
      <c r="B109" s="107"/>
      <c r="C109" s="107"/>
      <c r="D109" s="107"/>
      <c r="E109" s="107"/>
      <c r="F109" s="107"/>
      <c r="G109" s="107"/>
      <c r="H109" s="107"/>
    </row>
    <row r="110" spans="1:8" ht="42" customHeight="1" x14ac:dyDescent="0.3">
      <c r="A110" s="108" t="s">
        <v>316</v>
      </c>
      <c r="B110" s="108" t="s">
        <v>317</v>
      </c>
      <c r="C110" s="108" t="s">
        <v>318</v>
      </c>
      <c r="D110" s="108" t="s">
        <v>27</v>
      </c>
      <c r="E110" s="108" t="s">
        <v>319</v>
      </c>
      <c r="F110" s="108" t="s">
        <v>320</v>
      </c>
      <c r="G110" s="108" t="s">
        <v>321</v>
      </c>
      <c r="H110" s="108" t="s">
        <v>322</v>
      </c>
    </row>
    <row r="111" spans="1:8" ht="42" customHeight="1" x14ac:dyDescent="0.3">
      <c r="A111" s="108" t="s">
        <v>316</v>
      </c>
      <c r="B111" s="108" t="s">
        <v>323</v>
      </c>
      <c r="C111" s="108" t="s">
        <v>324</v>
      </c>
      <c r="D111" s="108" t="s">
        <v>27</v>
      </c>
      <c r="E111" s="108" t="s">
        <v>325</v>
      </c>
      <c r="F111" s="108" t="s">
        <v>326</v>
      </c>
      <c r="G111" s="108" t="s">
        <v>327</v>
      </c>
      <c r="H111" s="108" t="s">
        <v>328</v>
      </c>
    </row>
    <row r="112" spans="1:8" ht="4.05" customHeight="1" x14ac:dyDescent="0.3">
      <c r="A112" s="7"/>
      <c r="B112" s="7"/>
      <c r="C112" s="7"/>
      <c r="D112" s="7"/>
      <c r="E112" s="7"/>
      <c r="F112" s="7"/>
      <c r="G112" s="7"/>
      <c r="H112" s="7"/>
    </row>
    <row r="113" spans="1:8" ht="28.05" customHeight="1" x14ac:dyDescent="0.3">
      <c r="A113" s="110" t="s">
        <v>329</v>
      </c>
      <c r="B113" s="111"/>
      <c r="C113" s="111"/>
      <c r="D113" s="111"/>
      <c r="E113" s="111"/>
      <c r="F113" s="111"/>
      <c r="G113" s="111"/>
      <c r="H113" s="111"/>
    </row>
    <row r="114" spans="1:8" ht="24" customHeight="1" x14ac:dyDescent="0.3">
      <c r="A114" s="112" t="s">
        <v>330</v>
      </c>
      <c r="B114" s="112" t="s">
        <v>331</v>
      </c>
      <c r="C114" s="112" t="s">
        <v>332</v>
      </c>
      <c r="D114" s="112" t="s">
        <v>333</v>
      </c>
      <c r="E114" s="117" t="s">
        <v>346</v>
      </c>
      <c r="F114" s="115"/>
      <c r="G114" s="115"/>
      <c r="H114" s="115"/>
    </row>
    <row r="115" spans="1:8" ht="40.049999999999997" customHeight="1" x14ac:dyDescent="0.3">
      <c r="A115" s="114" t="s">
        <v>334</v>
      </c>
      <c r="B115" s="113" t="s">
        <v>335</v>
      </c>
      <c r="C115" s="113" t="s">
        <v>336</v>
      </c>
      <c r="D115" s="113" t="s">
        <v>337</v>
      </c>
      <c r="E115" s="116"/>
      <c r="F115" s="116"/>
      <c r="G115" s="116"/>
      <c r="H115" s="116"/>
    </row>
    <row r="116" spans="1:8" ht="40.049999999999997" customHeight="1" x14ac:dyDescent="0.3">
      <c r="A116" s="114" t="s">
        <v>338</v>
      </c>
      <c r="B116" s="113" t="s">
        <v>339</v>
      </c>
      <c r="C116" s="113" t="s">
        <v>340</v>
      </c>
      <c r="D116" s="113" t="s">
        <v>341</v>
      </c>
      <c r="E116" s="116"/>
      <c r="F116" s="116"/>
      <c r="G116" s="116"/>
      <c r="H116" s="116"/>
    </row>
    <row r="117" spans="1:8" ht="40.049999999999997" customHeight="1" x14ac:dyDescent="0.3">
      <c r="A117" s="114" t="s">
        <v>342</v>
      </c>
      <c r="B117" s="113" t="s">
        <v>343</v>
      </c>
      <c r="C117" s="113" t="s">
        <v>344</v>
      </c>
      <c r="D117" s="113" t="s">
        <v>345</v>
      </c>
      <c r="E117" s="116"/>
      <c r="F117" s="116"/>
      <c r="G117" s="116"/>
      <c r="H117" s="116"/>
    </row>
    <row r="118" spans="1:8" ht="4.05" customHeight="1" x14ac:dyDescent="0.3">
      <c r="A118" s="7"/>
      <c r="B118" s="7"/>
      <c r="C118" s="7"/>
      <c r="D118" s="7"/>
      <c r="E118" s="7"/>
      <c r="F118" s="7"/>
      <c r="G118" s="7"/>
      <c r="H118" s="7"/>
    </row>
    <row r="119" spans="1:8" ht="30" customHeight="1" x14ac:dyDescent="0.3">
      <c r="A119" s="118" t="s">
        <v>347</v>
      </c>
      <c r="B119" s="119"/>
      <c r="C119" s="119"/>
      <c r="D119" s="119"/>
      <c r="E119" s="119"/>
      <c r="F119" s="119"/>
      <c r="G119" s="119"/>
      <c r="H119" s="119"/>
    </row>
    <row r="120" spans="1:8" ht="30" customHeight="1" x14ac:dyDescent="0.3">
      <c r="A120" s="120" t="s">
        <v>348</v>
      </c>
      <c r="B120" s="121"/>
      <c r="C120" s="121"/>
      <c r="D120" s="121"/>
      <c r="E120" s="121"/>
      <c r="F120" s="121"/>
      <c r="G120" s="121"/>
      <c r="H120" s="121"/>
    </row>
    <row r="121" spans="1:8" ht="30" customHeight="1" x14ac:dyDescent="0.3">
      <c r="A121" s="123" t="s">
        <v>349</v>
      </c>
      <c r="B121" s="122"/>
      <c r="C121" s="122"/>
      <c r="D121" s="122"/>
      <c r="E121" s="122"/>
      <c r="F121" s="122"/>
      <c r="G121" s="122"/>
      <c r="H121" s="122"/>
    </row>
    <row r="122" spans="1:8" ht="30" customHeight="1" x14ac:dyDescent="0.3">
      <c r="A122" s="123" t="s">
        <v>350</v>
      </c>
      <c r="B122" s="122"/>
      <c r="C122" s="122"/>
      <c r="D122" s="122"/>
      <c r="E122" s="122"/>
      <c r="F122" s="122"/>
      <c r="G122" s="122"/>
      <c r="H122" s="122"/>
    </row>
    <row r="123" spans="1:8" ht="34.950000000000003" customHeight="1" x14ac:dyDescent="0.3">
      <c r="A123" s="5" t="s">
        <v>351</v>
      </c>
      <c r="B123" s="3"/>
      <c r="C123" s="3"/>
      <c r="D123" s="3"/>
      <c r="E123" s="3"/>
      <c r="F123" s="3"/>
      <c r="G123" s="3"/>
      <c r="H123" s="3"/>
    </row>
  </sheetData>
  <mergeCells count="45">
    <mergeCell ref="A121:H121"/>
    <mergeCell ref="A122:H122"/>
    <mergeCell ref="A123:H123"/>
    <mergeCell ref="E114:H114"/>
    <mergeCell ref="E115:H115"/>
    <mergeCell ref="E116:H116"/>
    <mergeCell ref="E117:H117"/>
    <mergeCell ref="A119:H119"/>
    <mergeCell ref="A120:H120"/>
    <mergeCell ref="A92:H92"/>
    <mergeCell ref="A100:H100"/>
    <mergeCell ref="A101:H101"/>
    <mergeCell ref="A108:H108"/>
    <mergeCell ref="A109:H109"/>
    <mergeCell ref="A113:H113"/>
    <mergeCell ref="A73:H73"/>
    <mergeCell ref="A78:H78"/>
    <mergeCell ref="A79:H79"/>
    <mergeCell ref="A85:H85"/>
    <mergeCell ref="A86:H86"/>
    <mergeCell ref="A91:H91"/>
    <mergeCell ref="A53:H53"/>
    <mergeCell ref="A59:H59"/>
    <mergeCell ref="A60:H60"/>
    <mergeCell ref="A65:H65"/>
    <mergeCell ref="A66:H66"/>
    <mergeCell ref="A72:H72"/>
    <mergeCell ref="A34:H34"/>
    <mergeCell ref="A39:H39"/>
    <mergeCell ref="A40:H40"/>
    <mergeCell ref="A46:H46"/>
    <mergeCell ref="A47:H47"/>
    <mergeCell ref="A52:H52"/>
    <mergeCell ref="A11:H11"/>
    <mergeCell ref="A12:H12"/>
    <mergeCell ref="A20:H20"/>
    <mergeCell ref="A27:H27"/>
    <mergeCell ref="A28:H28"/>
    <mergeCell ref="A33:H33"/>
    <mergeCell ref="A1:H1"/>
    <mergeCell ref="A2:H2"/>
    <mergeCell ref="A3:H3"/>
    <mergeCell ref="A6:H6"/>
    <mergeCell ref="A7:H7"/>
    <mergeCell ref="A9:H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B9E-4CCC-4DEA-885B-6967A2D5D2A1}">
  <dimension ref="A4:L28"/>
  <sheetViews>
    <sheetView workbookViewId="0">
      <pane ySplit="4" topLeftCell="A5" activePane="bottomLeft" state="frozen"/>
      <selection pane="bottomLeft" sqref="A1:H1"/>
    </sheetView>
  </sheetViews>
  <sheetFormatPr defaultRowHeight="14.4" x14ac:dyDescent="0.3"/>
  <sheetData>
    <row r="4" spans="1:12" x14ac:dyDescent="0.3">
      <c r="A4" s="141"/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3"/>
    </row>
    <row r="5" spans="1:12" ht="85.05" customHeight="1" x14ac:dyDescent="0.3">
      <c r="A5" s="144" t="s">
        <v>352</v>
      </c>
      <c r="B5" s="145" t="s">
        <v>353</v>
      </c>
      <c r="C5" s="146" t="s">
        <v>354</v>
      </c>
      <c r="D5" s="146" t="s">
        <v>355</v>
      </c>
      <c r="E5" s="146" t="s">
        <v>356</v>
      </c>
      <c r="F5" s="146" t="s">
        <v>357</v>
      </c>
      <c r="G5" s="146" t="s">
        <v>358</v>
      </c>
      <c r="H5" s="146" t="s">
        <v>359</v>
      </c>
      <c r="I5" s="146" t="s">
        <v>360</v>
      </c>
      <c r="J5" s="146" t="s">
        <v>361</v>
      </c>
      <c r="K5" s="146" t="s">
        <v>362</v>
      </c>
      <c r="L5" s="147" t="s">
        <v>363</v>
      </c>
    </row>
    <row r="6" spans="1:12" ht="85.05" customHeight="1" x14ac:dyDescent="0.3">
      <c r="A6" s="148" t="s">
        <v>364</v>
      </c>
      <c r="B6" s="149" t="s">
        <v>353</v>
      </c>
      <c r="C6" s="150" t="s">
        <v>365</v>
      </c>
      <c r="D6" s="150" t="s">
        <v>366</v>
      </c>
      <c r="E6" s="150" t="s">
        <v>356</v>
      </c>
      <c r="F6" s="150" t="s">
        <v>357</v>
      </c>
      <c r="G6" s="150" t="s">
        <v>367</v>
      </c>
      <c r="H6" s="150" t="s">
        <v>368</v>
      </c>
      <c r="I6" s="150" t="s">
        <v>369</v>
      </c>
      <c r="J6" s="150" t="s">
        <v>370</v>
      </c>
      <c r="K6" s="150" t="s">
        <v>371</v>
      </c>
      <c r="L6" s="151" t="s">
        <v>372</v>
      </c>
    </row>
    <row r="7" spans="1:12" ht="85.05" customHeight="1" x14ac:dyDescent="0.3">
      <c r="A7" s="152" t="s">
        <v>373</v>
      </c>
      <c r="B7" s="153" t="s">
        <v>374</v>
      </c>
      <c r="C7" s="146" t="s">
        <v>375</v>
      </c>
      <c r="D7" s="146" t="s">
        <v>376</v>
      </c>
      <c r="E7" s="146" t="s">
        <v>377</v>
      </c>
      <c r="F7" s="146" t="s">
        <v>378</v>
      </c>
      <c r="G7" s="146" t="s">
        <v>379</v>
      </c>
      <c r="H7" s="146" t="s">
        <v>380</v>
      </c>
      <c r="I7" s="146" t="s">
        <v>381</v>
      </c>
      <c r="J7" s="146" t="s">
        <v>382</v>
      </c>
      <c r="K7" s="146" t="s">
        <v>383</v>
      </c>
      <c r="L7" s="147" t="s">
        <v>384</v>
      </c>
    </row>
    <row r="8" spans="1:12" ht="85.05" customHeight="1" x14ac:dyDescent="0.3">
      <c r="A8" s="154" t="s">
        <v>385</v>
      </c>
      <c r="B8" s="155" t="s">
        <v>374</v>
      </c>
      <c r="C8" s="150" t="s">
        <v>386</v>
      </c>
      <c r="D8" s="150" t="s">
        <v>387</v>
      </c>
      <c r="E8" s="150" t="s">
        <v>377</v>
      </c>
      <c r="F8" s="150" t="s">
        <v>378</v>
      </c>
      <c r="G8" s="150" t="s">
        <v>379</v>
      </c>
      <c r="H8" s="150" t="s">
        <v>388</v>
      </c>
      <c r="I8" s="150" t="s">
        <v>389</v>
      </c>
      <c r="J8" s="150" t="s">
        <v>390</v>
      </c>
      <c r="K8" s="150" t="s">
        <v>391</v>
      </c>
      <c r="L8" s="151" t="s">
        <v>392</v>
      </c>
    </row>
    <row r="9" spans="1:12" ht="85.05" customHeight="1" x14ac:dyDescent="0.3">
      <c r="A9" s="156" t="s">
        <v>393</v>
      </c>
      <c r="B9" s="157" t="s">
        <v>394</v>
      </c>
      <c r="C9" s="146" t="s">
        <v>395</v>
      </c>
      <c r="D9" s="146" t="s">
        <v>396</v>
      </c>
      <c r="E9" s="146" t="s">
        <v>397</v>
      </c>
      <c r="F9" s="146" t="s">
        <v>378</v>
      </c>
      <c r="G9" s="146" t="s">
        <v>379</v>
      </c>
      <c r="H9" s="146" t="s">
        <v>398</v>
      </c>
      <c r="I9" s="146" t="s">
        <v>399</v>
      </c>
      <c r="J9" s="146" t="s">
        <v>400</v>
      </c>
      <c r="K9" s="146" t="s">
        <v>401</v>
      </c>
      <c r="L9" s="147" t="s">
        <v>402</v>
      </c>
    </row>
    <row r="10" spans="1:12" ht="85.05" customHeight="1" x14ac:dyDescent="0.3">
      <c r="A10" s="158" t="s">
        <v>403</v>
      </c>
      <c r="B10" s="159" t="s">
        <v>404</v>
      </c>
      <c r="C10" s="150" t="s">
        <v>405</v>
      </c>
      <c r="D10" s="150" t="s">
        <v>406</v>
      </c>
      <c r="E10" s="150" t="s">
        <v>407</v>
      </c>
      <c r="F10" s="150" t="s">
        <v>408</v>
      </c>
      <c r="G10" s="150" t="s">
        <v>379</v>
      </c>
      <c r="H10" s="150" t="s">
        <v>409</v>
      </c>
      <c r="I10" s="150" t="s">
        <v>410</v>
      </c>
      <c r="J10" s="150" t="s">
        <v>411</v>
      </c>
      <c r="K10" s="150" t="s">
        <v>412</v>
      </c>
      <c r="L10" s="151" t="s">
        <v>413</v>
      </c>
    </row>
    <row r="11" spans="1:12" ht="85.05" customHeight="1" x14ac:dyDescent="0.3">
      <c r="A11" s="156" t="s">
        <v>414</v>
      </c>
      <c r="B11" s="157" t="s">
        <v>404</v>
      </c>
      <c r="C11" s="146" t="s">
        <v>405</v>
      </c>
      <c r="D11" s="146" t="s">
        <v>415</v>
      </c>
      <c r="E11" s="146" t="s">
        <v>407</v>
      </c>
      <c r="F11" s="146" t="s">
        <v>408</v>
      </c>
      <c r="G11" s="146" t="s">
        <v>416</v>
      </c>
      <c r="H11" s="146" t="s">
        <v>417</v>
      </c>
      <c r="I11" s="146" t="s">
        <v>418</v>
      </c>
      <c r="J11" s="146" t="s">
        <v>419</v>
      </c>
      <c r="K11" s="146" t="s">
        <v>420</v>
      </c>
      <c r="L11" s="147" t="s">
        <v>421</v>
      </c>
    </row>
    <row r="12" spans="1:12" ht="85.05" customHeight="1" x14ac:dyDescent="0.3">
      <c r="A12" s="158" t="s">
        <v>422</v>
      </c>
      <c r="B12" s="159" t="s">
        <v>404</v>
      </c>
      <c r="C12" s="150" t="s">
        <v>405</v>
      </c>
      <c r="D12" s="150" t="s">
        <v>423</v>
      </c>
      <c r="E12" s="150" t="s">
        <v>407</v>
      </c>
      <c r="F12" s="150" t="s">
        <v>424</v>
      </c>
      <c r="G12" s="150" t="s">
        <v>379</v>
      </c>
      <c r="H12" s="150" t="s">
        <v>425</v>
      </c>
      <c r="I12" s="150" t="s">
        <v>426</v>
      </c>
      <c r="J12" s="150" t="s">
        <v>427</v>
      </c>
      <c r="K12" s="150" t="s">
        <v>428</v>
      </c>
      <c r="L12" s="151" t="s">
        <v>429</v>
      </c>
    </row>
    <row r="13" spans="1:12" ht="85.05" customHeight="1" x14ac:dyDescent="0.3">
      <c r="A13" s="160" t="s">
        <v>430</v>
      </c>
      <c r="B13" s="161" t="s">
        <v>431</v>
      </c>
      <c r="C13" s="146" t="s">
        <v>432</v>
      </c>
      <c r="D13" s="146" t="s">
        <v>433</v>
      </c>
      <c r="E13" s="146" t="s">
        <v>434</v>
      </c>
      <c r="F13" s="146" t="s">
        <v>435</v>
      </c>
      <c r="G13" s="146" t="s">
        <v>436</v>
      </c>
      <c r="H13" s="146" t="s">
        <v>437</v>
      </c>
      <c r="I13" s="146" t="s">
        <v>438</v>
      </c>
      <c r="J13" s="146" t="s">
        <v>439</v>
      </c>
      <c r="K13" s="146" t="s">
        <v>440</v>
      </c>
      <c r="L13" s="147" t="s">
        <v>441</v>
      </c>
    </row>
    <row r="14" spans="1:12" ht="85.05" customHeight="1" x14ac:dyDescent="0.3">
      <c r="A14" s="162" t="s">
        <v>442</v>
      </c>
      <c r="B14" s="163" t="s">
        <v>443</v>
      </c>
      <c r="C14" s="150" t="s">
        <v>444</v>
      </c>
      <c r="D14" s="150" t="s">
        <v>445</v>
      </c>
      <c r="E14" s="150" t="s">
        <v>446</v>
      </c>
      <c r="F14" s="150" t="s">
        <v>447</v>
      </c>
      <c r="G14" s="150" t="s">
        <v>448</v>
      </c>
      <c r="H14" s="150" t="s">
        <v>449</v>
      </c>
      <c r="I14" s="150" t="s">
        <v>450</v>
      </c>
      <c r="J14" s="150" t="s">
        <v>451</v>
      </c>
      <c r="K14" s="150" t="s">
        <v>452</v>
      </c>
      <c r="L14" s="151" t="s">
        <v>453</v>
      </c>
    </row>
    <row r="15" spans="1:12" ht="85.05" customHeight="1" x14ac:dyDescent="0.3">
      <c r="A15" s="164" t="s">
        <v>454</v>
      </c>
      <c r="B15" s="165" t="s">
        <v>455</v>
      </c>
      <c r="C15" s="146" t="s">
        <v>432</v>
      </c>
      <c r="D15" s="146" t="s">
        <v>456</v>
      </c>
      <c r="E15" s="146" t="s">
        <v>457</v>
      </c>
      <c r="F15" s="146" t="s">
        <v>458</v>
      </c>
      <c r="G15" s="146" t="s">
        <v>459</v>
      </c>
      <c r="H15" s="146" t="s">
        <v>460</v>
      </c>
      <c r="I15" s="146" t="s">
        <v>461</v>
      </c>
      <c r="J15" s="146" t="s">
        <v>462</v>
      </c>
      <c r="K15" s="146" t="s">
        <v>463</v>
      </c>
      <c r="L15" s="147" t="s">
        <v>464</v>
      </c>
    </row>
    <row r="16" spans="1:12" ht="85.05" customHeight="1" x14ac:dyDescent="0.3">
      <c r="A16" s="166" t="s">
        <v>465</v>
      </c>
      <c r="B16" s="167" t="s">
        <v>466</v>
      </c>
      <c r="C16" s="150" t="s">
        <v>467</v>
      </c>
      <c r="D16" s="150" t="s">
        <v>468</v>
      </c>
      <c r="E16" s="150" t="s">
        <v>407</v>
      </c>
      <c r="F16" s="150" t="s">
        <v>469</v>
      </c>
      <c r="G16" s="150" t="s">
        <v>470</v>
      </c>
      <c r="H16" s="150" t="s">
        <v>471</v>
      </c>
      <c r="I16" s="150" t="s">
        <v>472</v>
      </c>
      <c r="J16" s="150" t="s">
        <v>473</v>
      </c>
      <c r="K16" s="150" t="s">
        <v>474</v>
      </c>
      <c r="L16" s="151" t="s">
        <v>475</v>
      </c>
    </row>
    <row r="17" spans="1:12" ht="85.05" customHeight="1" x14ac:dyDescent="0.3">
      <c r="A17" s="152" t="s">
        <v>476</v>
      </c>
      <c r="B17" s="153" t="s">
        <v>374</v>
      </c>
      <c r="C17" s="146" t="s">
        <v>386</v>
      </c>
      <c r="D17" s="146" t="s">
        <v>477</v>
      </c>
      <c r="E17" s="146" t="s">
        <v>478</v>
      </c>
      <c r="F17" s="146" t="s">
        <v>378</v>
      </c>
      <c r="G17" s="146" t="s">
        <v>367</v>
      </c>
      <c r="H17" s="146" t="s">
        <v>479</v>
      </c>
      <c r="I17" s="146" t="s">
        <v>480</v>
      </c>
      <c r="J17" s="146" t="s">
        <v>481</v>
      </c>
      <c r="K17" s="146" t="s">
        <v>482</v>
      </c>
      <c r="L17" s="147" t="s">
        <v>483</v>
      </c>
    </row>
    <row r="18" spans="1:12" ht="85.05" customHeight="1" x14ac:dyDescent="0.3">
      <c r="A18" s="154" t="s">
        <v>484</v>
      </c>
      <c r="B18" s="155" t="s">
        <v>374</v>
      </c>
      <c r="C18" s="150" t="s">
        <v>485</v>
      </c>
      <c r="D18" s="150" t="s">
        <v>486</v>
      </c>
      <c r="E18" s="150" t="s">
        <v>397</v>
      </c>
      <c r="F18" s="150" t="s">
        <v>487</v>
      </c>
      <c r="G18" s="150" t="s">
        <v>379</v>
      </c>
      <c r="H18" s="150" t="s">
        <v>488</v>
      </c>
      <c r="I18" s="150" t="s">
        <v>489</v>
      </c>
      <c r="J18" s="150" t="s">
        <v>490</v>
      </c>
      <c r="K18" s="150" t="s">
        <v>491</v>
      </c>
      <c r="L18" s="151" t="s">
        <v>492</v>
      </c>
    </row>
    <row r="19" spans="1:12" ht="85.05" customHeight="1" x14ac:dyDescent="0.3">
      <c r="A19" s="144" t="s">
        <v>493</v>
      </c>
      <c r="B19" s="145" t="s">
        <v>353</v>
      </c>
      <c r="C19" s="146" t="s">
        <v>494</v>
      </c>
      <c r="D19" s="146" t="s">
        <v>495</v>
      </c>
      <c r="E19" s="146" t="s">
        <v>377</v>
      </c>
      <c r="F19" s="146" t="s">
        <v>496</v>
      </c>
      <c r="G19" s="146" t="s">
        <v>358</v>
      </c>
      <c r="H19" s="146" t="s">
        <v>497</v>
      </c>
      <c r="I19" s="146" t="s">
        <v>498</v>
      </c>
      <c r="J19" s="146" t="s">
        <v>499</v>
      </c>
      <c r="K19" s="146" t="s">
        <v>500</v>
      </c>
      <c r="L19" s="147" t="s">
        <v>501</v>
      </c>
    </row>
    <row r="20" spans="1:12" ht="85.05" customHeight="1" x14ac:dyDescent="0.3">
      <c r="A20" s="166" t="s">
        <v>502</v>
      </c>
      <c r="B20" s="167" t="s">
        <v>503</v>
      </c>
      <c r="C20" s="150" t="s">
        <v>504</v>
      </c>
      <c r="D20" s="150" t="s">
        <v>505</v>
      </c>
      <c r="E20" s="150" t="s">
        <v>397</v>
      </c>
      <c r="F20" s="150" t="s">
        <v>487</v>
      </c>
      <c r="G20" s="150" t="s">
        <v>379</v>
      </c>
      <c r="H20" s="150" t="s">
        <v>506</v>
      </c>
      <c r="I20" s="150" t="s">
        <v>507</v>
      </c>
      <c r="J20" s="150" t="s">
        <v>508</v>
      </c>
      <c r="K20" s="150" t="s">
        <v>509</v>
      </c>
      <c r="L20" s="151" t="s">
        <v>510</v>
      </c>
    </row>
    <row r="21" spans="1:12" ht="85.05" customHeight="1" x14ac:dyDescent="0.3">
      <c r="A21" s="156" t="s">
        <v>511</v>
      </c>
      <c r="B21" s="157" t="s">
        <v>404</v>
      </c>
      <c r="C21" s="146" t="s">
        <v>405</v>
      </c>
      <c r="D21" s="146" t="s">
        <v>512</v>
      </c>
      <c r="E21" s="146" t="s">
        <v>407</v>
      </c>
      <c r="F21" s="146" t="s">
        <v>408</v>
      </c>
      <c r="G21" s="146" t="s">
        <v>379</v>
      </c>
      <c r="H21" s="146" t="s">
        <v>513</v>
      </c>
      <c r="I21" s="146" t="s">
        <v>514</v>
      </c>
      <c r="J21" s="146" t="s">
        <v>515</v>
      </c>
      <c r="K21" s="146" t="s">
        <v>516</v>
      </c>
      <c r="L21" s="147" t="s">
        <v>517</v>
      </c>
    </row>
    <row r="22" spans="1:12" ht="85.05" customHeight="1" x14ac:dyDescent="0.3">
      <c r="A22" s="158" t="s">
        <v>518</v>
      </c>
      <c r="B22" s="159" t="s">
        <v>404</v>
      </c>
      <c r="C22" s="150" t="s">
        <v>405</v>
      </c>
      <c r="D22" s="150" t="s">
        <v>415</v>
      </c>
      <c r="E22" s="150" t="s">
        <v>457</v>
      </c>
      <c r="F22" s="150" t="s">
        <v>519</v>
      </c>
      <c r="G22" s="150" t="s">
        <v>416</v>
      </c>
      <c r="H22" s="150" t="s">
        <v>520</v>
      </c>
      <c r="I22" s="150" t="s">
        <v>521</v>
      </c>
      <c r="J22" s="150" t="s">
        <v>522</v>
      </c>
      <c r="K22" s="150" t="s">
        <v>523</v>
      </c>
      <c r="L22" s="151" t="s">
        <v>524</v>
      </c>
    </row>
    <row r="23" spans="1:12" ht="85.05" customHeight="1" x14ac:dyDescent="0.3">
      <c r="A23" s="144" t="s">
        <v>525</v>
      </c>
      <c r="B23" s="145" t="s">
        <v>443</v>
      </c>
      <c r="C23" s="146" t="s">
        <v>526</v>
      </c>
      <c r="D23" s="146" t="s">
        <v>527</v>
      </c>
      <c r="E23" s="146" t="s">
        <v>528</v>
      </c>
      <c r="F23" s="146" t="s">
        <v>357</v>
      </c>
      <c r="G23" s="146" t="s">
        <v>367</v>
      </c>
      <c r="H23" s="146" t="s">
        <v>529</v>
      </c>
      <c r="I23" s="146" t="s">
        <v>530</v>
      </c>
      <c r="J23" s="146" t="s">
        <v>531</v>
      </c>
      <c r="K23" s="146" t="s">
        <v>532</v>
      </c>
      <c r="L23" s="147" t="s">
        <v>533</v>
      </c>
    </row>
    <row r="24" spans="1:12" ht="85.05" customHeight="1" x14ac:dyDescent="0.3">
      <c r="A24" s="168" t="s">
        <v>534</v>
      </c>
      <c r="B24" s="169" t="s">
        <v>535</v>
      </c>
      <c r="C24" s="170" t="s">
        <v>536</v>
      </c>
      <c r="D24" s="170" t="s">
        <v>537</v>
      </c>
      <c r="E24" s="170" t="s">
        <v>407</v>
      </c>
      <c r="F24" s="170" t="s">
        <v>538</v>
      </c>
      <c r="G24" s="170" t="s">
        <v>539</v>
      </c>
      <c r="H24" s="170" t="s">
        <v>540</v>
      </c>
      <c r="I24" s="170" t="s">
        <v>541</v>
      </c>
      <c r="J24" s="170" t="s">
        <v>542</v>
      </c>
      <c r="K24" s="170" t="s">
        <v>543</v>
      </c>
      <c r="L24" s="171" t="s">
        <v>544</v>
      </c>
    </row>
    <row r="26" spans="1:12" ht="6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ht="24" customHeight="1" x14ac:dyDescent="0.3">
      <c r="A27" s="128" t="s">
        <v>545</v>
      </c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</row>
    <row r="28" spans="1:12" ht="28.05" customHeight="1" x14ac:dyDescent="0.3">
      <c r="A28" s="132" t="s">
        <v>546</v>
      </c>
      <c r="B28" s="133" t="s">
        <v>547</v>
      </c>
      <c r="C28" s="134" t="s">
        <v>548</v>
      </c>
      <c r="D28" s="135" t="s">
        <v>549</v>
      </c>
      <c r="E28" s="136" t="s">
        <v>550</v>
      </c>
      <c r="F28" s="137"/>
      <c r="G28" s="138"/>
      <c r="H28" s="138"/>
      <c r="I28" s="138"/>
      <c r="J28" s="138"/>
      <c r="K28" s="138"/>
      <c r="L28" s="138"/>
    </row>
  </sheetData>
  <mergeCells count="1">
    <mergeCell ref="A27:L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A451-8ADB-4097-9458-2EA6B62AF2AC}">
  <dimension ref="A1:K87"/>
  <sheetViews>
    <sheetView workbookViewId="0">
      <selection sqref="A1:K1"/>
    </sheetView>
  </sheetViews>
  <sheetFormatPr defaultRowHeight="14.4" x14ac:dyDescent="0.3"/>
  <cols>
    <col min="1" max="1" width="9.21875" customWidth="1"/>
    <col min="2" max="2" width="28.6640625" customWidth="1"/>
    <col min="3" max="3" width="20.33203125" customWidth="1"/>
    <col min="4" max="4" width="51.88671875" customWidth="1"/>
    <col min="5" max="5" width="9.21875" customWidth="1"/>
    <col min="6" max="6" width="37" customWidth="1"/>
    <col min="7" max="7" width="14.77734375" customWidth="1"/>
    <col min="8" max="8" width="9.21875" customWidth="1"/>
    <col min="9" max="9" width="37" customWidth="1"/>
    <col min="10" max="10" width="24.109375" customWidth="1"/>
    <col min="11" max="11" width="55.5546875" customWidth="1"/>
  </cols>
  <sheetData>
    <row r="1" spans="1:11" ht="45" customHeight="1" x14ac:dyDescent="0.45">
      <c r="A1" s="4" t="s">
        <v>551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5.95" customHeight="1" x14ac:dyDescent="0.3">
      <c r="A2" s="172" t="s">
        <v>552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31.95" customHeight="1" x14ac:dyDescent="0.3">
      <c r="A3" s="174" t="s">
        <v>553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</row>
    <row r="4" spans="1:11" ht="7.9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30" customHeight="1" x14ac:dyDescent="0.3">
      <c r="B5" s="175" t="s">
        <v>554</v>
      </c>
      <c r="C5" s="122"/>
      <c r="D5" s="122"/>
    </row>
    <row r="6" spans="1:11" ht="25.95" customHeight="1" x14ac:dyDescent="0.3">
      <c r="B6" s="185" t="s">
        <v>555</v>
      </c>
      <c r="C6" s="185" t="s">
        <v>556</v>
      </c>
      <c r="D6" s="185" t="s">
        <v>557</v>
      </c>
    </row>
    <row r="7" spans="1:11" ht="42" customHeight="1" x14ac:dyDescent="0.3">
      <c r="B7" s="186" t="s">
        <v>558</v>
      </c>
      <c r="C7" s="139" t="s">
        <v>559</v>
      </c>
      <c r="D7" s="139" t="s">
        <v>560</v>
      </c>
    </row>
    <row r="8" spans="1:11" ht="42" customHeight="1" x14ac:dyDescent="0.3">
      <c r="B8" s="187" t="s">
        <v>561</v>
      </c>
      <c r="C8" s="140" t="s">
        <v>562</v>
      </c>
      <c r="D8" s="140" t="s">
        <v>563</v>
      </c>
    </row>
    <row r="9" spans="1:11" ht="42" customHeight="1" x14ac:dyDescent="0.3">
      <c r="B9" s="188" t="s">
        <v>564</v>
      </c>
      <c r="C9" s="139" t="s">
        <v>565</v>
      </c>
      <c r="D9" s="139" t="s">
        <v>566</v>
      </c>
    </row>
    <row r="10" spans="1:11" ht="42" customHeight="1" x14ac:dyDescent="0.3">
      <c r="B10" s="189" t="s">
        <v>567</v>
      </c>
      <c r="C10" s="140" t="s">
        <v>568</v>
      </c>
      <c r="D10" s="140" t="s">
        <v>569</v>
      </c>
    </row>
    <row r="11" spans="1:11" ht="42" customHeight="1" x14ac:dyDescent="0.3">
      <c r="B11" s="190" t="s">
        <v>570</v>
      </c>
      <c r="C11" s="139" t="s">
        <v>571</v>
      </c>
      <c r="D11" s="139" t="s">
        <v>572</v>
      </c>
    </row>
    <row r="12" spans="1:11" ht="42" customHeight="1" x14ac:dyDescent="0.3">
      <c r="B12" s="191" t="s">
        <v>573</v>
      </c>
      <c r="C12" s="140" t="s">
        <v>574</v>
      </c>
      <c r="D12" s="140" t="s">
        <v>575</v>
      </c>
    </row>
    <row r="14" spans="1:11" ht="7.95" customHeigh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28.05" customHeight="1" x14ac:dyDescent="0.3">
      <c r="B15" s="192" t="s">
        <v>576</v>
      </c>
      <c r="C15" s="192"/>
      <c r="D15" s="192"/>
      <c r="E15" s="199"/>
      <c r="F15" s="199"/>
      <c r="G15" s="199"/>
    </row>
    <row r="16" spans="1:11" ht="22.05" customHeight="1" x14ac:dyDescent="0.3">
      <c r="B16" s="194" t="s">
        <v>577</v>
      </c>
      <c r="C16" s="194" t="s">
        <v>578</v>
      </c>
      <c r="E16" s="200" t="s">
        <v>577</v>
      </c>
      <c r="F16" s="200" t="s">
        <v>578</v>
      </c>
    </row>
    <row r="17" spans="2:7" ht="55.2" x14ac:dyDescent="0.3">
      <c r="B17" s="22" t="s">
        <v>579</v>
      </c>
      <c r="C17" s="205" t="s">
        <v>580</v>
      </c>
      <c r="E17" s="22" t="s">
        <v>611</v>
      </c>
      <c r="F17" s="124" t="s">
        <v>612</v>
      </c>
    </row>
    <row r="18" spans="2:7" ht="41.4" x14ac:dyDescent="0.3">
      <c r="B18" s="22" t="s">
        <v>581</v>
      </c>
      <c r="C18" s="124" t="s">
        <v>582</v>
      </c>
      <c r="E18" s="22" t="s">
        <v>613</v>
      </c>
      <c r="F18" s="124" t="s">
        <v>614</v>
      </c>
    </row>
    <row r="19" spans="2:7" ht="41.4" x14ac:dyDescent="0.3">
      <c r="B19" s="22" t="s">
        <v>583</v>
      </c>
      <c r="C19" s="124" t="s">
        <v>584</v>
      </c>
      <c r="E19" s="22" t="s">
        <v>615</v>
      </c>
      <c r="F19" s="124" t="s">
        <v>616</v>
      </c>
    </row>
    <row r="20" spans="2:7" ht="27.6" x14ac:dyDescent="0.3">
      <c r="B20" s="22" t="s">
        <v>585</v>
      </c>
      <c r="C20" s="206" t="s">
        <v>586</v>
      </c>
      <c r="E20" s="22" t="s">
        <v>617</v>
      </c>
      <c r="F20" s="124" t="s">
        <v>618</v>
      </c>
    </row>
    <row r="21" spans="2:7" ht="55.2" x14ac:dyDescent="0.3">
      <c r="E21" s="22" t="s">
        <v>619</v>
      </c>
      <c r="F21" s="124" t="s">
        <v>620</v>
      </c>
    </row>
    <row r="22" spans="2:7" ht="28.05" customHeight="1" x14ac:dyDescent="0.3">
      <c r="B22" s="195" t="s">
        <v>587</v>
      </c>
      <c r="C22" s="195"/>
      <c r="D22" s="195"/>
      <c r="E22" s="201"/>
      <c r="F22" s="201"/>
      <c r="G22" s="201"/>
    </row>
    <row r="23" spans="2:7" ht="22.05" customHeight="1" x14ac:dyDescent="0.3">
      <c r="B23" s="196" t="s">
        <v>577</v>
      </c>
      <c r="C23" s="196" t="s">
        <v>578</v>
      </c>
      <c r="E23" s="202" t="s">
        <v>577</v>
      </c>
      <c r="F23" s="202" t="s">
        <v>578</v>
      </c>
    </row>
    <row r="24" spans="2:7" ht="55.2" x14ac:dyDescent="0.3">
      <c r="B24" s="22" t="s">
        <v>588</v>
      </c>
      <c r="C24" s="124" t="s">
        <v>589</v>
      </c>
      <c r="E24" s="22" t="s">
        <v>621</v>
      </c>
      <c r="F24" s="124" t="s">
        <v>622</v>
      </c>
    </row>
    <row r="25" spans="2:7" ht="69" x14ac:dyDescent="0.3">
      <c r="B25" s="22" t="s">
        <v>590</v>
      </c>
      <c r="C25" s="124" t="s">
        <v>591</v>
      </c>
      <c r="E25" s="22" t="s">
        <v>623</v>
      </c>
      <c r="F25" s="124" t="s">
        <v>624</v>
      </c>
    </row>
    <row r="26" spans="2:7" ht="55.2" x14ac:dyDescent="0.3">
      <c r="B26" s="22" t="s">
        <v>592</v>
      </c>
      <c r="C26" s="124" t="s">
        <v>593</v>
      </c>
      <c r="E26" s="22" t="s">
        <v>625</v>
      </c>
      <c r="F26" s="124" t="s">
        <v>626</v>
      </c>
    </row>
    <row r="27" spans="2:7" x14ac:dyDescent="0.3">
      <c r="B27" s="22" t="s">
        <v>594</v>
      </c>
      <c r="C27" s="124" t="s">
        <v>595</v>
      </c>
    </row>
    <row r="28" spans="2:7" x14ac:dyDescent="0.3">
      <c r="B28" s="22" t="s">
        <v>596</v>
      </c>
      <c r="C28" s="124" t="s">
        <v>597</v>
      </c>
    </row>
    <row r="29" spans="2:7" x14ac:dyDescent="0.3">
      <c r="B29" s="22" t="s">
        <v>598</v>
      </c>
      <c r="C29" s="124" t="s">
        <v>599</v>
      </c>
    </row>
    <row r="31" spans="2:7" ht="28.05" customHeight="1" x14ac:dyDescent="0.3">
      <c r="B31" s="197" t="s">
        <v>600</v>
      </c>
      <c r="C31" s="197"/>
      <c r="D31" s="197"/>
      <c r="E31" s="203"/>
      <c r="F31" s="203"/>
      <c r="G31" s="203"/>
    </row>
    <row r="32" spans="2:7" ht="22.05" customHeight="1" x14ac:dyDescent="0.3">
      <c r="B32" s="198" t="s">
        <v>577</v>
      </c>
      <c r="C32" s="198" t="s">
        <v>578</v>
      </c>
      <c r="E32" s="204" t="s">
        <v>577</v>
      </c>
      <c r="F32" s="204" t="s">
        <v>578</v>
      </c>
    </row>
    <row r="33" spans="1:11" ht="55.2" x14ac:dyDescent="0.3">
      <c r="B33" s="22" t="s">
        <v>601</v>
      </c>
      <c r="C33" s="124" t="s">
        <v>602</v>
      </c>
      <c r="E33" s="22" t="s">
        <v>627</v>
      </c>
      <c r="F33" s="124" t="s">
        <v>628</v>
      </c>
    </row>
    <row r="34" spans="1:11" ht="69" x14ac:dyDescent="0.3">
      <c r="B34" s="22" t="s">
        <v>603</v>
      </c>
      <c r="C34" s="124" t="s">
        <v>604</v>
      </c>
      <c r="E34" s="22" t="s">
        <v>629</v>
      </c>
      <c r="F34" s="124" t="s">
        <v>630</v>
      </c>
    </row>
    <row r="35" spans="1:11" ht="69" x14ac:dyDescent="0.3">
      <c r="B35" s="22" t="s">
        <v>605</v>
      </c>
      <c r="C35" s="124" t="s">
        <v>606</v>
      </c>
      <c r="E35" s="22" t="s">
        <v>631</v>
      </c>
      <c r="F35" s="124" t="s">
        <v>632</v>
      </c>
    </row>
    <row r="36" spans="1:11" ht="69" x14ac:dyDescent="0.3">
      <c r="B36" s="22" t="s">
        <v>607</v>
      </c>
      <c r="C36" s="124" t="s">
        <v>608</v>
      </c>
      <c r="E36" s="22" t="s">
        <v>633</v>
      </c>
      <c r="F36" s="124" t="s">
        <v>634</v>
      </c>
    </row>
    <row r="37" spans="1:11" x14ac:dyDescent="0.3">
      <c r="B37" s="22" t="s">
        <v>609</v>
      </c>
      <c r="C37" s="124" t="s">
        <v>610</v>
      </c>
    </row>
    <row r="39" spans="1:11" ht="7.9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ht="30" customHeight="1" x14ac:dyDescent="0.3">
      <c r="B40" s="207" t="s">
        <v>635</v>
      </c>
      <c r="C40" s="208"/>
      <c r="D40" s="208"/>
      <c r="E40" s="208"/>
      <c r="F40" s="208"/>
    </row>
    <row r="41" spans="1:11" ht="24" customHeight="1" x14ac:dyDescent="0.3">
      <c r="B41" s="176" t="s">
        <v>636</v>
      </c>
      <c r="C41" s="176" t="s">
        <v>637</v>
      </c>
      <c r="D41" s="176" t="s">
        <v>638</v>
      </c>
    </row>
    <row r="42" spans="1:11" ht="30" customHeight="1" x14ac:dyDescent="0.3">
      <c r="B42" s="213" t="s">
        <v>639</v>
      </c>
      <c r="C42" s="205" t="s">
        <v>640</v>
      </c>
      <c r="D42" s="22" t="s">
        <v>641</v>
      </c>
    </row>
    <row r="43" spans="1:11" ht="30" customHeight="1" x14ac:dyDescent="0.3">
      <c r="B43" s="214" t="s">
        <v>642</v>
      </c>
      <c r="C43" s="209" t="s">
        <v>643</v>
      </c>
      <c r="D43" s="22" t="s">
        <v>644</v>
      </c>
    </row>
    <row r="44" spans="1:11" ht="30" customHeight="1" x14ac:dyDescent="0.3">
      <c r="B44" s="215" t="s">
        <v>645</v>
      </c>
      <c r="C44" s="210" t="s">
        <v>646</v>
      </c>
      <c r="D44" s="22" t="s">
        <v>647</v>
      </c>
    </row>
    <row r="45" spans="1:11" ht="30" customHeight="1" x14ac:dyDescent="0.3">
      <c r="B45" s="216" t="s">
        <v>648</v>
      </c>
      <c r="C45" s="211" t="s">
        <v>649</v>
      </c>
      <c r="D45" s="22" t="s">
        <v>650</v>
      </c>
    </row>
    <row r="46" spans="1:11" ht="30" customHeight="1" x14ac:dyDescent="0.3">
      <c r="B46" s="217" t="s">
        <v>651</v>
      </c>
      <c r="C46" s="212" t="s">
        <v>652</v>
      </c>
      <c r="D46" s="22" t="s">
        <v>653</v>
      </c>
    </row>
    <row r="48" spans="1:11" ht="7.9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ht="30" customHeight="1" x14ac:dyDescent="0.3">
      <c r="B49" s="175" t="s">
        <v>654</v>
      </c>
      <c r="C49" s="122"/>
      <c r="D49" s="122"/>
      <c r="E49" s="122"/>
      <c r="F49" s="122"/>
    </row>
    <row r="50" spans="1:11" ht="19.95" customHeight="1" x14ac:dyDescent="0.3">
      <c r="B50" s="218" t="s">
        <v>655</v>
      </c>
      <c r="C50" s="1"/>
      <c r="D50" s="1"/>
      <c r="E50" s="1"/>
      <c r="F50" s="1"/>
    </row>
    <row r="51" spans="1:11" ht="24" customHeight="1" x14ac:dyDescent="0.3">
      <c r="B51" s="176" t="s">
        <v>656</v>
      </c>
      <c r="C51" s="176" t="s">
        <v>657</v>
      </c>
      <c r="D51" s="176" t="s">
        <v>658</v>
      </c>
    </row>
    <row r="52" spans="1:11" ht="36" customHeight="1" x14ac:dyDescent="0.3">
      <c r="B52" s="213" t="s">
        <v>659</v>
      </c>
      <c r="C52" s="205" t="s">
        <v>660</v>
      </c>
      <c r="D52" s="22" t="s">
        <v>661</v>
      </c>
    </row>
    <row r="53" spans="1:11" ht="36" customHeight="1" x14ac:dyDescent="0.3">
      <c r="B53" s="215" t="s">
        <v>662</v>
      </c>
      <c r="C53" s="210" t="s">
        <v>663</v>
      </c>
      <c r="D53" s="22" t="s">
        <v>664</v>
      </c>
    </row>
    <row r="54" spans="1:11" ht="36" customHeight="1" x14ac:dyDescent="0.3">
      <c r="B54" s="216" t="s">
        <v>665</v>
      </c>
      <c r="C54" s="206" t="s">
        <v>666</v>
      </c>
      <c r="D54" s="22" t="s">
        <v>667</v>
      </c>
    </row>
    <row r="55" spans="1:11" ht="36" customHeight="1" x14ac:dyDescent="0.3">
      <c r="B55" s="217" t="s">
        <v>668</v>
      </c>
      <c r="C55" s="212" t="s">
        <v>669</v>
      </c>
      <c r="D55" s="22" t="s">
        <v>670</v>
      </c>
    </row>
    <row r="57" spans="1:11" ht="7.9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ht="28.05" customHeight="1" x14ac:dyDescent="0.3">
      <c r="B58" s="173" t="s">
        <v>671</v>
      </c>
      <c r="C58" s="122"/>
      <c r="D58" s="122"/>
      <c r="E58" s="122"/>
      <c r="F58" s="122"/>
    </row>
    <row r="59" spans="1:11" ht="22.05" customHeight="1" x14ac:dyDescent="0.3">
      <c r="B59" s="219" t="s">
        <v>672</v>
      </c>
      <c r="C59" s="219" t="s">
        <v>673</v>
      </c>
      <c r="D59" s="219" t="s">
        <v>674</v>
      </c>
    </row>
    <row r="60" spans="1:11" x14ac:dyDescent="0.3">
      <c r="B60" s="8" t="s">
        <v>675</v>
      </c>
      <c r="C60" s="221" t="s">
        <v>676</v>
      </c>
      <c r="D60" s="8" t="s">
        <v>677</v>
      </c>
    </row>
    <row r="61" spans="1:11" x14ac:dyDescent="0.3">
      <c r="B61" s="8" t="s">
        <v>678</v>
      </c>
      <c r="C61" s="221" t="s">
        <v>676</v>
      </c>
      <c r="D61" s="8" t="s">
        <v>679</v>
      </c>
    </row>
    <row r="62" spans="1:11" x14ac:dyDescent="0.3">
      <c r="B62" s="8" t="s">
        <v>680</v>
      </c>
      <c r="C62" s="221" t="s">
        <v>676</v>
      </c>
      <c r="D62" s="8" t="s">
        <v>681</v>
      </c>
    </row>
    <row r="63" spans="1:11" ht="24" customHeight="1" x14ac:dyDescent="0.3">
      <c r="B63" s="222" t="s">
        <v>682</v>
      </c>
      <c r="C63" s="109"/>
      <c r="D63" s="109"/>
      <c r="E63" s="109"/>
      <c r="F63" s="109"/>
    </row>
    <row r="65" spans="1:11" ht="7.9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ht="30" customHeight="1" x14ac:dyDescent="0.3">
      <c r="B66" s="223" t="s">
        <v>683</v>
      </c>
      <c r="C66" s="19"/>
      <c r="D66" s="19"/>
      <c r="E66" s="19"/>
      <c r="F66" s="19"/>
      <c r="G66" s="19"/>
    </row>
    <row r="67" spans="1:11" ht="24" customHeight="1" x14ac:dyDescent="0.3">
      <c r="B67" s="224" t="s">
        <v>555</v>
      </c>
      <c r="C67" s="224" t="s">
        <v>684</v>
      </c>
      <c r="D67" s="224" t="s">
        <v>685</v>
      </c>
      <c r="E67" s="224" t="s">
        <v>578</v>
      </c>
      <c r="F67" s="224" t="s">
        <v>686</v>
      </c>
    </row>
    <row r="68" spans="1:11" ht="34.049999999999997" customHeight="1" x14ac:dyDescent="0.3">
      <c r="B68" s="179" t="s">
        <v>558</v>
      </c>
      <c r="C68" s="125" t="s">
        <v>687</v>
      </c>
      <c r="D68" s="125" t="s">
        <v>688</v>
      </c>
      <c r="E68" s="225">
        <v>0.6</v>
      </c>
      <c r="F68" s="226">
        <v>46028</v>
      </c>
    </row>
    <row r="69" spans="1:11" ht="34.049999999999997" customHeight="1" x14ac:dyDescent="0.3">
      <c r="B69" s="180" t="s">
        <v>561</v>
      </c>
      <c r="C69" s="126" t="s">
        <v>689</v>
      </c>
      <c r="D69" s="126" t="s">
        <v>690</v>
      </c>
      <c r="E69" s="227">
        <v>0.8</v>
      </c>
      <c r="F69" s="228">
        <v>46028</v>
      </c>
    </row>
    <row r="70" spans="1:11" ht="34.049999999999997" customHeight="1" x14ac:dyDescent="0.3">
      <c r="B70" s="181" t="s">
        <v>564</v>
      </c>
      <c r="C70" s="125" t="s">
        <v>691</v>
      </c>
      <c r="D70" s="125" t="s">
        <v>692</v>
      </c>
      <c r="E70" s="225">
        <v>0.8</v>
      </c>
      <c r="F70" s="226">
        <v>46028</v>
      </c>
    </row>
    <row r="71" spans="1:11" ht="34.049999999999997" customHeight="1" x14ac:dyDescent="0.3">
      <c r="B71" s="182" t="s">
        <v>567</v>
      </c>
      <c r="C71" s="126" t="s">
        <v>693</v>
      </c>
      <c r="D71" s="126" t="s">
        <v>694</v>
      </c>
      <c r="E71" s="227">
        <v>1</v>
      </c>
      <c r="F71" s="228">
        <v>46028</v>
      </c>
    </row>
    <row r="72" spans="1:11" ht="34.049999999999997" customHeight="1" x14ac:dyDescent="0.3">
      <c r="B72" s="183" t="s">
        <v>570</v>
      </c>
      <c r="C72" s="125" t="s">
        <v>695</v>
      </c>
      <c r="D72" s="125" t="s">
        <v>696</v>
      </c>
      <c r="E72" s="225">
        <v>0.875</v>
      </c>
      <c r="F72" s="226">
        <v>46028</v>
      </c>
    </row>
    <row r="73" spans="1:11" ht="34.049999999999997" customHeight="1" x14ac:dyDescent="0.3">
      <c r="B73" s="184" t="s">
        <v>573</v>
      </c>
      <c r="C73" s="126" t="s">
        <v>697</v>
      </c>
      <c r="D73" s="126" t="s">
        <v>627</v>
      </c>
      <c r="E73" s="227">
        <v>1</v>
      </c>
      <c r="F73" s="228">
        <v>46028</v>
      </c>
    </row>
    <row r="74" spans="1:11" ht="36" customHeight="1" x14ac:dyDescent="0.4">
      <c r="B74" s="230" t="s">
        <v>698</v>
      </c>
      <c r="C74" s="230"/>
      <c r="D74" s="230">
        <f xml:space="preserve"> (0.6 + 0.8 + 0.8 + 1 + 0.875 + 1) / 6</f>
        <v>0.84583333333333333</v>
      </c>
      <c r="E74" s="231">
        <v>0.84599999999999997</v>
      </c>
      <c r="F74" s="230"/>
    </row>
    <row r="75" spans="1:11" ht="28.05" customHeight="1" x14ac:dyDescent="0.3">
      <c r="D75" s="232" t="s">
        <v>699</v>
      </c>
      <c r="E75" s="233" t="s">
        <v>643</v>
      </c>
      <c r="F75" t="s">
        <v>700</v>
      </c>
    </row>
    <row r="77" spans="1:11" ht="4.0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ht="25.95" customHeight="1" x14ac:dyDescent="0.3">
      <c r="B78" s="173" t="s">
        <v>701</v>
      </c>
      <c r="C78" s="122"/>
      <c r="D78" s="122"/>
      <c r="E78" s="122"/>
      <c r="F78" s="122"/>
    </row>
    <row r="79" spans="1:11" x14ac:dyDescent="0.3">
      <c r="B79" s="234" t="s">
        <v>702</v>
      </c>
    </row>
    <row r="80" spans="1:11" x14ac:dyDescent="0.3">
      <c r="B80" s="234" t="s">
        <v>703</v>
      </c>
    </row>
    <row r="81" spans="2:2" x14ac:dyDescent="0.3">
      <c r="B81" s="234" t="s">
        <v>704</v>
      </c>
    </row>
    <row r="82" spans="2:2" x14ac:dyDescent="0.3">
      <c r="B82" s="234" t="s">
        <v>705</v>
      </c>
    </row>
    <row r="83" spans="2:2" x14ac:dyDescent="0.3">
      <c r="B83" s="234" t="s">
        <v>706</v>
      </c>
    </row>
    <row r="84" spans="2:2" x14ac:dyDescent="0.3">
      <c r="B84" s="234" t="s">
        <v>707</v>
      </c>
    </row>
    <row r="85" spans="2:2" x14ac:dyDescent="0.3">
      <c r="B85" s="234" t="s">
        <v>708</v>
      </c>
    </row>
    <row r="86" spans="2:2" x14ac:dyDescent="0.3">
      <c r="B86" s="234" t="s">
        <v>709</v>
      </c>
    </row>
    <row r="87" spans="2:2" x14ac:dyDescent="0.3">
      <c r="B87" s="234" t="s">
        <v>710</v>
      </c>
    </row>
  </sheetData>
  <mergeCells count="14">
    <mergeCell ref="B66:G66"/>
    <mergeCell ref="B78:F78"/>
    <mergeCell ref="B31:G31"/>
    <mergeCell ref="B40:F40"/>
    <mergeCell ref="B49:F49"/>
    <mergeCell ref="B50:F50"/>
    <mergeCell ref="B58:F58"/>
    <mergeCell ref="B63:F63"/>
    <mergeCell ref="A1:K1"/>
    <mergeCell ref="A2:K2"/>
    <mergeCell ref="A3:K3"/>
    <mergeCell ref="B5:D5"/>
    <mergeCell ref="B15:G15"/>
    <mergeCell ref="B22:G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1381-222E-422D-BFB6-C2374E30A11E}">
  <dimension ref="A1:F123"/>
  <sheetViews>
    <sheetView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29.6640625" customWidth="1"/>
    <col min="2" max="2" width="31.44140625" customWidth="1"/>
    <col min="3" max="3" width="35.21875" customWidth="1"/>
    <col min="4" max="4" width="59.21875" customWidth="1"/>
    <col min="5" max="5" width="22.21875" customWidth="1"/>
    <col min="6" max="6" width="37" customWidth="1"/>
  </cols>
  <sheetData>
    <row r="1" spans="1:6" ht="45" customHeight="1" x14ac:dyDescent="0.45">
      <c r="A1" s="4" t="s">
        <v>711</v>
      </c>
      <c r="B1" s="3"/>
      <c r="C1" s="3"/>
      <c r="D1" s="3"/>
      <c r="E1" s="3"/>
      <c r="F1" s="3"/>
    </row>
    <row r="2" spans="1:6" ht="25.95" customHeight="1" x14ac:dyDescent="0.3">
      <c r="A2" s="172" t="s">
        <v>712</v>
      </c>
      <c r="B2" s="3"/>
      <c r="C2" s="3"/>
      <c r="D2" s="3"/>
      <c r="E2" s="3"/>
      <c r="F2" s="3"/>
    </row>
    <row r="3" spans="1:6" ht="6" customHeight="1" x14ac:dyDescent="0.3">
      <c r="A3" s="7"/>
      <c r="B3" s="7"/>
      <c r="C3" s="7"/>
      <c r="D3" s="7"/>
      <c r="E3" s="7"/>
      <c r="F3" s="7"/>
    </row>
    <row r="4" spans="1:6" ht="28.05" customHeight="1" x14ac:dyDescent="0.3">
      <c r="A4" s="10" t="s">
        <v>713</v>
      </c>
      <c r="B4" s="10" t="s">
        <v>4</v>
      </c>
      <c r="C4" s="10" t="s">
        <v>714</v>
      </c>
      <c r="D4" s="10" t="s">
        <v>715</v>
      </c>
      <c r="E4" s="10" t="s">
        <v>716</v>
      </c>
      <c r="F4" s="10" t="s">
        <v>717</v>
      </c>
    </row>
    <row r="5" spans="1:6" x14ac:dyDescent="0.3">
      <c r="A5" s="235" t="s">
        <v>24</v>
      </c>
      <c r="B5" s="236" t="s">
        <v>38</v>
      </c>
      <c r="C5" s="237" t="s">
        <v>718</v>
      </c>
      <c r="D5" s="236" t="s">
        <v>719</v>
      </c>
      <c r="E5" s="238" t="s">
        <v>720</v>
      </c>
      <c r="F5" s="236"/>
    </row>
    <row r="6" spans="1:6" x14ac:dyDescent="0.3">
      <c r="A6" s="236"/>
      <c r="B6" s="236"/>
      <c r="C6" s="237" t="s">
        <v>721</v>
      </c>
      <c r="D6" s="236" t="s">
        <v>722</v>
      </c>
      <c r="E6" s="238" t="s">
        <v>723</v>
      </c>
      <c r="F6" s="236"/>
    </row>
    <row r="7" spans="1:6" x14ac:dyDescent="0.3">
      <c r="A7" s="236"/>
      <c r="B7" s="236"/>
      <c r="C7" s="237" t="s">
        <v>724</v>
      </c>
      <c r="D7" s="236" t="s">
        <v>725</v>
      </c>
      <c r="E7" s="238" t="s">
        <v>726</v>
      </c>
      <c r="F7" s="236"/>
    </row>
    <row r="8" spans="1:6" x14ac:dyDescent="0.3">
      <c r="A8" s="236"/>
      <c r="B8" s="236"/>
      <c r="C8" s="237" t="s">
        <v>727</v>
      </c>
      <c r="D8" s="236" t="s">
        <v>728</v>
      </c>
      <c r="E8" s="238" t="s">
        <v>729</v>
      </c>
      <c r="F8" s="236"/>
    </row>
    <row r="9" spans="1:6" x14ac:dyDescent="0.3">
      <c r="A9" s="236"/>
      <c r="B9" s="236"/>
      <c r="C9" s="237" t="s">
        <v>730</v>
      </c>
      <c r="D9" s="236" t="s">
        <v>731</v>
      </c>
      <c r="E9" s="238" t="s">
        <v>732</v>
      </c>
      <c r="F9" s="236"/>
    </row>
    <row r="10" spans="1:6" x14ac:dyDescent="0.3">
      <c r="A10" s="236"/>
      <c r="B10" s="236"/>
      <c r="C10" s="237" t="s">
        <v>733</v>
      </c>
      <c r="D10" s="236" t="s">
        <v>734</v>
      </c>
      <c r="E10" s="238" t="s">
        <v>735</v>
      </c>
      <c r="F10" s="236"/>
    </row>
    <row r="11" spans="1:6" x14ac:dyDescent="0.3">
      <c r="A11" s="236"/>
      <c r="B11" s="236"/>
      <c r="C11" s="237" t="s">
        <v>736</v>
      </c>
      <c r="D11" s="236" t="s">
        <v>737</v>
      </c>
      <c r="E11" s="238" t="s">
        <v>738</v>
      </c>
      <c r="F11" s="236"/>
    </row>
    <row r="12" spans="1:6" x14ac:dyDescent="0.3">
      <c r="A12" s="239" t="s">
        <v>24</v>
      </c>
      <c r="B12" s="240" t="s">
        <v>44</v>
      </c>
      <c r="C12" s="241" t="s">
        <v>739</v>
      </c>
      <c r="D12" s="240" t="s">
        <v>740</v>
      </c>
      <c r="E12" s="242" t="s">
        <v>741</v>
      </c>
      <c r="F12" s="240"/>
    </row>
    <row r="13" spans="1:6" x14ac:dyDescent="0.3">
      <c r="A13" s="240"/>
      <c r="B13" s="240"/>
      <c r="C13" s="241" t="s">
        <v>742</v>
      </c>
      <c r="D13" s="240" t="s">
        <v>743</v>
      </c>
      <c r="E13" s="242" t="s">
        <v>744</v>
      </c>
      <c r="F13" s="240"/>
    </row>
    <row r="14" spans="1:6" x14ac:dyDescent="0.3">
      <c r="A14" s="240"/>
      <c r="B14" s="240"/>
      <c r="C14" s="241" t="s">
        <v>745</v>
      </c>
      <c r="D14" s="240" t="s">
        <v>746</v>
      </c>
      <c r="E14" s="242" t="s">
        <v>747</v>
      </c>
      <c r="F14" s="240"/>
    </row>
    <row r="15" spans="1:6" x14ac:dyDescent="0.3">
      <c r="A15" s="240"/>
      <c r="B15" s="240"/>
      <c r="C15" s="241" t="s">
        <v>748</v>
      </c>
      <c r="D15" s="240" t="s">
        <v>749</v>
      </c>
      <c r="E15" s="242" t="s">
        <v>750</v>
      </c>
      <c r="F15" s="240"/>
    </row>
    <row r="16" spans="1:6" x14ac:dyDescent="0.3">
      <c r="A16" s="240"/>
      <c r="B16" s="240"/>
      <c r="C16" s="241" t="s">
        <v>751</v>
      </c>
      <c r="D16" s="240" t="s">
        <v>752</v>
      </c>
      <c r="E16" s="242" t="s">
        <v>753</v>
      </c>
      <c r="F16" s="240"/>
    </row>
    <row r="17" spans="1:6" ht="4.05" customHeight="1" x14ac:dyDescent="0.3">
      <c r="A17" s="243"/>
      <c r="B17" s="243"/>
      <c r="C17" s="243"/>
      <c r="D17" s="243"/>
      <c r="E17" s="243"/>
      <c r="F17" s="243"/>
    </row>
    <row r="18" spans="1:6" x14ac:dyDescent="0.3">
      <c r="A18" s="244" t="s">
        <v>87</v>
      </c>
      <c r="B18" s="245" t="s">
        <v>88</v>
      </c>
      <c r="C18" s="246" t="s">
        <v>353</v>
      </c>
      <c r="D18" s="245" t="s">
        <v>754</v>
      </c>
      <c r="E18" s="247" t="s">
        <v>755</v>
      </c>
      <c r="F18" s="245"/>
    </row>
    <row r="19" spans="1:6" x14ac:dyDescent="0.3">
      <c r="A19" s="245"/>
      <c r="B19" s="245"/>
      <c r="C19" s="246" t="s">
        <v>374</v>
      </c>
      <c r="D19" s="245" t="s">
        <v>756</v>
      </c>
      <c r="E19" s="247" t="s">
        <v>757</v>
      </c>
      <c r="F19" s="245"/>
    </row>
    <row r="20" spans="1:6" x14ac:dyDescent="0.3">
      <c r="A20" s="245"/>
      <c r="B20" s="245"/>
      <c r="C20" s="246" t="s">
        <v>394</v>
      </c>
      <c r="D20" s="245" t="s">
        <v>758</v>
      </c>
      <c r="E20" s="247" t="s">
        <v>759</v>
      </c>
      <c r="F20" s="245"/>
    </row>
    <row r="21" spans="1:6" x14ac:dyDescent="0.3">
      <c r="A21" s="245"/>
      <c r="B21" s="245"/>
      <c r="C21" s="246" t="s">
        <v>431</v>
      </c>
      <c r="D21" s="245" t="s">
        <v>760</v>
      </c>
      <c r="E21" s="247" t="s">
        <v>761</v>
      </c>
      <c r="F21" s="245"/>
    </row>
    <row r="22" spans="1:6" x14ac:dyDescent="0.3">
      <c r="A22" s="245"/>
      <c r="B22" s="245"/>
      <c r="C22" s="246" t="s">
        <v>455</v>
      </c>
      <c r="D22" s="245" t="s">
        <v>762</v>
      </c>
      <c r="E22" s="247" t="s">
        <v>763</v>
      </c>
      <c r="F22" s="245"/>
    </row>
    <row r="23" spans="1:6" x14ac:dyDescent="0.3">
      <c r="A23" s="245"/>
      <c r="B23" s="245"/>
      <c r="C23" s="246" t="s">
        <v>466</v>
      </c>
      <c r="D23" s="245" t="s">
        <v>764</v>
      </c>
      <c r="E23" s="247" t="s">
        <v>765</v>
      </c>
      <c r="F23" s="245"/>
    </row>
    <row r="24" spans="1:6" x14ac:dyDescent="0.3">
      <c r="A24" s="245"/>
      <c r="B24" s="245"/>
      <c r="C24" s="246" t="s">
        <v>503</v>
      </c>
      <c r="D24" s="245" t="s">
        <v>766</v>
      </c>
      <c r="E24" s="247" t="s">
        <v>767</v>
      </c>
      <c r="F24" s="245"/>
    </row>
    <row r="25" spans="1:6" x14ac:dyDescent="0.3">
      <c r="A25" s="245"/>
      <c r="B25" s="245"/>
      <c r="C25" s="246" t="s">
        <v>404</v>
      </c>
      <c r="D25" s="245" t="s">
        <v>768</v>
      </c>
      <c r="E25" s="247" t="s">
        <v>769</v>
      </c>
      <c r="F25" s="245"/>
    </row>
    <row r="26" spans="1:6" x14ac:dyDescent="0.3">
      <c r="A26" s="245"/>
      <c r="B26" s="245"/>
      <c r="C26" s="246" t="s">
        <v>443</v>
      </c>
      <c r="D26" s="245" t="s">
        <v>770</v>
      </c>
      <c r="E26" s="247" t="s">
        <v>771</v>
      </c>
      <c r="F26" s="245"/>
    </row>
    <row r="27" spans="1:6" x14ac:dyDescent="0.3">
      <c r="A27" s="245"/>
      <c r="B27" s="245"/>
      <c r="C27" s="246" t="s">
        <v>772</v>
      </c>
      <c r="D27" s="245" t="s">
        <v>773</v>
      </c>
      <c r="E27" s="247" t="s">
        <v>774</v>
      </c>
      <c r="F27" s="245"/>
    </row>
    <row r="28" spans="1:6" x14ac:dyDescent="0.3">
      <c r="A28" s="245"/>
      <c r="B28" s="245"/>
      <c r="C28" s="246" t="s">
        <v>535</v>
      </c>
      <c r="D28" s="245" t="s">
        <v>775</v>
      </c>
      <c r="E28" s="247" t="s">
        <v>776</v>
      </c>
      <c r="F28" s="245"/>
    </row>
    <row r="29" spans="1:6" x14ac:dyDescent="0.3">
      <c r="A29" s="248" t="s">
        <v>87</v>
      </c>
      <c r="B29" s="249" t="s">
        <v>98</v>
      </c>
      <c r="C29" s="250" t="s">
        <v>777</v>
      </c>
      <c r="D29" s="249" t="s">
        <v>778</v>
      </c>
      <c r="E29" s="251" t="s">
        <v>779</v>
      </c>
      <c r="F29" s="249"/>
    </row>
    <row r="30" spans="1:6" x14ac:dyDescent="0.3">
      <c r="A30" s="249"/>
      <c r="B30" s="249"/>
      <c r="C30" s="250" t="s">
        <v>780</v>
      </c>
      <c r="D30" s="249" t="s">
        <v>781</v>
      </c>
      <c r="E30" s="251" t="s">
        <v>782</v>
      </c>
      <c r="F30" s="249"/>
    </row>
    <row r="31" spans="1:6" x14ac:dyDescent="0.3">
      <c r="A31" s="249"/>
      <c r="B31" s="249"/>
      <c r="C31" s="250" t="s">
        <v>783</v>
      </c>
      <c r="D31" s="249" t="s">
        <v>784</v>
      </c>
      <c r="E31" s="251" t="s">
        <v>785</v>
      </c>
      <c r="F31" s="249"/>
    </row>
    <row r="32" spans="1:6" x14ac:dyDescent="0.3">
      <c r="A32" s="249"/>
      <c r="B32" s="249"/>
      <c r="C32" s="250" t="s">
        <v>786</v>
      </c>
      <c r="D32" s="249" t="s">
        <v>787</v>
      </c>
      <c r="E32" s="251" t="s">
        <v>788</v>
      </c>
      <c r="F32" s="249"/>
    </row>
    <row r="33" spans="1:6" x14ac:dyDescent="0.3">
      <c r="A33" s="249"/>
      <c r="B33" s="249"/>
      <c r="C33" s="250" t="s">
        <v>404</v>
      </c>
      <c r="D33" s="249" t="s">
        <v>789</v>
      </c>
      <c r="E33" s="251" t="s">
        <v>790</v>
      </c>
      <c r="F33" s="249"/>
    </row>
    <row r="34" spans="1:6" x14ac:dyDescent="0.3">
      <c r="A34" s="249"/>
      <c r="B34" s="249"/>
      <c r="C34" s="250" t="s">
        <v>791</v>
      </c>
      <c r="D34" s="249" t="s">
        <v>792</v>
      </c>
      <c r="E34" s="251" t="s">
        <v>793</v>
      </c>
      <c r="F34" s="249"/>
    </row>
    <row r="35" spans="1:6" x14ac:dyDescent="0.3">
      <c r="A35" s="249"/>
      <c r="B35" s="249"/>
      <c r="C35" s="250" t="s">
        <v>794</v>
      </c>
      <c r="D35" s="249" t="s">
        <v>795</v>
      </c>
      <c r="E35" s="251" t="s">
        <v>796</v>
      </c>
      <c r="F35" s="249"/>
    </row>
    <row r="36" spans="1:6" x14ac:dyDescent="0.3">
      <c r="A36" s="249"/>
      <c r="B36" s="249"/>
      <c r="C36" s="250" t="s">
        <v>797</v>
      </c>
      <c r="D36" s="249" t="s">
        <v>798</v>
      </c>
      <c r="E36" s="251" t="s">
        <v>799</v>
      </c>
      <c r="F36" s="249"/>
    </row>
    <row r="37" spans="1:6" x14ac:dyDescent="0.3">
      <c r="A37" s="244" t="s">
        <v>87</v>
      </c>
      <c r="B37" s="245" t="s">
        <v>102</v>
      </c>
      <c r="C37" s="246" t="s">
        <v>800</v>
      </c>
      <c r="D37" s="245" t="s">
        <v>801</v>
      </c>
      <c r="E37" s="247" t="s">
        <v>802</v>
      </c>
      <c r="F37" s="245" t="s">
        <v>803</v>
      </c>
    </row>
    <row r="38" spans="1:6" x14ac:dyDescent="0.3">
      <c r="A38" s="245"/>
      <c r="B38" s="245"/>
      <c r="C38" s="246" t="s">
        <v>804</v>
      </c>
      <c r="D38" s="245" t="s">
        <v>805</v>
      </c>
      <c r="E38" s="247" t="s">
        <v>806</v>
      </c>
      <c r="F38" s="245" t="s">
        <v>807</v>
      </c>
    </row>
    <row r="39" spans="1:6" x14ac:dyDescent="0.3">
      <c r="A39" s="245"/>
      <c r="B39" s="245"/>
      <c r="C39" s="246" t="s">
        <v>808</v>
      </c>
      <c r="D39" s="245" t="s">
        <v>809</v>
      </c>
      <c r="E39" s="247" t="s">
        <v>810</v>
      </c>
      <c r="F39" s="245" t="s">
        <v>811</v>
      </c>
    </row>
    <row r="40" spans="1:6" x14ac:dyDescent="0.3">
      <c r="A40" s="245"/>
      <c r="B40" s="245"/>
      <c r="C40" s="246" t="s">
        <v>812</v>
      </c>
      <c r="D40" s="245" t="s">
        <v>813</v>
      </c>
      <c r="E40" s="247" t="s">
        <v>814</v>
      </c>
      <c r="F40" s="245" t="s">
        <v>815</v>
      </c>
    </row>
    <row r="41" spans="1:6" ht="4.05" customHeight="1" x14ac:dyDescent="0.3">
      <c r="A41" s="243"/>
      <c r="B41" s="243"/>
      <c r="C41" s="243"/>
      <c r="D41" s="243"/>
      <c r="E41" s="243"/>
      <c r="F41" s="243"/>
    </row>
    <row r="42" spans="1:6" x14ac:dyDescent="0.3">
      <c r="A42" s="252" t="s">
        <v>121</v>
      </c>
      <c r="B42" s="253" t="s">
        <v>128</v>
      </c>
      <c r="C42" s="254" t="s">
        <v>816</v>
      </c>
      <c r="D42" s="253" t="s">
        <v>817</v>
      </c>
      <c r="E42" s="255" t="s">
        <v>818</v>
      </c>
      <c r="F42" s="253" t="s">
        <v>819</v>
      </c>
    </row>
    <row r="43" spans="1:6" x14ac:dyDescent="0.3">
      <c r="A43" s="253"/>
      <c r="B43" s="253"/>
      <c r="C43" s="254" t="s">
        <v>820</v>
      </c>
      <c r="D43" s="253" t="s">
        <v>821</v>
      </c>
      <c r="E43" s="255" t="s">
        <v>822</v>
      </c>
      <c r="F43" s="253"/>
    </row>
    <row r="44" spans="1:6" x14ac:dyDescent="0.3">
      <c r="A44" s="253"/>
      <c r="B44" s="253"/>
      <c r="C44" s="254" t="s">
        <v>823</v>
      </c>
      <c r="D44" s="253" t="s">
        <v>824</v>
      </c>
      <c r="E44" s="255" t="s">
        <v>825</v>
      </c>
      <c r="F44" s="253"/>
    </row>
    <row r="45" spans="1:6" x14ac:dyDescent="0.3">
      <c r="A45" s="253"/>
      <c r="B45" s="253"/>
      <c r="C45" s="254" t="s">
        <v>727</v>
      </c>
      <c r="D45" s="253" t="s">
        <v>826</v>
      </c>
      <c r="E45" s="255" t="s">
        <v>827</v>
      </c>
      <c r="F45" s="253"/>
    </row>
    <row r="46" spans="1:6" x14ac:dyDescent="0.3">
      <c r="A46" s="253"/>
      <c r="B46" s="253"/>
      <c r="C46" s="254" t="s">
        <v>828</v>
      </c>
      <c r="D46" s="253" t="s">
        <v>829</v>
      </c>
      <c r="E46" s="255" t="s">
        <v>830</v>
      </c>
      <c r="F46" s="253"/>
    </row>
    <row r="47" spans="1:6" x14ac:dyDescent="0.3">
      <c r="A47" s="256" t="s">
        <v>121</v>
      </c>
      <c r="B47" s="257" t="s">
        <v>134</v>
      </c>
      <c r="C47" s="258" t="s">
        <v>831</v>
      </c>
      <c r="D47" s="257" t="s">
        <v>832</v>
      </c>
      <c r="E47" s="259" t="s">
        <v>833</v>
      </c>
      <c r="F47" s="257"/>
    </row>
    <row r="48" spans="1:6" x14ac:dyDescent="0.3">
      <c r="A48" s="257"/>
      <c r="B48" s="257"/>
      <c r="C48" s="258" t="s">
        <v>742</v>
      </c>
      <c r="D48" s="257" t="s">
        <v>834</v>
      </c>
      <c r="E48" s="259" t="s">
        <v>835</v>
      </c>
      <c r="F48" s="257"/>
    </row>
    <row r="49" spans="1:6" x14ac:dyDescent="0.3">
      <c r="A49" s="257"/>
      <c r="B49" s="257"/>
      <c r="C49" s="258" t="s">
        <v>836</v>
      </c>
      <c r="D49" s="257" t="s">
        <v>837</v>
      </c>
      <c r="E49" s="259" t="s">
        <v>838</v>
      </c>
      <c r="F49" s="257"/>
    </row>
    <row r="50" spans="1:6" x14ac:dyDescent="0.3">
      <c r="A50" s="257"/>
      <c r="B50" s="257"/>
      <c r="C50" s="258" t="s">
        <v>839</v>
      </c>
      <c r="D50" s="257" t="s">
        <v>840</v>
      </c>
      <c r="E50" s="259" t="s">
        <v>841</v>
      </c>
      <c r="F50" s="257"/>
    </row>
    <row r="51" spans="1:6" x14ac:dyDescent="0.3">
      <c r="A51" s="257"/>
      <c r="B51" s="257"/>
      <c r="C51" s="258" t="s">
        <v>842</v>
      </c>
      <c r="D51" s="257" t="s">
        <v>843</v>
      </c>
      <c r="E51" s="259" t="s">
        <v>844</v>
      </c>
      <c r="F51" s="257"/>
    </row>
    <row r="52" spans="1:6" x14ac:dyDescent="0.3">
      <c r="A52" s="257"/>
      <c r="B52" s="257"/>
      <c r="C52" s="258" t="s">
        <v>845</v>
      </c>
      <c r="D52" s="257" t="s">
        <v>846</v>
      </c>
      <c r="E52" s="259" t="s">
        <v>847</v>
      </c>
      <c r="F52" s="257"/>
    </row>
    <row r="53" spans="1:6" x14ac:dyDescent="0.3">
      <c r="A53" s="252" t="s">
        <v>121</v>
      </c>
      <c r="B53" s="253" t="s">
        <v>138</v>
      </c>
      <c r="C53" s="254" t="s">
        <v>797</v>
      </c>
      <c r="D53" s="253" t="s">
        <v>848</v>
      </c>
      <c r="E53" s="255" t="s">
        <v>849</v>
      </c>
      <c r="F53" s="253"/>
    </row>
    <row r="54" spans="1:6" x14ac:dyDescent="0.3">
      <c r="A54" s="253"/>
      <c r="B54" s="253"/>
      <c r="C54" s="254" t="s">
        <v>850</v>
      </c>
      <c r="D54" s="253" t="s">
        <v>851</v>
      </c>
      <c r="E54" s="255" t="s">
        <v>852</v>
      </c>
      <c r="F54" s="253"/>
    </row>
    <row r="55" spans="1:6" x14ac:dyDescent="0.3">
      <c r="A55" s="253"/>
      <c r="B55" s="253"/>
      <c r="C55" s="254" t="s">
        <v>853</v>
      </c>
      <c r="D55" s="253" t="s">
        <v>854</v>
      </c>
      <c r="E55" s="255" t="s">
        <v>855</v>
      </c>
      <c r="F55" s="253"/>
    </row>
    <row r="56" spans="1:6" x14ac:dyDescent="0.3">
      <c r="A56" s="253"/>
      <c r="B56" s="253"/>
      <c r="C56" s="254" t="s">
        <v>856</v>
      </c>
      <c r="D56" s="253" t="s">
        <v>857</v>
      </c>
      <c r="E56" s="255" t="s">
        <v>858</v>
      </c>
      <c r="F56" s="253"/>
    </row>
    <row r="57" spans="1:6" ht="4.05" customHeight="1" x14ac:dyDescent="0.3">
      <c r="A57" s="243"/>
      <c r="B57" s="243"/>
      <c r="C57" s="243"/>
      <c r="D57" s="243"/>
      <c r="E57" s="243"/>
      <c r="F57" s="243"/>
    </row>
    <row r="58" spans="1:6" x14ac:dyDescent="0.3">
      <c r="A58" s="260" t="s">
        <v>161</v>
      </c>
      <c r="B58" s="261" t="s">
        <v>162</v>
      </c>
      <c r="C58" s="262" t="s">
        <v>859</v>
      </c>
      <c r="D58" s="261" t="s">
        <v>860</v>
      </c>
      <c r="E58" s="263" t="s">
        <v>861</v>
      </c>
      <c r="F58" s="261"/>
    </row>
    <row r="59" spans="1:6" x14ac:dyDescent="0.3">
      <c r="A59" s="261"/>
      <c r="B59" s="261"/>
      <c r="C59" s="262" t="s">
        <v>862</v>
      </c>
      <c r="D59" s="261" t="s">
        <v>863</v>
      </c>
      <c r="E59" s="263" t="s">
        <v>864</v>
      </c>
      <c r="F59" s="261"/>
    </row>
    <row r="60" spans="1:6" x14ac:dyDescent="0.3">
      <c r="A60" s="261"/>
      <c r="B60" s="261"/>
      <c r="C60" s="262" t="s">
        <v>865</v>
      </c>
      <c r="D60" s="261" t="s">
        <v>866</v>
      </c>
      <c r="E60" s="263" t="s">
        <v>867</v>
      </c>
      <c r="F60" s="261"/>
    </row>
    <row r="61" spans="1:6" x14ac:dyDescent="0.3">
      <c r="A61" s="261"/>
      <c r="B61" s="261"/>
      <c r="C61" s="262" t="s">
        <v>727</v>
      </c>
      <c r="D61" s="261" t="s">
        <v>868</v>
      </c>
      <c r="E61" s="263" t="s">
        <v>869</v>
      </c>
      <c r="F61" s="261"/>
    </row>
    <row r="62" spans="1:6" x14ac:dyDescent="0.3">
      <c r="A62" s="261"/>
      <c r="B62" s="261"/>
      <c r="C62" s="262" t="s">
        <v>870</v>
      </c>
      <c r="D62" s="261" t="s">
        <v>871</v>
      </c>
      <c r="E62" s="263" t="s">
        <v>872</v>
      </c>
      <c r="F62" s="261"/>
    </row>
    <row r="63" spans="1:6" x14ac:dyDescent="0.3">
      <c r="A63" s="261"/>
      <c r="B63" s="261"/>
      <c r="C63" s="262" t="s">
        <v>873</v>
      </c>
      <c r="D63" s="261" t="s">
        <v>874</v>
      </c>
      <c r="E63" s="263" t="s">
        <v>875</v>
      </c>
      <c r="F63" s="261" t="s">
        <v>876</v>
      </c>
    </row>
    <row r="64" spans="1:6" x14ac:dyDescent="0.3">
      <c r="A64" s="261"/>
      <c r="B64" s="261"/>
      <c r="C64" s="262" t="s">
        <v>877</v>
      </c>
      <c r="D64" s="261" t="s">
        <v>878</v>
      </c>
      <c r="E64" s="263" t="s">
        <v>879</v>
      </c>
      <c r="F64" s="261"/>
    </row>
    <row r="65" spans="1:6" x14ac:dyDescent="0.3">
      <c r="A65" s="261"/>
      <c r="B65" s="261"/>
      <c r="C65" s="262" t="s">
        <v>880</v>
      </c>
      <c r="D65" s="261" t="s">
        <v>881</v>
      </c>
      <c r="E65" s="263" t="s">
        <v>882</v>
      </c>
      <c r="F65" s="261"/>
    </row>
    <row r="66" spans="1:6" x14ac:dyDescent="0.3">
      <c r="A66" s="264" t="s">
        <v>161</v>
      </c>
      <c r="B66" s="265" t="s">
        <v>166</v>
      </c>
      <c r="C66" s="266" t="s">
        <v>883</v>
      </c>
      <c r="D66" s="265" t="s">
        <v>884</v>
      </c>
      <c r="E66" s="267" t="s">
        <v>885</v>
      </c>
      <c r="F66" s="265" t="s">
        <v>886</v>
      </c>
    </row>
    <row r="67" spans="1:6" x14ac:dyDescent="0.3">
      <c r="A67" s="265"/>
      <c r="B67" s="265"/>
      <c r="C67" s="266" t="s">
        <v>887</v>
      </c>
      <c r="D67" s="265" t="s">
        <v>888</v>
      </c>
      <c r="E67" s="267" t="s">
        <v>889</v>
      </c>
      <c r="F67" s="265" t="s">
        <v>890</v>
      </c>
    </row>
    <row r="68" spans="1:6" x14ac:dyDescent="0.3">
      <c r="A68" s="265"/>
      <c r="B68" s="265"/>
      <c r="C68" s="266" t="s">
        <v>891</v>
      </c>
      <c r="D68" s="265" t="s">
        <v>892</v>
      </c>
      <c r="E68" s="267" t="s">
        <v>893</v>
      </c>
      <c r="F68" s="265" t="s">
        <v>894</v>
      </c>
    </row>
    <row r="69" spans="1:6" x14ac:dyDescent="0.3">
      <c r="A69" s="260" t="s">
        <v>161</v>
      </c>
      <c r="B69" s="261" t="s">
        <v>175</v>
      </c>
      <c r="C69" s="262" t="s">
        <v>895</v>
      </c>
      <c r="D69" s="261" t="s">
        <v>896</v>
      </c>
      <c r="E69" s="263" t="s">
        <v>897</v>
      </c>
      <c r="F69" s="261"/>
    </row>
    <row r="70" spans="1:6" x14ac:dyDescent="0.3">
      <c r="A70" s="261"/>
      <c r="B70" s="261"/>
      <c r="C70" s="262" t="s">
        <v>898</v>
      </c>
      <c r="D70" s="261" t="s">
        <v>899</v>
      </c>
      <c r="E70" s="263" t="s">
        <v>900</v>
      </c>
      <c r="F70" s="261"/>
    </row>
    <row r="71" spans="1:6" x14ac:dyDescent="0.3">
      <c r="A71" s="261"/>
      <c r="B71" s="261"/>
      <c r="C71" s="262" t="s">
        <v>901</v>
      </c>
      <c r="D71" s="261" t="s">
        <v>902</v>
      </c>
      <c r="E71" s="263" t="s">
        <v>903</v>
      </c>
      <c r="F71" s="261"/>
    </row>
    <row r="72" spans="1:6" x14ac:dyDescent="0.3">
      <c r="A72" s="261"/>
      <c r="B72" s="261"/>
      <c r="C72" s="262" t="s">
        <v>904</v>
      </c>
      <c r="D72" s="261" t="s">
        <v>905</v>
      </c>
      <c r="E72" s="263" t="s">
        <v>906</v>
      </c>
      <c r="F72" s="261"/>
    </row>
    <row r="73" spans="1:6" ht="4.05" customHeight="1" x14ac:dyDescent="0.3">
      <c r="A73" s="243"/>
      <c r="B73" s="243"/>
      <c r="C73" s="243"/>
      <c r="D73" s="243"/>
      <c r="E73" s="243"/>
      <c r="F73" s="243"/>
    </row>
    <row r="74" spans="1:6" x14ac:dyDescent="0.3">
      <c r="A74" s="268" t="s">
        <v>196</v>
      </c>
      <c r="B74" s="269" t="s">
        <v>213</v>
      </c>
      <c r="C74" s="270" t="s">
        <v>907</v>
      </c>
      <c r="D74" s="269" t="s">
        <v>908</v>
      </c>
      <c r="E74" s="271" t="s">
        <v>909</v>
      </c>
      <c r="F74" s="269" t="s">
        <v>910</v>
      </c>
    </row>
    <row r="75" spans="1:6" x14ac:dyDescent="0.3">
      <c r="A75" s="269"/>
      <c r="B75" s="269"/>
      <c r="C75" s="270" t="s">
        <v>911</v>
      </c>
      <c r="D75" s="269" t="s">
        <v>912</v>
      </c>
      <c r="E75" s="271" t="s">
        <v>913</v>
      </c>
      <c r="F75" s="269" t="s">
        <v>914</v>
      </c>
    </row>
    <row r="76" spans="1:6" x14ac:dyDescent="0.3">
      <c r="A76" s="269"/>
      <c r="B76" s="269"/>
      <c r="C76" s="270" t="s">
        <v>915</v>
      </c>
      <c r="D76" s="269" t="s">
        <v>916</v>
      </c>
      <c r="E76" s="271" t="s">
        <v>917</v>
      </c>
      <c r="F76" s="269" t="s">
        <v>918</v>
      </c>
    </row>
    <row r="77" spans="1:6" x14ac:dyDescent="0.3">
      <c r="A77" s="269"/>
      <c r="B77" s="269"/>
      <c r="C77" s="270" t="s">
        <v>919</v>
      </c>
      <c r="D77" s="269" t="s">
        <v>920</v>
      </c>
      <c r="E77" s="271" t="s">
        <v>921</v>
      </c>
      <c r="F77" s="269" t="s">
        <v>922</v>
      </c>
    </row>
    <row r="78" spans="1:6" x14ac:dyDescent="0.3">
      <c r="A78" s="272" t="s">
        <v>196</v>
      </c>
      <c r="B78" s="273" t="s">
        <v>217</v>
      </c>
      <c r="C78" s="274" t="s">
        <v>923</v>
      </c>
      <c r="D78" s="273" t="s">
        <v>924</v>
      </c>
      <c r="E78" s="275" t="s">
        <v>925</v>
      </c>
      <c r="F78" s="273" t="s">
        <v>926</v>
      </c>
    </row>
    <row r="79" spans="1:6" x14ac:dyDescent="0.3">
      <c r="A79" s="273"/>
      <c r="B79" s="273"/>
      <c r="C79" s="274" t="s">
        <v>927</v>
      </c>
      <c r="D79" s="273" t="s">
        <v>928</v>
      </c>
      <c r="E79" s="275" t="s">
        <v>929</v>
      </c>
      <c r="F79" s="273" t="s">
        <v>930</v>
      </c>
    </row>
    <row r="80" spans="1:6" x14ac:dyDescent="0.3">
      <c r="A80" s="273"/>
      <c r="B80" s="273"/>
      <c r="C80" s="274" t="s">
        <v>931</v>
      </c>
      <c r="D80" s="273" t="s">
        <v>932</v>
      </c>
      <c r="E80" s="275" t="s">
        <v>933</v>
      </c>
      <c r="F80" s="273" t="s">
        <v>934</v>
      </c>
    </row>
    <row r="81" spans="1:6" ht="4.05" customHeight="1" x14ac:dyDescent="0.3">
      <c r="A81" s="243"/>
      <c r="B81" s="243"/>
      <c r="C81" s="243"/>
      <c r="D81" s="243"/>
      <c r="E81" s="243"/>
      <c r="F81" s="243"/>
    </row>
    <row r="82" spans="1:6" x14ac:dyDescent="0.3">
      <c r="A82" s="276" t="s">
        <v>269</v>
      </c>
      <c r="B82" s="277" t="s">
        <v>935</v>
      </c>
      <c r="C82" s="278" t="s">
        <v>936</v>
      </c>
      <c r="D82" s="277" t="s">
        <v>937</v>
      </c>
      <c r="E82" s="279" t="s">
        <v>938</v>
      </c>
      <c r="F82" s="277" t="s">
        <v>939</v>
      </c>
    </row>
    <row r="83" spans="1:6" x14ac:dyDescent="0.3">
      <c r="A83" s="277"/>
      <c r="B83" s="277"/>
      <c r="C83" s="278" t="s">
        <v>940</v>
      </c>
      <c r="D83" s="277" t="s">
        <v>941</v>
      </c>
      <c r="E83" s="279" t="s">
        <v>942</v>
      </c>
      <c r="F83" s="277"/>
    </row>
    <row r="84" spans="1:6" x14ac:dyDescent="0.3">
      <c r="A84" s="277"/>
      <c r="B84" s="277"/>
      <c r="C84" s="278" t="s">
        <v>367</v>
      </c>
      <c r="D84" s="277" t="s">
        <v>943</v>
      </c>
      <c r="E84" s="279" t="s">
        <v>944</v>
      </c>
      <c r="F84" s="277" t="s">
        <v>945</v>
      </c>
    </row>
    <row r="85" spans="1:6" x14ac:dyDescent="0.3">
      <c r="A85" s="277"/>
      <c r="B85" s="277"/>
      <c r="C85" s="278" t="s">
        <v>946</v>
      </c>
      <c r="D85" s="277" t="s">
        <v>947</v>
      </c>
      <c r="E85" s="279" t="s">
        <v>948</v>
      </c>
      <c r="F85" s="277"/>
    </row>
    <row r="86" spans="1:6" x14ac:dyDescent="0.3">
      <c r="A86" s="277"/>
      <c r="B86" s="277"/>
      <c r="C86" s="278" t="s">
        <v>949</v>
      </c>
      <c r="D86" s="277" t="s">
        <v>950</v>
      </c>
      <c r="E86" s="279" t="s">
        <v>951</v>
      </c>
      <c r="F86" s="277"/>
    </row>
    <row r="87" spans="1:6" x14ac:dyDescent="0.3">
      <c r="A87" s="280" t="s">
        <v>269</v>
      </c>
      <c r="B87" s="281" t="s">
        <v>284</v>
      </c>
      <c r="C87" s="282" t="s">
        <v>952</v>
      </c>
      <c r="D87" s="281" t="s">
        <v>953</v>
      </c>
      <c r="E87" s="283" t="s">
        <v>954</v>
      </c>
      <c r="F87" s="281"/>
    </row>
    <row r="88" spans="1:6" x14ac:dyDescent="0.3">
      <c r="A88" s="281"/>
      <c r="B88" s="281"/>
      <c r="C88" s="282" t="s">
        <v>955</v>
      </c>
      <c r="D88" s="281" t="s">
        <v>956</v>
      </c>
      <c r="E88" s="283" t="s">
        <v>957</v>
      </c>
      <c r="F88" s="281" t="s">
        <v>958</v>
      </c>
    </row>
    <row r="89" spans="1:6" x14ac:dyDescent="0.3">
      <c r="A89" s="281"/>
      <c r="B89" s="281"/>
      <c r="C89" s="282" t="s">
        <v>959</v>
      </c>
      <c r="D89" s="281" t="s">
        <v>960</v>
      </c>
      <c r="E89" s="283" t="s">
        <v>961</v>
      </c>
      <c r="F89" s="281"/>
    </row>
    <row r="90" spans="1:6" x14ac:dyDescent="0.3">
      <c r="A90" s="281"/>
      <c r="B90" s="281"/>
      <c r="C90" s="282" t="s">
        <v>962</v>
      </c>
      <c r="D90" s="281" t="s">
        <v>963</v>
      </c>
      <c r="E90" s="283" t="s">
        <v>964</v>
      </c>
      <c r="F90" s="281"/>
    </row>
    <row r="91" spans="1:6" x14ac:dyDescent="0.3">
      <c r="A91" s="281"/>
      <c r="B91" s="281"/>
      <c r="C91" s="282" t="s">
        <v>965</v>
      </c>
      <c r="D91" s="281" t="s">
        <v>966</v>
      </c>
      <c r="E91" s="283" t="s">
        <v>967</v>
      </c>
      <c r="F91" s="281" t="s">
        <v>968</v>
      </c>
    </row>
    <row r="92" spans="1:6" x14ac:dyDescent="0.3">
      <c r="A92" s="276" t="s">
        <v>269</v>
      </c>
      <c r="B92" s="277" t="s">
        <v>292</v>
      </c>
      <c r="C92" s="278" t="s">
        <v>919</v>
      </c>
      <c r="D92" s="277" t="s">
        <v>969</v>
      </c>
      <c r="E92" s="279" t="s">
        <v>970</v>
      </c>
      <c r="F92" s="277"/>
    </row>
    <row r="93" spans="1:6" x14ac:dyDescent="0.3">
      <c r="A93" s="277"/>
      <c r="B93" s="277"/>
      <c r="C93" s="278" t="s">
        <v>971</v>
      </c>
      <c r="D93" s="277" t="s">
        <v>972</v>
      </c>
      <c r="E93" s="279" t="s">
        <v>973</v>
      </c>
      <c r="F93" s="277"/>
    </row>
    <row r="94" spans="1:6" x14ac:dyDescent="0.3">
      <c r="A94" s="277"/>
      <c r="B94" s="277"/>
      <c r="C94" s="278" t="s">
        <v>742</v>
      </c>
      <c r="D94" s="277" t="s">
        <v>974</v>
      </c>
      <c r="E94" s="279" t="s">
        <v>975</v>
      </c>
      <c r="F94" s="277"/>
    </row>
    <row r="95" spans="1:6" x14ac:dyDescent="0.3">
      <c r="A95" s="277"/>
      <c r="B95" s="277"/>
      <c r="C95" s="278" t="s">
        <v>976</v>
      </c>
      <c r="D95" s="277" t="s">
        <v>977</v>
      </c>
      <c r="E95" s="279" t="s">
        <v>978</v>
      </c>
      <c r="F95" s="277"/>
    </row>
    <row r="96" spans="1:6" x14ac:dyDescent="0.3">
      <c r="A96" s="277"/>
      <c r="B96" s="277"/>
      <c r="C96" s="278" t="s">
        <v>979</v>
      </c>
      <c r="D96" s="277" t="s">
        <v>980</v>
      </c>
      <c r="E96" s="279" t="s">
        <v>981</v>
      </c>
      <c r="F96" s="277" t="s">
        <v>982</v>
      </c>
    </row>
    <row r="97" spans="1:6" ht="4.05" customHeight="1" x14ac:dyDescent="0.3">
      <c r="A97" s="243"/>
      <c r="B97" s="243"/>
      <c r="C97" s="243"/>
      <c r="D97" s="243"/>
      <c r="E97" s="243"/>
      <c r="F97" s="243"/>
    </row>
    <row r="98" spans="1:6" x14ac:dyDescent="0.3">
      <c r="A98" s="235" t="s">
        <v>24</v>
      </c>
      <c r="B98" s="236" t="s">
        <v>983</v>
      </c>
      <c r="C98" s="237" t="s">
        <v>984</v>
      </c>
      <c r="D98" s="236" t="s">
        <v>985</v>
      </c>
      <c r="E98" s="238" t="s">
        <v>986</v>
      </c>
      <c r="F98" s="236" t="s">
        <v>987</v>
      </c>
    </row>
    <row r="99" spans="1:6" x14ac:dyDescent="0.3">
      <c r="A99" s="236"/>
      <c r="B99" s="236"/>
      <c r="C99" s="237" t="s">
        <v>988</v>
      </c>
      <c r="D99" s="236" t="s">
        <v>989</v>
      </c>
      <c r="E99" s="238" t="s">
        <v>990</v>
      </c>
      <c r="F99" s="236" t="s">
        <v>991</v>
      </c>
    </row>
    <row r="100" spans="1:6" x14ac:dyDescent="0.3">
      <c r="A100" s="236"/>
      <c r="B100" s="236"/>
      <c r="C100" s="237" t="s">
        <v>197</v>
      </c>
      <c r="D100" s="236" t="s">
        <v>992</v>
      </c>
      <c r="E100" s="238" t="s">
        <v>993</v>
      </c>
      <c r="F100" s="236" t="s">
        <v>994</v>
      </c>
    </row>
    <row r="101" spans="1:6" x14ac:dyDescent="0.3">
      <c r="A101" s="236"/>
      <c r="B101" s="236"/>
      <c r="C101" s="237" t="s">
        <v>995</v>
      </c>
      <c r="D101" s="236" t="s">
        <v>996</v>
      </c>
      <c r="E101" s="238" t="s">
        <v>997</v>
      </c>
      <c r="F101" s="236" t="s">
        <v>998</v>
      </c>
    </row>
    <row r="102" spans="1:6" x14ac:dyDescent="0.3">
      <c r="A102" s="236"/>
      <c r="B102" s="236"/>
      <c r="C102" s="237" t="s">
        <v>999</v>
      </c>
      <c r="D102" s="236" t="s">
        <v>1000</v>
      </c>
      <c r="E102" s="238" t="s">
        <v>1001</v>
      </c>
      <c r="F102" s="236"/>
    </row>
    <row r="103" spans="1:6" x14ac:dyDescent="0.3">
      <c r="A103" s="236"/>
      <c r="B103" s="236"/>
      <c r="C103" s="237" t="s">
        <v>1002</v>
      </c>
      <c r="D103" s="236" t="s">
        <v>1003</v>
      </c>
      <c r="E103" s="238" t="s">
        <v>1004</v>
      </c>
      <c r="F103" s="236"/>
    </row>
    <row r="104" spans="1:6" ht="4.05" customHeight="1" x14ac:dyDescent="0.3">
      <c r="A104" s="243"/>
      <c r="B104" s="243"/>
      <c r="C104" s="243"/>
      <c r="D104" s="243"/>
      <c r="E104" s="243"/>
      <c r="F104" s="243"/>
    </row>
    <row r="105" spans="1:6" x14ac:dyDescent="0.3">
      <c r="A105" s="284" t="s">
        <v>1005</v>
      </c>
      <c r="B105" s="285" t="s">
        <v>1006</v>
      </c>
      <c r="C105" s="286" t="s">
        <v>1007</v>
      </c>
      <c r="D105" s="285" t="s">
        <v>1008</v>
      </c>
      <c r="E105" s="287" t="s">
        <v>1009</v>
      </c>
      <c r="F105" s="285" t="s">
        <v>1010</v>
      </c>
    </row>
    <row r="106" spans="1:6" x14ac:dyDescent="0.3">
      <c r="A106" s="285"/>
      <c r="B106" s="285"/>
      <c r="C106" s="286" t="s">
        <v>836</v>
      </c>
      <c r="D106" s="285" t="s">
        <v>1011</v>
      </c>
      <c r="E106" s="287" t="s">
        <v>1012</v>
      </c>
      <c r="F106" s="285"/>
    </row>
    <row r="107" spans="1:6" x14ac:dyDescent="0.3">
      <c r="A107" s="285"/>
      <c r="B107" s="285"/>
      <c r="C107" s="286" t="s">
        <v>839</v>
      </c>
      <c r="D107" s="285" t="s">
        <v>1013</v>
      </c>
      <c r="E107" s="287" t="s">
        <v>1014</v>
      </c>
      <c r="F107" s="285"/>
    </row>
    <row r="108" spans="1:6" x14ac:dyDescent="0.3">
      <c r="A108" s="285"/>
      <c r="B108" s="285"/>
      <c r="C108" s="286" t="s">
        <v>842</v>
      </c>
      <c r="D108" s="285" t="s">
        <v>1015</v>
      </c>
      <c r="E108" s="287" t="s">
        <v>1016</v>
      </c>
      <c r="F108" s="285"/>
    </row>
    <row r="109" spans="1:6" x14ac:dyDescent="0.3">
      <c r="A109" s="285"/>
      <c r="B109" s="285"/>
      <c r="C109" s="286" t="s">
        <v>1017</v>
      </c>
      <c r="D109" s="285" t="s">
        <v>1018</v>
      </c>
      <c r="E109" s="287" t="s">
        <v>1019</v>
      </c>
      <c r="F109" s="285"/>
    </row>
    <row r="110" spans="1:6" x14ac:dyDescent="0.3">
      <c r="A110" s="288" t="s">
        <v>1005</v>
      </c>
      <c r="B110" s="289" t="s">
        <v>1020</v>
      </c>
      <c r="C110" s="290" t="s">
        <v>1021</v>
      </c>
      <c r="D110" s="289" t="s">
        <v>1022</v>
      </c>
      <c r="E110" s="291" t="s">
        <v>1023</v>
      </c>
      <c r="F110" s="289"/>
    </row>
    <row r="111" spans="1:6" x14ac:dyDescent="0.3">
      <c r="A111" s="289"/>
      <c r="B111" s="289"/>
      <c r="C111" s="290" t="s">
        <v>1024</v>
      </c>
      <c r="D111" s="289" t="s">
        <v>1025</v>
      </c>
      <c r="E111" s="291" t="s">
        <v>1026</v>
      </c>
      <c r="F111" s="289" t="s">
        <v>1027</v>
      </c>
    </row>
    <row r="112" spans="1:6" x14ac:dyDescent="0.3">
      <c r="A112" s="289"/>
      <c r="B112" s="289"/>
      <c r="C112" s="290" t="s">
        <v>1028</v>
      </c>
      <c r="D112" s="289" t="s">
        <v>1029</v>
      </c>
      <c r="E112" s="291" t="s">
        <v>1030</v>
      </c>
      <c r="F112" s="289"/>
    </row>
    <row r="113" spans="1:6" x14ac:dyDescent="0.3">
      <c r="A113" s="289"/>
      <c r="B113" s="289"/>
      <c r="C113" s="290" t="s">
        <v>1031</v>
      </c>
      <c r="D113" s="289" t="s">
        <v>1032</v>
      </c>
      <c r="E113" s="291" t="s">
        <v>1033</v>
      </c>
      <c r="F113" s="289"/>
    </row>
    <row r="114" spans="1:6" ht="4.05" customHeight="1" x14ac:dyDescent="0.3">
      <c r="A114" s="243"/>
      <c r="B114" s="243"/>
      <c r="C114" s="243"/>
      <c r="D114" s="243"/>
      <c r="E114" s="243"/>
      <c r="F114" s="243"/>
    </row>
    <row r="115" spans="1:6" x14ac:dyDescent="0.3">
      <c r="A115" s="276" t="s">
        <v>269</v>
      </c>
      <c r="B115" s="277" t="s">
        <v>1034</v>
      </c>
      <c r="C115" s="278" t="s">
        <v>1035</v>
      </c>
      <c r="D115" s="277" t="s">
        <v>1036</v>
      </c>
      <c r="E115" s="279" t="s">
        <v>1037</v>
      </c>
      <c r="F115" s="277"/>
    </row>
    <row r="116" spans="1:6" x14ac:dyDescent="0.3">
      <c r="A116" s="277"/>
      <c r="B116" s="277"/>
      <c r="C116" s="278" t="s">
        <v>1038</v>
      </c>
      <c r="D116" s="277" t="s">
        <v>1039</v>
      </c>
      <c r="E116" s="279" t="s">
        <v>1040</v>
      </c>
      <c r="F116" s="277"/>
    </row>
    <row r="117" spans="1:6" x14ac:dyDescent="0.3">
      <c r="A117" s="277"/>
      <c r="B117" s="277"/>
      <c r="C117" s="278" t="s">
        <v>1041</v>
      </c>
      <c r="D117" s="277" t="s">
        <v>1042</v>
      </c>
      <c r="E117" s="279" t="s">
        <v>1043</v>
      </c>
      <c r="F117" s="277"/>
    </row>
    <row r="118" spans="1:6" ht="4.05" customHeight="1" x14ac:dyDescent="0.3">
      <c r="A118" s="243"/>
      <c r="B118" s="243"/>
      <c r="C118" s="243"/>
      <c r="D118" s="243"/>
      <c r="E118" s="243"/>
      <c r="F118" s="243"/>
    </row>
    <row r="119" spans="1:6" ht="28.05" customHeight="1" x14ac:dyDescent="0.3">
      <c r="A119" s="292" t="s">
        <v>1044</v>
      </c>
      <c r="B119" s="122"/>
      <c r="C119" s="122"/>
      <c r="D119" s="122"/>
      <c r="E119" s="122"/>
      <c r="F119" s="122"/>
    </row>
    <row r="120" spans="1:6" x14ac:dyDescent="0.3">
      <c r="A120" s="293" t="s">
        <v>1045</v>
      </c>
      <c r="B120" s="293"/>
      <c r="C120" s="293"/>
      <c r="D120" s="293"/>
      <c r="E120" s="293"/>
      <c r="F120" s="293"/>
    </row>
    <row r="121" spans="1:6" x14ac:dyDescent="0.3">
      <c r="A121" s="293" t="s">
        <v>1046</v>
      </c>
      <c r="B121" s="293"/>
      <c r="C121" s="293"/>
      <c r="D121" s="293"/>
      <c r="E121" s="293"/>
      <c r="F121" s="293"/>
    </row>
    <row r="122" spans="1:6" x14ac:dyDescent="0.3">
      <c r="A122" s="293" t="s">
        <v>1047</v>
      </c>
      <c r="B122" s="293"/>
      <c r="C122" s="293"/>
      <c r="D122" s="293"/>
      <c r="E122" s="293"/>
      <c r="F122" s="293"/>
    </row>
    <row r="123" spans="1:6" x14ac:dyDescent="0.3">
      <c r="A123" s="294" t="s">
        <v>1048</v>
      </c>
      <c r="B123" s="293"/>
      <c r="C123" s="293"/>
      <c r="D123" s="293"/>
      <c r="E123" s="293"/>
      <c r="F123" s="293"/>
    </row>
  </sheetData>
  <mergeCells count="3">
    <mergeCell ref="A1:F1"/>
    <mergeCell ref="A2:F2"/>
    <mergeCell ref="A119:F1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22AF-1F40-46DA-B05C-1F5F056299CB}">
  <dimension ref="A1:M47"/>
  <sheetViews>
    <sheetView workbookViewId="0">
      <pane ySplit="4" topLeftCell="A5" activePane="bottomLeft" state="frozen"/>
      <selection pane="bottomLeft" sqref="A1:M1"/>
    </sheetView>
  </sheetViews>
  <sheetFormatPr defaultRowHeight="14.4" x14ac:dyDescent="0.3"/>
  <cols>
    <col min="1" max="13" width="29.6640625" customWidth="1"/>
  </cols>
  <sheetData>
    <row r="1" spans="1:13" ht="40.049999999999997" customHeight="1" x14ac:dyDescent="0.4">
      <c r="A1" s="296" t="s">
        <v>1049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4" customHeight="1" x14ac:dyDescent="0.3">
      <c r="A2" s="172" t="s">
        <v>1050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6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0" customHeight="1" x14ac:dyDescent="0.3">
      <c r="A4" s="297" t="s">
        <v>1051</v>
      </c>
      <c r="B4" s="297" t="s">
        <v>1052</v>
      </c>
      <c r="C4" s="297" t="s">
        <v>1053</v>
      </c>
      <c r="D4" s="298" t="s">
        <v>1054</v>
      </c>
      <c r="E4" s="298" t="s">
        <v>1055</v>
      </c>
      <c r="F4" s="298" t="s">
        <v>1056</v>
      </c>
      <c r="G4" s="299" t="s">
        <v>1057</v>
      </c>
      <c r="H4" s="299" t="s">
        <v>1058</v>
      </c>
      <c r="I4" s="299" t="s">
        <v>1059</v>
      </c>
      <c r="J4" s="300" t="s">
        <v>1060</v>
      </c>
      <c r="K4" s="300" t="s">
        <v>1061</v>
      </c>
      <c r="L4" s="300" t="s">
        <v>1062</v>
      </c>
      <c r="M4" s="301" t="s">
        <v>1063</v>
      </c>
    </row>
    <row r="5" spans="1:13" x14ac:dyDescent="0.3">
      <c r="A5" s="237" t="s">
        <v>718</v>
      </c>
      <c r="B5" s="237" t="s">
        <v>739</v>
      </c>
      <c r="C5" s="237" t="s">
        <v>984</v>
      </c>
      <c r="D5" s="246" t="s">
        <v>353</v>
      </c>
      <c r="E5" s="246" t="s">
        <v>777</v>
      </c>
      <c r="F5" s="246" t="s">
        <v>800</v>
      </c>
      <c r="G5" s="254" t="s">
        <v>816</v>
      </c>
      <c r="H5" s="254" t="s">
        <v>831</v>
      </c>
      <c r="I5" s="254" t="s">
        <v>797</v>
      </c>
      <c r="J5" s="262" t="s">
        <v>859</v>
      </c>
      <c r="K5" s="262" t="s">
        <v>883</v>
      </c>
      <c r="L5" s="262" t="s">
        <v>895</v>
      </c>
      <c r="M5" s="270" t="s">
        <v>907</v>
      </c>
    </row>
    <row r="6" spans="1:13" x14ac:dyDescent="0.3">
      <c r="A6" s="237" t="s">
        <v>721</v>
      </c>
      <c r="B6" s="237" t="s">
        <v>742</v>
      </c>
      <c r="C6" s="237" t="s">
        <v>988</v>
      </c>
      <c r="D6" s="246" t="s">
        <v>374</v>
      </c>
      <c r="E6" s="246" t="s">
        <v>780</v>
      </c>
      <c r="F6" s="246" t="s">
        <v>804</v>
      </c>
      <c r="G6" s="254" t="s">
        <v>820</v>
      </c>
      <c r="H6" s="254" t="s">
        <v>742</v>
      </c>
      <c r="I6" s="254" t="s">
        <v>850</v>
      </c>
      <c r="J6" s="262" t="s">
        <v>862</v>
      </c>
      <c r="K6" s="262" t="s">
        <v>887</v>
      </c>
      <c r="L6" s="262" t="s">
        <v>898</v>
      </c>
      <c r="M6" s="270" t="s">
        <v>911</v>
      </c>
    </row>
    <row r="7" spans="1:13" x14ac:dyDescent="0.3">
      <c r="A7" s="237" t="s">
        <v>724</v>
      </c>
      <c r="B7" s="237" t="s">
        <v>745</v>
      </c>
      <c r="C7" s="237" t="s">
        <v>197</v>
      </c>
      <c r="D7" s="246" t="s">
        <v>394</v>
      </c>
      <c r="E7" s="246" t="s">
        <v>783</v>
      </c>
      <c r="F7" s="246" t="s">
        <v>808</v>
      </c>
      <c r="G7" s="254" t="s">
        <v>823</v>
      </c>
      <c r="H7" s="254" t="s">
        <v>836</v>
      </c>
      <c r="I7" s="254" t="s">
        <v>853</v>
      </c>
      <c r="J7" s="262" t="s">
        <v>865</v>
      </c>
      <c r="K7" s="262" t="s">
        <v>891</v>
      </c>
      <c r="L7" s="262" t="s">
        <v>901</v>
      </c>
      <c r="M7" s="270" t="s">
        <v>915</v>
      </c>
    </row>
    <row r="8" spans="1:13" x14ac:dyDescent="0.3">
      <c r="A8" s="237" t="s">
        <v>727</v>
      </c>
      <c r="B8" s="237" t="s">
        <v>748</v>
      </c>
      <c r="C8" s="237" t="s">
        <v>995</v>
      </c>
      <c r="D8" s="246" t="s">
        <v>431</v>
      </c>
      <c r="E8" s="246" t="s">
        <v>786</v>
      </c>
      <c r="F8" s="246" t="s">
        <v>812</v>
      </c>
      <c r="G8" s="254" t="s">
        <v>727</v>
      </c>
      <c r="H8" s="254" t="s">
        <v>839</v>
      </c>
      <c r="I8" s="254" t="s">
        <v>856</v>
      </c>
      <c r="J8" s="262" t="s">
        <v>727</v>
      </c>
      <c r="K8" s="262"/>
      <c r="L8" s="262" t="s">
        <v>904</v>
      </c>
      <c r="M8" s="270" t="s">
        <v>919</v>
      </c>
    </row>
    <row r="9" spans="1:13" x14ac:dyDescent="0.3">
      <c r="A9" s="237" t="s">
        <v>730</v>
      </c>
      <c r="B9" s="237" t="s">
        <v>751</v>
      </c>
      <c r="C9" s="237" t="s">
        <v>999</v>
      </c>
      <c r="D9" s="246" t="s">
        <v>455</v>
      </c>
      <c r="E9" s="246" t="s">
        <v>404</v>
      </c>
      <c r="F9" s="246"/>
      <c r="G9" s="254" t="s">
        <v>828</v>
      </c>
      <c r="H9" s="254" t="s">
        <v>842</v>
      </c>
      <c r="I9" s="254"/>
      <c r="J9" s="262" t="s">
        <v>870</v>
      </c>
      <c r="K9" s="262"/>
      <c r="L9" s="262"/>
      <c r="M9" s="270"/>
    </row>
    <row r="10" spans="1:13" x14ac:dyDescent="0.3">
      <c r="A10" s="237" t="s">
        <v>733</v>
      </c>
      <c r="B10" s="237"/>
      <c r="C10" s="237" t="s">
        <v>1002</v>
      </c>
      <c r="D10" s="246" t="s">
        <v>466</v>
      </c>
      <c r="E10" s="246" t="s">
        <v>791</v>
      </c>
      <c r="F10" s="246"/>
      <c r="G10" s="254"/>
      <c r="H10" s="254" t="s">
        <v>845</v>
      </c>
      <c r="I10" s="254"/>
      <c r="J10" s="262" t="s">
        <v>873</v>
      </c>
      <c r="K10" s="262"/>
      <c r="L10" s="262"/>
      <c r="M10" s="270"/>
    </row>
    <row r="11" spans="1:13" x14ac:dyDescent="0.3">
      <c r="A11" s="237" t="s">
        <v>736</v>
      </c>
      <c r="B11" s="237"/>
      <c r="C11" s="237"/>
      <c r="D11" s="246" t="s">
        <v>503</v>
      </c>
      <c r="E11" s="246" t="s">
        <v>794</v>
      </c>
      <c r="F11" s="246"/>
      <c r="G11" s="254"/>
      <c r="H11" s="254"/>
      <c r="I11" s="254"/>
      <c r="J11" s="262" t="s">
        <v>877</v>
      </c>
      <c r="K11" s="262"/>
      <c r="L11" s="262"/>
      <c r="M11" s="270"/>
    </row>
    <row r="12" spans="1:13" x14ac:dyDescent="0.3">
      <c r="A12" s="237"/>
      <c r="B12" s="237"/>
      <c r="C12" s="237"/>
      <c r="D12" s="246" t="s">
        <v>404</v>
      </c>
      <c r="E12" s="246" t="s">
        <v>797</v>
      </c>
      <c r="F12" s="246"/>
      <c r="G12" s="254"/>
      <c r="H12" s="254"/>
      <c r="I12" s="254"/>
      <c r="J12" s="262" t="s">
        <v>880</v>
      </c>
      <c r="K12" s="262"/>
      <c r="L12" s="262"/>
      <c r="M12" s="270"/>
    </row>
    <row r="13" spans="1:13" x14ac:dyDescent="0.3">
      <c r="A13" s="237"/>
      <c r="B13" s="237"/>
      <c r="C13" s="237"/>
      <c r="D13" s="246" t="s">
        <v>443</v>
      </c>
      <c r="E13" s="246"/>
      <c r="F13" s="246"/>
      <c r="G13" s="254"/>
      <c r="H13" s="254"/>
      <c r="I13" s="254"/>
      <c r="J13" s="262"/>
      <c r="K13" s="262"/>
      <c r="L13" s="262"/>
      <c r="M13" s="270"/>
    </row>
    <row r="14" spans="1:13" x14ac:dyDescent="0.3">
      <c r="A14" s="237"/>
      <c r="B14" s="237"/>
      <c r="C14" s="237"/>
      <c r="D14" s="246" t="s">
        <v>772</v>
      </c>
      <c r="E14" s="246"/>
      <c r="F14" s="246"/>
      <c r="G14" s="254"/>
      <c r="H14" s="254"/>
      <c r="I14" s="254"/>
      <c r="J14" s="262"/>
      <c r="K14" s="262"/>
      <c r="L14" s="262"/>
      <c r="M14" s="270"/>
    </row>
    <row r="15" spans="1:13" x14ac:dyDescent="0.3">
      <c r="A15" s="237"/>
      <c r="B15" s="237"/>
      <c r="C15" s="237"/>
      <c r="D15" s="246" t="s">
        <v>535</v>
      </c>
      <c r="E15" s="246"/>
      <c r="F15" s="246"/>
      <c r="G15" s="254"/>
      <c r="H15" s="254"/>
      <c r="I15" s="254"/>
      <c r="J15" s="262"/>
      <c r="K15" s="262"/>
      <c r="L15" s="262"/>
      <c r="M15" s="270"/>
    </row>
    <row r="17" spans="1:13" ht="6" customHeigh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30" customHeight="1" x14ac:dyDescent="0.3">
      <c r="A18" s="301" t="s">
        <v>1064</v>
      </c>
      <c r="B18" s="304" t="s">
        <v>1065</v>
      </c>
      <c r="C18" s="304" t="s">
        <v>1066</v>
      </c>
      <c r="D18" s="304" t="s">
        <v>1067</v>
      </c>
      <c r="E18" s="304" t="s">
        <v>1068</v>
      </c>
      <c r="F18" s="302"/>
      <c r="G18" s="302"/>
      <c r="H18" s="302"/>
      <c r="I18" s="302"/>
      <c r="J18" s="302"/>
      <c r="K18" s="302"/>
      <c r="L18" s="302"/>
      <c r="M18" s="302"/>
    </row>
    <row r="19" spans="1:13" x14ac:dyDescent="0.3">
      <c r="A19" s="270" t="s">
        <v>923</v>
      </c>
      <c r="B19" s="278" t="s">
        <v>936</v>
      </c>
      <c r="C19" s="278" t="s">
        <v>952</v>
      </c>
      <c r="D19" s="278" t="s">
        <v>919</v>
      </c>
      <c r="E19" s="278" t="s">
        <v>1035</v>
      </c>
    </row>
    <row r="20" spans="1:13" x14ac:dyDescent="0.3">
      <c r="A20" s="270" t="s">
        <v>927</v>
      </c>
      <c r="B20" s="278" t="s">
        <v>940</v>
      </c>
      <c r="C20" s="278" t="s">
        <v>955</v>
      </c>
      <c r="D20" s="278" t="s">
        <v>971</v>
      </c>
      <c r="E20" s="278" t="s">
        <v>1038</v>
      </c>
    </row>
    <row r="21" spans="1:13" x14ac:dyDescent="0.3">
      <c r="A21" s="270" t="s">
        <v>931</v>
      </c>
      <c r="B21" s="278" t="s">
        <v>367</v>
      </c>
      <c r="C21" s="278" t="s">
        <v>959</v>
      </c>
      <c r="D21" s="278" t="s">
        <v>742</v>
      </c>
      <c r="E21" s="278" t="s">
        <v>1041</v>
      </c>
    </row>
    <row r="22" spans="1:13" x14ac:dyDescent="0.3">
      <c r="A22" s="303"/>
      <c r="B22" s="278" t="s">
        <v>946</v>
      </c>
      <c r="C22" s="278" t="s">
        <v>962</v>
      </c>
      <c r="D22" s="278" t="s">
        <v>976</v>
      </c>
      <c r="E22" s="278"/>
    </row>
    <row r="23" spans="1:13" x14ac:dyDescent="0.3">
      <c r="A23" s="303"/>
      <c r="B23" s="278" t="s">
        <v>949</v>
      </c>
      <c r="C23" s="278" t="s">
        <v>965</v>
      </c>
      <c r="D23" s="278" t="s">
        <v>979</v>
      </c>
      <c r="E23" s="278"/>
    </row>
    <row r="26" spans="1:13" ht="10.050000000000001" customHeight="1" x14ac:dyDescent="0.3">
      <c r="A26" s="305"/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5"/>
      <c r="M26" s="305"/>
    </row>
    <row r="27" spans="1:13" ht="31.95" customHeight="1" x14ac:dyDescent="0.35">
      <c r="A27" s="443" t="s">
        <v>1281</v>
      </c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</row>
    <row r="28" spans="1:13" ht="36" customHeight="1" x14ac:dyDescent="0.3">
      <c r="A28" s="445" t="s">
        <v>1282</v>
      </c>
      <c r="B28" s="445" t="s">
        <v>1283</v>
      </c>
      <c r="C28" s="445" t="s">
        <v>1284</v>
      </c>
      <c r="D28" s="445" t="s">
        <v>1285</v>
      </c>
      <c r="E28" s="445" t="s">
        <v>1286</v>
      </c>
      <c r="F28" s="445" t="s">
        <v>1287</v>
      </c>
      <c r="G28" s="445" t="s">
        <v>1288</v>
      </c>
      <c r="H28" s="445" t="s">
        <v>1289</v>
      </c>
      <c r="I28" s="445" t="s">
        <v>1290</v>
      </c>
      <c r="J28" s="445" t="s">
        <v>1291</v>
      </c>
      <c r="K28" s="445" t="s">
        <v>1292</v>
      </c>
      <c r="L28" s="445" t="s">
        <v>1293</v>
      </c>
      <c r="M28" s="445" t="s">
        <v>1294</v>
      </c>
    </row>
    <row r="29" spans="1:13" x14ac:dyDescent="0.3">
      <c r="A29" s="263" t="s">
        <v>1295</v>
      </c>
      <c r="B29" s="263" t="s">
        <v>859</v>
      </c>
      <c r="C29" s="263" t="s">
        <v>862</v>
      </c>
      <c r="D29" s="263" t="s">
        <v>895</v>
      </c>
      <c r="E29" s="263" t="s">
        <v>1313</v>
      </c>
      <c r="F29" s="263" t="s">
        <v>1318</v>
      </c>
      <c r="G29" s="263" t="s">
        <v>1323</v>
      </c>
      <c r="H29" s="263" t="s">
        <v>1327</v>
      </c>
      <c r="I29" s="263" t="s">
        <v>1332</v>
      </c>
      <c r="J29" s="263" t="s">
        <v>1336</v>
      </c>
      <c r="K29" s="263" t="s">
        <v>1340</v>
      </c>
      <c r="L29" s="263" t="s">
        <v>1344</v>
      </c>
      <c r="M29" s="263" t="s">
        <v>1313</v>
      </c>
    </row>
    <row r="30" spans="1:13" x14ac:dyDescent="0.3">
      <c r="A30" s="263" t="s">
        <v>1296</v>
      </c>
      <c r="B30" s="263" t="s">
        <v>870</v>
      </c>
      <c r="C30" s="263" t="s">
        <v>865</v>
      </c>
      <c r="D30" s="263" t="s">
        <v>1309</v>
      </c>
      <c r="E30" s="263" t="s">
        <v>1314</v>
      </c>
      <c r="F30" s="263" t="s">
        <v>1319</v>
      </c>
      <c r="G30" s="263" t="s">
        <v>1324</v>
      </c>
      <c r="H30" s="263" t="s">
        <v>1328</v>
      </c>
      <c r="I30" s="263" t="s">
        <v>1333</v>
      </c>
      <c r="J30" s="263" t="s">
        <v>1337</v>
      </c>
      <c r="K30" s="263" t="s">
        <v>1341</v>
      </c>
      <c r="L30" s="263" t="s">
        <v>1345</v>
      </c>
      <c r="M30" s="263" t="s">
        <v>1348</v>
      </c>
    </row>
    <row r="31" spans="1:13" x14ac:dyDescent="0.3">
      <c r="A31" s="263" t="s">
        <v>1297</v>
      </c>
      <c r="B31" s="263" t="s">
        <v>1304</v>
      </c>
      <c r="C31" s="263" t="s">
        <v>1306</v>
      </c>
      <c r="D31" s="263" t="s">
        <v>1310</v>
      </c>
      <c r="E31" s="263" t="s">
        <v>1315</v>
      </c>
      <c r="F31" s="263" t="s">
        <v>1320</v>
      </c>
      <c r="G31" s="263" t="s">
        <v>1325</v>
      </c>
      <c r="H31" s="263" t="s">
        <v>1329</v>
      </c>
      <c r="I31" s="263" t="s">
        <v>1334</v>
      </c>
      <c r="J31" s="263" t="s">
        <v>1338</v>
      </c>
      <c r="K31" s="263" t="s">
        <v>1342</v>
      </c>
      <c r="L31" s="263" t="s">
        <v>1346</v>
      </c>
      <c r="M31" s="263" t="s">
        <v>1349</v>
      </c>
    </row>
    <row r="32" spans="1:13" x14ac:dyDescent="0.3">
      <c r="A32" s="263" t="s">
        <v>1298</v>
      </c>
      <c r="B32" s="263" t="s">
        <v>1305</v>
      </c>
      <c r="C32" s="263" t="s">
        <v>727</v>
      </c>
      <c r="D32" s="263" t="s">
        <v>1311</v>
      </c>
      <c r="E32" s="263" t="s">
        <v>1316</v>
      </c>
      <c r="F32" s="263" t="s">
        <v>1321</v>
      </c>
      <c r="G32" s="263" t="s">
        <v>1326</v>
      </c>
      <c r="H32" s="263" t="s">
        <v>1330</v>
      </c>
      <c r="I32" s="263" t="s">
        <v>1335</v>
      </c>
      <c r="J32" s="263" t="s">
        <v>1339</v>
      </c>
      <c r="K32" s="263" t="s">
        <v>1343</v>
      </c>
      <c r="L32" s="263" t="s">
        <v>1347</v>
      </c>
      <c r="M32" s="263" t="s">
        <v>1350</v>
      </c>
    </row>
    <row r="33" spans="1:13" x14ac:dyDescent="0.3">
      <c r="A33" s="263" t="s">
        <v>1299</v>
      </c>
      <c r="B33" s="263"/>
      <c r="C33" s="263" t="s">
        <v>870</v>
      </c>
      <c r="D33" s="263" t="s">
        <v>1312</v>
      </c>
      <c r="E33" s="263" t="s">
        <v>1317</v>
      </c>
      <c r="F33" s="263" t="s">
        <v>1322</v>
      </c>
      <c r="G33" s="263"/>
      <c r="H33" s="263" t="s">
        <v>1331</v>
      </c>
      <c r="I33" s="263"/>
      <c r="J33" s="263"/>
      <c r="K33" s="263"/>
      <c r="L33" s="263"/>
      <c r="M33" s="263"/>
    </row>
    <row r="34" spans="1:13" x14ac:dyDescent="0.3">
      <c r="A34" s="263" t="s">
        <v>1300</v>
      </c>
      <c r="B34" s="263"/>
      <c r="C34" s="263" t="s">
        <v>877</v>
      </c>
      <c r="D34" s="263"/>
      <c r="E34" s="263"/>
      <c r="F34" s="263"/>
      <c r="G34" s="263"/>
      <c r="H34" s="263"/>
      <c r="I34" s="263"/>
      <c r="J34" s="263"/>
      <c r="K34" s="263"/>
      <c r="L34" s="263"/>
      <c r="M34" s="263"/>
    </row>
    <row r="35" spans="1:13" x14ac:dyDescent="0.3">
      <c r="A35" s="263" t="s">
        <v>1301</v>
      </c>
      <c r="B35" s="263"/>
      <c r="C35" s="263" t="s">
        <v>873</v>
      </c>
      <c r="D35" s="263"/>
      <c r="E35" s="263"/>
      <c r="F35" s="263"/>
      <c r="G35" s="263"/>
      <c r="H35" s="263"/>
      <c r="I35" s="263"/>
      <c r="J35" s="263"/>
      <c r="K35" s="263"/>
      <c r="L35" s="263"/>
      <c r="M35" s="263"/>
    </row>
    <row r="36" spans="1:13" x14ac:dyDescent="0.3">
      <c r="A36" s="263" t="s">
        <v>1302</v>
      </c>
      <c r="B36" s="263"/>
      <c r="C36" s="263" t="s">
        <v>1307</v>
      </c>
      <c r="D36" s="263"/>
      <c r="E36" s="263"/>
      <c r="F36" s="263"/>
      <c r="G36" s="263"/>
      <c r="H36" s="263"/>
      <c r="I36" s="263"/>
      <c r="J36" s="263"/>
      <c r="K36" s="263"/>
      <c r="L36" s="263"/>
      <c r="M36" s="263"/>
    </row>
    <row r="37" spans="1:13" x14ac:dyDescent="0.3">
      <c r="A37" s="263" t="s">
        <v>1303</v>
      </c>
      <c r="B37" s="263"/>
      <c r="C37" s="263" t="s">
        <v>880</v>
      </c>
      <c r="D37" s="263"/>
      <c r="E37" s="263"/>
      <c r="F37" s="263"/>
      <c r="G37" s="263"/>
      <c r="H37" s="263"/>
      <c r="I37" s="263"/>
      <c r="J37" s="263"/>
      <c r="K37" s="263"/>
      <c r="L37" s="263"/>
      <c r="M37" s="263"/>
    </row>
    <row r="38" spans="1:13" x14ac:dyDescent="0.3">
      <c r="A38" s="263"/>
      <c r="B38" s="263"/>
      <c r="C38" s="263" t="s">
        <v>1308</v>
      </c>
      <c r="D38" s="263"/>
      <c r="E38" s="263"/>
      <c r="F38" s="263"/>
      <c r="G38" s="263"/>
      <c r="H38" s="263"/>
      <c r="I38" s="263"/>
      <c r="J38" s="263"/>
      <c r="K38" s="263"/>
      <c r="L38" s="263"/>
      <c r="M38" s="263"/>
    </row>
    <row r="40" spans="1:13" ht="4.05" customHeight="1" x14ac:dyDescent="0.3">
      <c r="A40" s="243"/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</row>
    <row r="41" spans="1:13" ht="28.05" customHeight="1" x14ac:dyDescent="0.3">
      <c r="A41" s="444" t="s">
        <v>1351</v>
      </c>
      <c r="B41" s="444" t="s">
        <v>1352</v>
      </c>
      <c r="C41" s="444" t="s">
        <v>1353</v>
      </c>
      <c r="D41" s="444" t="s">
        <v>1354</v>
      </c>
    </row>
    <row r="42" spans="1:13" x14ac:dyDescent="0.3">
      <c r="A42" s="267" t="s">
        <v>1355</v>
      </c>
      <c r="B42" s="267" t="s">
        <v>1359</v>
      </c>
      <c r="C42" s="267" t="s">
        <v>1361</v>
      </c>
      <c r="D42" s="267" t="s">
        <v>1041</v>
      </c>
    </row>
    <row r="43" spans="1:13" x14ac:dyDescent="0.3">
      <c r="A43" s="267" t="s">
        <v>1356</v>
      </c>
      <c r="B43" s="267" t="s">
        <v>880</v>
      </c>
      <c r="C43" s="267" t="s">
        <v>1362</v>
      </c>
      <c r="D43" s="267" t="s">
        <v>1367</v>
      </c>
    </row>
    <row r="44" spans="1:13" x14ac:dyDescent="0.3">
      <c r="A44" s="267" t="s">
        <v>1357</v>
      </c>
      <c r="B44" s="267" t="s">
        <v>1360</v>
      </c>
      <c r="C44" s="267" t="s">
        <v>1363</v>
      </c>
      <c r="D44" s="267" t="s">
        <v>1035</v>
      </c>
    </row>
    <row r="45" spans="1:13" x14ac:dyDescent="0.3">
      <c r="A45" s="267" t="s">
        <v>1358</v>
      </c>
      <c r="B45" s="267"/>
      <c r="C45" s="267" t="s">
        <v>1364</v>
      </c>
      <c r="D45" s="267"/>
    </row>
    <row r="46" spans="1:13" x14ac:dyDescent="0.3">
      <c r="A46" s="267"/>
      <c r="B46" s="267"/>
      <c r="C46" s="267" t="s">
        <v>1365</v>
      </c>
      <c r="D46" s="267"/>
    </row>
    <row r="47" spans="1:13" x14ac:dyDescent="0.3">
      <c r="A47" s="267"/>
      <c r="B47" s="267"/>
      <c r="C47" s="267" t="s">
        <v>1366</v>
      </c>
      <c r="D47" s="267"/>
    </row>
  </sheetData>
  <mergeCells count="3">
    <mergeCell ref="A1:M1"/>
    <mergeCell ref="A2:M2"/>
    <mergeCell ref="A27:M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7Q Explained</vt:lpstr>
      <vt:lpstr>7Q Reverse</vt:lpstr>
      <vt:lpstr>7Q Engine</vt:lpstr>
      <vt:lpstr>Evidence Protocol</vt:lpstr>
      <vt:lpstr>Evidence Calculator</vt:lpstr>
      <vt:lpstr>7Q Framework</vt:lpstr>
      <vt:lpstr>Disciplines</vt:lpstr>
      <vt:lpstr>Truth Score</vt:lpstr>
      <vt:lpstr>Enums &amp; Dropdowns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Lowe</dc:creator>
  <cp:lastModifiedBy>David Lowe</cp:lastModifiedBy>
  <dcterms:created xsi:type="dcterms:W3CDTF">2026-03-21T14:59:57Z</dcterms:created>
  <dcterms:modified xsi:type="dcterms:W3CDTF">2026-03-21T16:13:00Z</dcterms:modified>
</cp:coreProperties>
</file>