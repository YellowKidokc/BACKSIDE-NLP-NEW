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ED768D0FBEBA00/Documents/"/>
    </mc:Choice>
  </mc:AlternateContent>
  <xr:revisionPtr revIDLastSave="1" documentId="8_{53AE86A0-ADA8-45A7-9783-44B3321D3064}" xr6:coauthVersionLast="47" xr6:coauthVersionMax="47" xr10:uidLastSave="{F4D254C3-16F3-4236-B990-988FBB4E123C}"/>
  <bookViews>
    <workbookView xWindow="-108" yWindow="492" windowWidth="49368" windowHeight="24816" activeTab="9" xr2:uid="{F120F527-8F75-403E-9F93-975B99824633}"/>
  </bookViews>
  <sheets>
    <sheet name="Overview" sheetId="1" r:id="rId1"/>
    <sheet name="Card Database" sheetId="2" r:id="rId2"/>
    <sheet name="Player Setup" sheetId="3" r:id="rId3"/>
    <sheet name="Round Tracker" sheetId="4" r:id="rId4"/>
    <sheet name="Burden-Location Map" sheetId="5" r:id="rId5"/>
    <sheet name="GAME BOARD" sheetId="6" r:id="rId6"/>
    <sheet name="PLAYER DASHBOARD" sheetId="7" r:id="rId7"/>
    <sheet name="PLAY TABLE" sheetId="8" r:id="rId8"/>
    <sheet name="CARD DATA" sheetId="9" r:id="rId9"/>
    <sheet name="VBA CODE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3" i="4" l="1"/>
  <c r="C33" i="4"/>
  <c r="D32" i="4"/>
  <c r="C32" i="4"/>
  <c r="D31" i="4"/>
  <c r="C31" i="4"/>
  <c r="D30" i="4"/>
  <c r="C30" i="4"/>
  <c r="D29" i="4"/>
  <c r="C29" i="4"/>
  <c r="E31" i="3"/>
  <c r="D31" i="3"/>
  <c r="C31" i="3"/>
  <c r="C17" i="3"/>
  <c r="D16" i="3"/>
  <c r="D15" i="3"/>
  <c r="D14" i="3"/>
  <c r="D13" i="3"/>
  <c r="D12" i="3"/>
  <c r="D11" i="3"/>
  <c r="D10" i="3"/>
  <c r="C70" i="2"/>
  <c r="B70" i="2"/>
  <c r="B64" i="2"/>
  <c r="B63" i="2"/>
  <c r="B62" i="2"/>
</calcChain>
</file>

<file path=xl/sharedStrings.xml><?xml version="1.0" encoding="utf-8"?>
<sst xmlns="http://schemas.openxmlformats.org/spreadsheetml/2006/main" count="1524" uniqueCount="1021">
  <si>
    <t>THE LAST TRUMPET — Game Design Overview</t>
  </si>
  <si>
    <t>Prototype v0.1 — Social Deduction + Revelation</t>
  </si>
  <si>
    <t>ONE-LINE PITCH</t>
  </si>
  <si>
    <t>A semi-cooperative social strategy game where players must discern truth, resist deception, and respond to grace before the final trumpet sounds — not to stop the end, but to be found rightly aligned when it comes.</t>
  </si>
  <si>
    <t>WHAT KIND OF GAME IS THIS?</t>
  </si>
  <si>
    <t>Semi-cooperative social strategy. Players are not fully enemies or fully allies. Hidden soul-states create tension — someone may preach truth while secretly deceived; someone may look lost while genuinely seeking. The real engine is DISCERNMENT UNDER SOCIAL PRESSURE.</t>
  </si>
  <si>
    <t>GAME STRUCTURE AT A GLANCE</t>
  </si>
  <si>
    <t>Category</t>
  </si>
  <si>
    <t>Short Game</t>
  </si>
  <si>
    <t>Standard Game</t>
  </si>
  <si>
    <t>Campaign</t>
  </si>
  <si>
    <t>Duration</t>
  </si>
  <si>
    <t>60-75 min</t>
  </si>
  <si>
    <t>2-3 hours</t>
  </si>
  <si>
    <t>Multi-session</t>
  </si>
  <si>
    <t>Rounds</t>
  </si>
  <si>
    <t>21 rounds / 7 episodes</t>
  </si>
  <si>
    <t>Players</t>
  </si>
  <si>
    <t>6-10 per session</t>
  </si>
  <si>
    <t>Design Target</t>
  </si>
  <si>
    <t>First-timers</t>
  </si>
  <si>
    <t>★ MAIN VERSION</t>
  </si>
  <si>
    <t>Substack/community</t>
  </si>
  <si>
    <t>SIX PHASES OF EVERY ROUND</t>
  </si>
  <si>
    <t>Phase</t>
  </si>
  <si>
    <t>Name</t>
  </si>
  <si>
    <t>What Happens</t>
  </si>
  <si>
    <t>Key Mechanic</t>
  </si>
  <si>
    <t>Prophecy Advances</t>
  </si>
  <si>
    <t>Reveal Prophecy card — sets world conditions for the round</t>
  </si>
  <si>
    <t>Changes pressure, not choices</t>
  </si>
  <si>
    <t>Active Player Draws Pressure</t>
  </si>
  <si>
    <t>Current player draws Crisis/Choice card — personal decision created</t>
  </si>
  <si>
    <t>One spotlight player per turn</t>
  </si>
  <si>
    <t>Debate Window Opens</t>
  </si>
  <si>
    <t>ALL players may warn, persuade, threaten, accuse, offer cards, vote</t>
  </si>
  <si>
    <t>⏱ TIMED: 90 sec (fast) / 3 min (standard)</t>
  </si>
  <si>
    <t>Cards Played</t>
  </si>
  <si>
    <t>Players commit cards face-up or face-down; Influence/Reaction cards resolve</t>
  </si>
  <si>
    <t>Debate free; cards lock the outcome</t>
  </si>
  <si>
    <t>Active Player Chooses</t>
  </si>
  <si>
    <t>Move, trust, accept grace, take mark, flee, sacrifice, expose</t>
  </si>
  <si>
    <t>★ THE SOUL OF THE GAME</t>
  </si>
  <si>
    <t>Judgment/Consequence Resolves</t>
  </si>
  <si>
    <t>Cards, dice, burdens, zone effects all resolve; state updates</t>
  </si>
  <si>
    <t>Some consequences are delayed (Doom tokens)</t>
  </si>
  <si>
    <t>THREE WIN PATHS</t>
  </si>
  <si>
    <t>Path</t>
  </si>
  <si>
    <t>Condition</t>
  </si>
  <si>
    <t>How You Win</t>
  </si>
  <si>
    <t>Salvation</t>
  </si>
  <si>
    <t>Reach Saved soul state via Grace Offer; survive or die in faith</t>
  </si>
  <si>
    <t>Preserved through grace at Final Judgment</t>
  </si>
  <si>
    <t>Martyrdom</t>
  </si>
  <si>
    <t>Die as Saved player; enter Cloud of Witnesses</t>
  </si>
  <si>
    <t>Death in faith counts as victory (Rev 6:9-11, 12:11)</t>
  </si>
  <si>
    <t>Antagonist</t>
  </si>
  <si>
    <t>Beast/Babylon-aligned; accumulate sufficient control before Babylon falls</t>
  </si>
  <si>
    <t>Dangerous — power with real cost; Babylon WILL fall</t>
  </si>
  <si>
    <t>LOSS STATE</t>
  </si>
  <si>
    <t>Deceived, marked, hardened, or apostate at Final Judgment without grace</t>
  </si>
  <si>
    <t>Not just 'antagonists won' — real spiritual loss</t>
  </si>
  <si>
    <t>FOUR CORE TENSIONS</t>
  </si>
  <si>
    <t>1. Safety vs. Truth — The safest place (Babylon) may be spiritually deadly.</t>
  </si>
  <si>
    <t>2. Timing vs. Delay — Another chance may come. Or may not.</t>
  </si>
  <si>
    <t>3. Public Words vs. Hidden State — A preacher can be deceived; a mess can be genuine.</t>
  </si>
  <si>
    <t>4. Free Will vs. Prophecy — The end advances no matter what. Individual destiny is still chosen.</t>
  </si>
  <si>
    <t>SALVATION TRACK</t>
  </si>
  <si>
    <t>Lost → Seeking → Convicted → [GRACE OFFER] → Saved</t>
  </si>
  <si>
    <t>You cannot grind this track. Grace Offer must come from: Faith card | Witness action | Near-death crisis | Scripture | Martyrdom | Prophecy event</t>
  </si>
  <si>
    <t>KEY RULE: A player can CLAIM to be saved publicly — only they (and the game system) know if it was real.</t>
  </si>
  <si>
    <t>THE LAST TRUMPET — Prototype Card Database (72 cards)</t>
  </si>
  <si>
    <t>#</t>
  </si>
  <si>
    <t>Card Name</t>
  </si>
  <si>
    <t>Type</t>
  </si>
  <si>
    <t>Subtype</t>
  </si>
  <si>
    <t>Effect</t>
  </si>
  <si>
    <t>Risk / Cost</t>
  </si>
  <si>
    <t>Revelation Anchor</t>
  </si>
  <si>
    <t>Deck Count</t>
  </si>
  <si>
    <t>Saved</t>
  </si>
  <si>
    <t>Soul State</t>
  </si>
  <si>
    <t>Setup / Hidden</t>
  </si>
  <si>
    <t>Cannot be spiritually lost. May help 1 player test a Faith card per round.</t>
  </si>
  <si>
    <t>Can still die, be silenced, lose crowns, or fail others.</t>
  </si>
  <si>
    <t>Rev 7:3-8 / 14:1-5</t>
  </si>
  <si>
    <t>Seeking</t>
  </si>
  <si>
    <t>Draw 1 Faith card when entering Wilderness, Zion, or Hidden Church.</t>
  </si>
  <si>
    <t>Deception cards gain +1 if played by someone you trust.</t>
  </si>
  <si>
    <t>Rev 3:20</t>
  </si>
  <si>
    <t>Convicted</t>
  </si>
  <si>
    <t>Next true Grace Offer may save you immediately.</t>
  </si>
  <si>
    <t>Reject or delay 2 Grace Offers → become Hardened.</t>
  </si>
  <si>
    <t>Rev 3:19</t>
  </si>
  <si>
    <t>Lost</t>
  </si>
  <si>
    <t>May follow any player without spending a movement action.</t>
  </si>
  <si>
    <t>Cannot tell True from False Gospel without Witness / Wilderness help.</t>
  </si>
  <si>
    <t>Rev 3:17</t>
  </si>
  <si>
    <t>Deceived</t>
  </si>
  <si>
    <t>May play False Peace / False Gospel as if they were Faith cards.</t>
  </si>
  <si>
    <t>If exposed by Discernment → lose all Influence this round.</t>
  </si>
  <si>
    <t>Rev 13:14</t>
  </si>
  <si>
    <t>Hardened</t>
  </si>
  <si>
    <t>Gain +1 Influence in Babylon, Empire City, and Marketplace.</t>
  </si>
  <si>
    <t>Grace Offers require 2 confirmations before you may accept.</t>
  </si>
  <si>
    <t>Rev 9:20</t>
  </si>
  <si>
    <t>Apostate</t>
  </si>
  <si>
    <t>May block 1 Witness action per round.</t>
  </si>
  <si>
    <t>If Martyr dies because of your action → draw Judgment immediately.</t>
  </si>
  <si>
    <t>Rev 3:16 / Heb 6:4-6</t>
  </si>
  <si>
    <t>--- ROLE CARDS (12) ---</t>
  </si>
  <si>
    <t>The Watchman</t>
  </si>
  <si>
    <t>Role</t>
  </si>
  <si>
    <t>Setup / Semi-hidden</t>
  </si>
  <si>
    <t>Once/round: look at next Prophecy or Trumpet modifier. Warn 1 player — if they obey, they may move before danger resolves.</t>
  </si>
  <si>
    <t>If you see danger and say nothing, lose 1 Crown or gain Guilt.</t>
  </si>
  <si>
    <t>Ezek 3:17 / Rev 1:3</t>
  </si>
  <si>
    <t>The Witness</t>
  </si>
  <si>
    <t>Once/round: offer a Faith test. Testify in your zone — Seeking/Convicted players draw 1 Faith card.</t>
  </si>
  <si>
    <t>Publicly rejected twice → lose 1 Influence until refreshed in Wilderness or Zion.</t>
  </si>
  <si>
    <t>Rev 11:3 / Rev 12:11</t>
  </si>
  <si>
    <t>The Builder</t>
  </si>
  <si>
    <t>Fortify 1 zone (reduces disaster damage by 1). Build Shelter — 1 player in zone ignores next Crisis.</t>
  </si>
  <si>
    <t>Stay 3+ rounds in one place → cannot flee next sudden disaster.</t>
  </si>
  <si>
    <t>Rev 21:2 / Neh 4</t>
  </si>
  <si>
    <t>The Pilgrim</t>
  </si>
  <si>
    <t>Move 1 extra zone when traveling alone. Search a location deck and keep 1 hidden card.</t>
  </si>
  <si>
    <t>False Signs affect you more strongly unless you have Discernment.</t>
  </si>
  <si>
    <t>Heb 11:13 / Rev 7:14</t>
  </si>
  <si>
    <t>The Sleeper</t>
  </si>
  <si>
    <t>Fear cards don't affect you. Ignore 1 Panic or Crowd effect.</t>
  </si>
  <si>
    <t>CANNOT accept Grace Offer until awakened by Crisis / Witness / Martyrdom / Wilderness.</t>
  </si>
  <si>
    <t>Rev 3:1-3 (Sardis)</t>
  </si>
  <si>
    <t>The False Prophet</t>
  </si>
  <si>
    <t>Setup / Hidden (antagonist)</t>
  </si>
  <si>
    <t>Offer a Faith card without revealing true/false. Persuade a player to follow — gain Influence.</t>
  </si>
  <si>
    <t>If exposed → all players you influenced may test your last card.</t>
  </si>
  <si>
    <t>Rev 13:11-14</t>
  </si>
  <si>
    <t>The Deceiver</t>
  </si>
  <si>
    <t>Once/round: play 1 Deception card face-down as Faith or Shelter. Redirect 1 player’s movement if they trusted you.</t>
  </si>
  <si>
    <t>2 public accusations + 1 Discernment player → must reveal Role.</t>
  </si>
  <si>
    <t>Rev 12:9 / 2 Thess 2:9</t>
  </si>
  <si>
    <t>--- BURDEN CARDS (9) ---</t>
  </si>
  <si>
    <t>Fear of Death</t>
  </si>
  <si>
    <t>Burden</t>
  </si>
  <si>
    <t>Setup / Private</t>
  </si>
  <si>
    <t>Beast Security cards vs. you gain +1. Pull: Empire City, Babylon.</t>
  </si>
  <si>
    <t>Resolve by: surviving a Wilderness Trial OR protecting someone at risk of death.</t>
  </si>
  <si>
    <t>Rev 2:10 / Heb 2:15</t>
  </si>
  <si>
    <t>Love of Comfort</t>
  </si>
  <si>
    <t>Extra Supply in Babylon, but leaving Babylon costs 1 extra action. Pull: Babylon.</t>
  </si>
  <si>
    <t>Resolve by: spending 1 full turn in Wilderness without using Supply.</t>
  </si>
  <si>
    <t>Rev 18:7 / 3:17</t>
  </si>
  <si>
    <t>Pride of Knowledge</t>
  </si>
  <si>
    <t>May inspect 1 Faith card. If false and kept → gain Deception. Pull: Temple Court, Marketplace.</t>
  </si>
  <si>
    <t>Resolve by: publicly accepting correction from another player. Gain Discernment.</t>
  </si>
  <si>
    <t>1 Cor 8:1 / Rev 3:17</t>
  </si>
  <si>
    <t>Need for Approval</t>
  </si>
  <si>
    <t>Crowd cards against you gain +1. Pull: Marketplace, Crowd Square, Empire City.</t>
  </si>
  <si>
    <t>Resolve by: refusing the majority vote once and surviving the consequence.</t>
  </si>
  <si>
    <t>Rev 13:4 / John 12:43</t>
  </si>
  <si>
    <t>Desire for Power</t>
  </si>
  <si>
    <t>+1 Influence in power zones. Deception from power zones harder to resist. Pull: Babylon, Empire City.</t>
  </si>
  <si>
    <t>Resolve by: giving up Influence to protect a weaker player.</t>
  </si>
  <si>
    <t>Rev 13:7 / Matt 20:25-28</t>
  </si>
  <si>
    <t>Bitterness</t>
  </si>
  <si>
    <t>When betrayed, gain Anger token. At 3 Anger → become Hardened (unless healed). Pull: Ruins.</t>
  </si>
  <si>
    <t>Resolve by: forgiving a player who harmed you mechanically. Remove all Anger.</t>
  </si>
  <si>
    <t>Rev 8:11 / Heb 12:15</t>
  </si>
  <si>
    <t>Spiritual Laziness</t>
  </si>
  <si>
    <t>First movement/round costs 1 extra action unless fleeing danger. Pull: Babylon, Home District.</t>
  </si>
  <si>
    <t>Resolve by: entering Wilderness voluntarily before a disaster forces you.</t>
  </si>
  <si>
    <t>Rev 3:1-3</t>
  </si>
  <si>
    <t>Distrust of Others</t>
  </si>
  <si>
    <t>Witness cards from others are weaker unless you have a Bond with them. Pull: Wilderness, Ruins.</t>
  </si>
  <si>
    <t>Resolve by: forming a True Bond and accepting help during a Crisis.</t>
  </si>
  <si>
    <t>Rev 12:17 / Ps 142:4</t>
  </si>
  <si>
    <t>Hunger for Signs</t>
  </si>
  <si>
    <t>Miracle/Sign cards affect you before Discernment resolves. Pull: False Prophet’s Stage.</t>
  </si>
  <si>
    <t>Resolve by: rejecting a powerful Sign and choosing Scripture/Testimony instead.</t>
  </si>
  <si>
    <t>Rev 13:13-14 / Matt 12:39</t>
  </si>
  <si>
    <t>--- FAITH CARDS (12) ---</t>
  </si>
  <si>
    <t>The Narrow Gate</t>
  </si>
  <si>
    <t>Faith</t>
  </si>
  <si>
    <t>Grace Offer</t>
  </si>
  <si>
    <t>If Seeking or Convicted → may accept Grace and become Saved.</t>
  </si>
  <si>
    <t>If played under Deception → test Discernment first.</t>
  </si>
  <si>
    <t>Matt 7:14 / Rev 3:20</t>
  </si>
  <si>
    <t>True Gospel Heard</t>
  </si>
  <si>
    <t>Conviction</t>
  </si>
  <si>
    <t>Lost → Seeking. Seeking → Convicted. Convicted may receive Grace Offer.</t>
  </si>
  <si>
    <t>None</t>
  </si>
  <si>
    <t>Rom 10:17</t>
  </si>
  <si>
    <t>Still Small Voice</t>
  </si>
  <si>
    <t>Discernment</t>
  </si>
  <si>
    <t>Best in Wilderness: draw 2 Faith cards, keep 1, discard 1.</t>
  </si>
  <si>
    <t>1 Kings 19:12</t>
  </si>
  <si>
    <t>Come Out of Her</t>
  </si>
  <si>
    <t>Revelation Event</t>
  </si>
  <si>
    <t>Move yourself or 1 willing player out of Babylon before effects resolve.</t>
  </si>
  <si>
    <t>Bonus if player has Love of Comfort or Desire for Power → gain Resolve.</t>
  </si>
  <si>
    <t>Rev 18:4</t>
  </si>
  <si>
    <t>Patient Endurance</t>
  </si>
  <si>
    <t>Protection</t>
  </si>
  <si>
    <t>Cancel 1 Fear, Panic, or Persecution effect against you. Saved → gain 1 Crown.</t>
  </si>
  <si>
    <t>Rev 13:10 / 14:12</t>
  </si>
  <si>
    <t>Tested by Scripture</t>
  </si>
  <si>
    <t>Reveal whether 1 Faith, Miracle, or Prophecy claim is True or False.</t>
  </si>
  <si>
    <t>Acts 17:11 / 2 Tim 3:16</t>
  </si>
  <si>
    <t>Mercy Before Judgment</t>
  </si>
  <si>
    <t>1 unsaved player who survived a Crisis may draw a Faith card.</t>
  </si>
  <si>
    <t>Cannot be played after Final Judgment begins.</t>
  </si>
  <si>
    <t>Rev 14:6-7</t>
  </si>
  <si>
    <t>--- DECEPTION CARDS (6) ---</t>
  </si>
  <si>
    <t>False Peace</t>
  </si>
  <si>
    <t>Deception</t>
  </si>
  <si>
    <t>Empire / Babylon</t>
  </si>
  <si>
    <t>Target gains +2 Safety this round.</t>
  </si>
  <si>
    <t>HIDDEN: They cannot draw Faith this round.</t>
  </si>
  <si>
    <t>1 Thess 5:3 / Rev 6:2</t>
  </si>
  <si>
    <t>Beast Security</t>
  </si>
  <si>
    <t>Empire / Beast</t>
  </si>
  <si>
    <t>Prevent 1 physical death or disaster effect.</t>
  </si>
  <si>
    <t>COST: Gain 1 Beast Influence token.</t>
  </si>
  <si>
    <t>Rev 13:17</t>
  </si>
  <si>
    <t>Crown of the World</t>
  </si>
  <si>
    <t>Babylon</t>
  </si>
  <si>
    <t>Gain +2 Influence and 1 False Resolve.</t>
  </si>
  <si>
    <t>Cannot leave Babylon this round without a Deception exposure.</t>
  </si>
  <si>
    <t>Rev 17:2</t>
  </si>
  <si>
    <t>Counterfeit Miracle</t>
  </si>
  <si>
    <t>Sign / False Prophet</t>
  </si>
  <si>
    <t>All players with Hunger for Signs must follow cardholder or test Discernment.</t>
  </si>
  <si>
    <t>Discernment cancels this effect.</t>
  </si>
  <si>
    <t>Rev 13:13-14</t>
  </si>
  <si>
    <t>--- ACTION CARDS (12) ---</t>
  </si>
  <si>
    <t>Flee the City</t>
  </si>
  <si>
    <t>Action</t>
  </si>
  <si>
    <t>Movement</t>
  </si>
  <si>
    <t>Move from Babylon / Empire / Marketplace to any adjacent zone. +1 Faith card if Prophecy warned this zone.</t>
  </si>
  <si>
    <t>Enter the Wilderness</t>
  </si>
  <si>
    <t>Movement / Spiritual</t>
  </si>
  <si>
    <t>Move to Wilderness, begin Track at Separation. Draw 1 Faith card.</t>
  </si>
  <si>
    <t>Must draw Wilderness Trial card.</t>
  </si>
  <si>
    <t>Matt 4:1 / Rev 12:6</t>
  </si>
  <si>
    <t>Shelter the Weak</t>
  </si>
  <si>
    <t>Protect 1 player in your zone from next Crisis effect. Saved → gain 1 Crown token.</t>
  </si>
  <si>
    <t>Rev 12:6 / Prov 18:10</t>
  </si>
  <si>
    <t>Test the Teaching</t>
  </si>
  <si>
    <t>Choose 1 Faith/Doctrine/Miracle/Prophecy claim. Reveal: true, false, or unknown.</t>
  </si>
  <si>
    <t>1 John 4:1</t>
  </si>
  <si>
    <t>Build Refuge</t>
  </si>
  <si>
    <t>Construction</t>
  </si>
  <si>
    <t>Add 1 Shelter token to your zone. Max 2 Shelter tokens per zone.</t>
  </si>
  <si>
    <t>Cannot be built in Babylon or Empire City.</t>
  </si>
  <si>
    <t>Rev 12:6</t>
  </si>
  <si>
    <t>Rescue</t>
  </si>
  <si>
    <t>Sacrifice</t>
  </si>
  <si>
    <t>Move 1 endangered player to your zone OR move yourself into their danger to shield them.</t>
  </si>
  <si>
    <t>Draw 1 Crisis card as cost.</t>
  </si>
  <si>
    <t>John 15:13 / Rev 12:11</t>
  </si>
  <si>
    <t>--- INFLUENCE CARDS (6) ---</t>
  </si>
  <si>
    <t>Public Rebuke</t>
  </si>
  <si>
    <t>Influence</t>
  </si>
  <si>
    <t>Relegate</t>
  </si>
  <si>
    <t>Choose 1 player. Their next card resolves LAST this turn.</t>
  </si>
  <si>
    <t>Influence Order mechanic</t>
  </si>
  <si>
    <t>Defend the Witness</t>
  </si>
  <si>
    <t>Defense</t>
  </si>
  <si>
    <t>Cancel 1 Relegation, Silence, or Crowd effect against a Watchman or Witness.</t>
  </si>
  <si>
    <t>Rev 11:5</t>
  </si>
  <si>
    <t>Accuse</t>
  </si>
  <si>
    <t>Expose</t>
  </si>
  <si>
    <t>Name 1 player + 1 suspected card type (Deception/False Gospel/Beast/Betrayal). Correct → they reveal 1 matching card.</t>
  </si>
  <si>
    <t>Wrong accusation → you lose 1 Influence.</t>
  </si>
  <si>
    <t>Rev 12:10</t>
  </si>
  <si>
    <t>--- PROPHECY CARDS (6) ---</t>
  </si>
  <si>
    <t>False Peace Declared</t>
  </si>
  <si>
    <t>Prophecy</t>
  </si>
  <si>
    <t>World Condition</t>
  </si>
  <si>
    <t>Babylon and Empire City gain +2 Safety. Deception cards there gain +1.</t>
  </si>
  <si>
    <t>Safety is visible; the spiritual cost is hidden.</t>
  </si>
  <si>
    <t>The Four Riders Stir</t>
  </si>
  <si>
    <t>Seal</t>
  </si>
  <si>
    <t>Roll 1d4: 1=Conquest (Empire rises) 2=War (zone closes) 3=Famine (Supplies halved) 4=Death (all unsafe players test Endurance)</t>
  </si>
  <si>
    <t>None — sovereign. Not preventable.</t>
  </si>
  <si>
    <t>Rev 6:1-8</t>
  </si>
  <si>
    <t>Martyrs Cry Out</t>
  </si>
  <si>
    <t>If any Saved player has died → all Witness actions gain +1. If none → next Persecution is stronger.</t>
  </si>
  <si>
    <t>Rev 6:9-11</t>
  </si>
  <si>
    <t>Two Witnesses Appear</t>
  </si>
  <si>
    <t>Event</t>
  </si>
  <si>
    <t>All Faith tests gain +1 this round. Deceiver may play 1 card face-down to discredit them.</t>
  </si>
  <si>
    <t>Rev 11:3-12</t>
  </si>
  <si>
    <t>Mark Pressure</t>
  </si>
  <si>
    <t>Beast</t>
  </si>
  <si>
    <t>Players in Marketplace or Empire City must choose: lose Supply OR gain Beast Influence.</t>
  </si>
  <si>
    <t>Refusing costs Supply. Accepting tracks you toward Beast.</t>
  </si>
  <si>
    <t>Rev 13:16-17</t>
  </si>
  <si>
    <t>Final Warning</t>
  </si>
  <si>
    <t>Endgame</t>
  </si>
  <si>
    <t>Every unsaved player draws 1 Faith card. After this round, Grace Offers become rare.</t>
  </si>
  <si>
    <t>Last easy grace window.</t>
  </si>
  <si>
    <t>--- SUMMARY COUNT ---</t>
  </si>
  <si>
    <t>Card Type</t>
  </si>
  <si>
    <t>Unique Designs</t>
  </si>
  <si>
    <t>Total Copies in Prototype</t>
  </si>
  <si>
    <t>TOTAL</t>
  </si>
  <si>
    <t>PLAYER SETUP — 3-Layer Hidden Identity System</t>
  </si>
  <si>
    <t>THE THREE-LAYER RULE: Every player receives 3 private cards. Nobody is reducible to one identity.</t>
  </si>
  <si>
    <t>Example: Saved + Builder + Fear of Death. OR: Deceived + Watchman + Hunger for Signs.</t>
  </si>
  <si>
    <t>LAYER 1: SOUL STATE DISTRIBUTION</t>
  </si>
  <si>
    <t>Draw randomly from the Soul State deck. In a 6-player game, ~60-70% should be savable (Saved/Seeking/Convicted).</t>
  </si>
  <si>
    <t>Starting Condition</t>
  </si>
  <si>
    <t>Full Deck (30)</t>
  </si>
  <si>
    <t>6-Player Odds</t>
  </si>
  <si>
    <t>Savable?</t>
  </si>
  <si>
    <t>Secure; called to help others</t>
  </si>
  <si>
    <t>YES — already</t>
  </si>
  <si>
    <t>Open; vulnerable both ways</t>
  </si>
  <si>
    <t>YES — needs Grace Offer</t>
  </si>
  <si>
    <t>Close; delay is dangerous</t>
  </si>
  <si>
    <t>YES — very close</t>
  </si>
  <si>
    <t>Moving; not yet awake</t>
  </si>
  <si>
    <t>YES — needs awakening</t>
  </si>
  <si>
    <t>Thinks falsehood is truth</t>
  </si>
  <si>
    <t>RISKY — must be exposed first</t>
  </si>
  <si>
    <t>Has resisted truth strongly</t>
  </si>
  <si>
    <t>HARD — needs double Grace</t>
  </si>
  <si>
    <t>Knowingly rejected truth</t>
  </si>
  <si>
    <t>NO — Judgment if Martyr dies by them</t>
  </si>
  <si>
    <t>LAYER 2: ROLE ASSIGNMENTS (by player count)</t>
  </si>
  <si>
    <t>Alignment</t>
  </si>
  <si>
    <t>4 Players</t>
  </si>
  <si>
    <t>6 Players</t>
  </si>
  <si>
    <t>8-9 Players</t>
  </si>
  <si>
    <t>Starting Zone</t>
  </si>
  <si>
    <t>Truth</t>
  </si>
  <si>
    <t>Zion</t>
  </si>
  <si>
    <t>Wilderness or Zion</t>
  </si>
  <si>
    <t>Neutral</t>
  </si>
  <si>
    <t>Hidden Church</t>
  </si>
  <si>
    <t>Marketplace or Wilderness</t>
  </si>
  <si>
    <t>Neutral (starts inert)</t>
  </si>
  <si>
    <t>Babylon or Home District</t>
  </si>
  <si>
    <t>The Intercessor</t>
  </si>
  <si>
    <t>Hidden Church or Wilderness</t>
  </si>
  <si>
    <t>The Merchant</t>
  </si>
  <si>
    <t>Neutral (tempted)</t>
  </si>
  <si>
    <t>Marketplace</t>
  </si>
  <si>
    <t>Babylon or Empire City</t>
  </si>
  <si>
    <t>Marketplace or Zion (hidden)</t>
  </si>
  <si>
    <t>TOTALS</t>
  </si>
  <si>
    <t>LAYER 3: BURDEN ASSIGNMENT</t>
  </si>
  <si>
    <t>Each player draws 1 Burden randomly. Private. Shapes what locations tempt or test them.</t>
  </si>
  <si>
    <t>NOTE ON FALSE RESOLVE:</t>
  </si>
  <si>
    <t>Gaining Resolve in Babylon/Empire (power zones) gives FALSE Resolve — protects from persuasion but locks you in the wrong direction.</t>
  </si>
  <si>
    <t>Gaining Resolve in Wilderness/Zion/sacrifice gives TRUE Resolve — protects AND frees.</t>
  </si>
  <si>
    <t>WHAT EACH PLAYER RECEIVES AT SETUP</t>
  </si>
  <si>
    <t>Item</t>
  </si>
  <si>
    <t>Qty</t>
  </si>
  <si>
    <t>Visible to Others?</t>
  </si>
  <si>
    <t>Notes</t>
  </si>
  <si>
    <t>Soul State card</t>
  </si>
  <si>
    <t>NO — fully hidden</t>
  </si>
  <si>
    <t>Track changes during play. Only revealed at Final Judgment (or by force)</t>
  </si>
  <si>
    <t>Role card</t>
  </si>
  <si>
    <t>Partial — group type revealed, not exact role</t>
  </si>
  <si>
    <t>e.g. 'You are a Truth role' without specifying Watchman vs Witness</t>
  </si>
  <si>
    <t>Burden card</t>
  </si>
  <si>
    <t>Can be voluntarily revealed for Resolve / Mercy bonuses</t>
  </si>
  <si>
    <t>Action cards</t>
  </si>
  <si>
    <t>Hand — face down until played</t>
  </si>
  <si>
    <t>Faith card</t>
  </si>
  <si>
    <t>May be True or False Gospel</t>
  </si>
  <si>
    <t>Influence card</t>
  </si>
  <si>
    <t>Used during Debate window</t>
  </si>
  <si>
    <t>ROUND TRACKER — Standard 10-Round Game (6 Players)</t>
  </si>
  <si>
    <t>Board State at Start</t>
  </si>
  <si>
    <t>Value</t>
  </si>
  <si>
    <t>Prophecy Tracker</t>
  </si>
  <si>
    <t>Trumpet Tracker</t>
  </si>
  <si>
    <t>Beast Influence</t>
  </si>
  <si>
    <t>Mercy Window</t>
  </si>
  <si>
    <t>World Stability</t>
  </si>
  <si>
    <t>THE 10-ROUND REVELATION SPINE</t>
  </si>
  <si>
    <t>Note: 10 rounds × 6 player turns = 60 player turns. Each player gets 1 personal spotlight + reaction moments every round.</t>
  </si>
  <si>
    <t>Round</t>
  </si>
  <si>
    <t>Phase Type</t>
  </si>
  <si>
    <t>Prophecy Card(s) Drawn</t>
  </si>
  <si>
    <t>Spotlight Player</t>
  </si>
  <si>
    <t>Special Event</t>
  </si>
  <si>
    <t>Prophecy Only</t>
  </si>
  <si>
    <t>Letters to Churches (Rev 1-3) — Evaluate the table</t>
  </si>
  <si>
    <t>Player A</t>
  </si>
  <si>
    <t>All hidden identities set. Board alive.</t>
  </si>
  <si>
    <t>Throne Room / Lamb Worthy (Rev 4-5) — Seals about to open</t>
  </si>
  <si>
    <t>Player B</t>
  </si>
  <si>
    <t>First Grace Offers possible.</t>
  </si>
  <si>
    <t>⚠ FIRST TRUMPET</t>
  </si>
  <si>
    <t>First Seal broken (Rev 6:1-2) — Conquest/False Peace</t>
  </si>
  <si>
    <t>Player C</t>
  </si>
  <si>
    <t>Roll 1d4 for Rider effect. Mercy Window: all unsaved may draw 1 Faith card.</t>
  </si>
  <si>
    <t>Seals 2-4 / War, Famine, Death (Rev 6:3-8)</t>
  </si>
  <si>
    <t>Player D</t>
  </si>
  <si>
    <t>Marketplace and Empire City players face Mark pressure.</t>
  </si>
  <si>
    <t>⚠ SECOND TRUMPET</t>
  </si>
  <si>
    <t>Seal 5-6 / Martyrs + Cosmic Shaking (Rev 6:9-17)</t>
  </si>
  <si>
    <t>Martyrs Cry Out + 1 Prophecy</t>
  </si>
  <si>
    <t>Player E</t>
  </si>
  <si>
    <t>If Saved players have died: Witness actions +1 all round. Mercy Window -1.</t>
  </si>
  <si>
    <t>⚠ THIRD TRUMPET</t>
  </si>
  <si>
    <t>Sealing / Pause / 144,000 (Rev 7) — Breath before judgment</t>
  </si>
  <si>
    <t>Player F</t>
  </si>
  <si>
    <t>Faith tests +1. Deceiver may discredit. Wilderness spiritually strong.</t>
  </si>
  <si>
    <t>⚠ FOURTH/FIFTH TRUMPET</t>
  </si>
  <si>
    <t>Beast Rises / False Prophet / Mark (Rev 13) — Alignment pressure</t>
  </si>
  <si>
    <t>Beast Security + Counterfeit Miracle</t>
  </si>
  <si>
    <t>Beast Influence tracked publicly. Mark cost raised. Deceiver/FP reveal partial ability.</t>
  </si>
  <si>
    <t>⚠ SIXTH TRUMPET — Global Reveal</t>
  </si>
  <si>
    <t>Babylon Intoxicates / Bowls Begin (Rev 17-18) — Corruption peaks</t>
  </si>
  <si>
    <t>Come Out of Her + Mark Pressure</t>
  </si>
  <si>
    <t>⚠ GLOBAL: All players in Babylon must flee, test, or show protection. BETRAYAL round.</t>
  </si>
  <si>
    <t>FINAL WARNING</t>
  </si>
  <si>
    <t>Babylon Falls / Armageddon approaches (Rev 18-19:19) — Final choices</t>
  </si>
  <si>
    <t>Final Warning + Babylon Falls</t>
  </si>
  <si>
    <t>Every unsaved player draws 1 Faith card. LAST easy Grace window. Babylon players must flee.</t>
  </si>
  <si>
    <t>📣 SEVENTH TRUMPET — FINAL JUDGMENT</t>
  </si>
  <si>
    <t>Return / Judgment / New Jerusalem (Rev 19-22) — All is resolved</t>
  </si>
  <si>
    <t>The Last Trumpet</t>
  </si>
  <si>
    <t>ALL PLAYERS</t>
  </si>
  <si>
    <t>All hidden Soul States revealed. Win/loss determined. Grace still possible for Mercy Window survivors.</t>
  </si>
  <si>
    <t>PLAYER COUNT → ROUND COUNT FORMULA</t>
  </si>
  <si>
    <t>Rule: As player count rises, round count shrinks. Debate windows are the real time cost.</t>
  </si>
  <si>
    <t>Total Player Turns</t>
  </si>
  <si>
    <t>Est. Time (3 min debates)</t>
  </si>
  <si>
    <t>INFLUENCE ORDER (Who resolves first each turn)</t>
  </si>
  <si>
    <t>Each round, players have a rank. Highest resolves first. Lowest resolves last.</t>
  </si>
  <si>
    <t>Rank can be changed by:</t>
  </si>
  <si>
    <t xml:space="preserve">  • Public Rebuke card — sends one player to last</t>
  </si>
  <si>
    <t xml:space="preserve">  • Crowd Turns Against You — demotes; their warning is heard after all deceptions resolve</t>
  </si>
  <si>
    <t xml:space="preserve">  • Defend the Witness — cancels demotion</t>
  </si>
  <si>
    <t>DESIGN NOTE: Truth spoken too late may still be true — but it may not be heard in time. That is intentional.</t>
  </si>
  <si>
    <t>BURDEN → LOCATION MAP — How Weaknesses Navigate the Board</t>
  </si>
  <si>
    <t>DESIGN PRINCIPLE: The board doesn't force your destination, but it makes certain temptations gravitationally stronger.</t>
  </si>
  <si>
    <t>Each Burden has: a PULL (where it drags you), a TEST (where it can be healed), and a VULNERABILITY (what gets stronger against you).</t>
  </si>
  <si>
    <t>THE 7 ZONES</t>
  </si>
  <si>
    <t>Zone</t>
  </si>
  <si>
    <t>Safety</t>
  </si>
  <si>
    <t>Spiritual Journey</t>
  </si>
  <si>
    <t>Default Actions</t>
  </si>
  <si>
    <t>HIGH</t>
  </si>
  <si>
    <t>LOW</t>
  </si>
  <si>
    <t>Comfort, wealth, spiritual poison</t>
  </si>
  <si>
    <t>Gain Supply, Gain Safety, Draw Influence, Risk Deception, Hear False Peace</t>
  </si>
  <si>
    <t>Wilderness</t>
  </si>
  <si>
    <t>Testing, purification, spiritual clarity. 3-step track: Separation → Testing → Encounter.</t>
  </si>
  <si>
    <t>Advance Wilderness Track, Draw Faith, Test Burden, Lose Supply, Risk Death</t>
  </si>
  <si>
    <t>MED</t>
  </si>
  <si>
    <t>LOW (unless infiltrated)</t>
  </si>
  <si>
    <t>Fellowship, refuge. Bonds form here. Vulnerable to Deceiver/False Prophet.</t>
  </si>
  <si>
    <t>Share Faith card, Shelter player, Test Doctrine, Risk Infiltration</t>
  </si>
  <si>
    <t>Trade, food, Mark pressure. Useful but morally dangerous.</t>
  </si>
  <si>
    <t>Trade, Gain Supply, Draw Action, Face Mark Pressure</t>
  </si>
  <si>
    <t>Empire City</t>
  </si>
  <si>
    <t>Beast system, law, force. Power and danger. Mark pressure highest here.</t>
  </si>
  <si>
    <t>Gain Power, Face Mark Pressure, Draw Beast Security, Danger to faith</t>
  </si>
  <si>
    <t>Truth, witness, prophecy. High spiritual value; high persecution.</t>
  </si>
  <si>
    <t>Test Faith, Give Witness, Gain Crown Quest, Risk Persecution</t>
  </si>
  <si>
    <t>Ruins</t>
  </si>
  <si>
    <t>Aftermath, searching, loss. Hidden truth, high risk.</t>
  </si>
  <si>
    <t>Search Location deck, Process grief, Find hidden cards, Danger</t>
  </si>
  <si>
    <t>BURDEN ↔ LOCATION GRAVITATIONAL MAP</t>
  </si>
  <si>
    <t>PULL (Dangerous Place)</t>
  </si>
  <si>
    <t>TEST (Healing Place)</t>
  </si>
  <si>
    <t>What Makes It Dangerous</t>
  </si>
  <si>
    <t>How to Resolve Burden</t>
  </si>
  <si>
    <t>Vulnerability (card effects)</t>
  </si>
  <si>
    <t>Empire City, Babylon</t>
  </si>
  <si>
    <t>Empire offers safety; Babylon offers protection. Both chain you.</t>
  </si>
  <si>
    <t>Survive 1 Wilderness Trial OR protect someone at risk of death.</t>
  </si>
  <si>
    <t>Beast Security cards gain +1 against you.</t>
  </si>
  <si>
    <t>Babylon rewards ease; leaving costs 1 extra action.</t>
  </si>
  <si>
    <t>Spend 1 full turn in Wilderness without using Supply.</t>
  </si>
  <si>
    <t>Extra Supply in Babylon, but spiritually locked.</t>
  </si>
  <si>
    <t>Temple Court, Marketplace</t>
  </si>
  <si>
    <t>Knowledge becomes arrogance; you may inspect but keep false cards.</t>
  </si>
  <si>
    <t>Publicly accept correction from another player.</t>
  </si>
  <si>
    <t>May keep false Faith cards (but gain Deception if you do).</t>
  </si>
  <si>
    <t>Marketplace, Empire City</t>
  </si>
  <si>
    <t>Crowd approval competes with truth. Vote results pull you.</t>
  </si>
  <si>
    <t>Refuse majority vote once and survive the consequence.</t>
  </si>
  <si>
    <t>Crowd cards gain +1 against you.</t>
  </si>
  <si>
    <t>Babylon, Empire City</t>
  </si>
  <si>
    <t>Valley of Decision</t>
  </si>
  <si>
    <t>Power builds False Resolve. Crown of the World locks you in Babylon.</t>
  </si>
  <si>
    <t>Give up Influence to protect a weaker player.</t>
  </si>
  <si>
    <t>Deception cards from power zones harder to resist.</t>
  </si>
  <si>
    <t>Pain can become poison. 3 Anger tokens → become Hardened.</t>
  </si>
  <si>
    <t>Forgive a player who harmed you mechanically. Remove all Anger.</t>
  </si>
  <si>
    <t>Wormwood effects stronger against you.</t>
  </si>
  <si>
    <t>Babylon, Home District</t>
  </si>
  <si>
    <t>Comfort delays obedience. First movement costs 1 extra action.</t>
  </si>
  <si>
    <t>Enter Wilderness voluntarily before a disaster forces you.</t>
  </si>
  <si>
    <t>Wilderness requires extra turn to advance.</t>
  </si>
  <si>
    <t>Wilderness, Ruins</t>
  </si>
  <si>
    <t>Isolation protects but also traps. Bonds feel dangerous.</t>
  </si>
  <si>
    <t>Form a True Bond and accept help during a Crisis.</t>
  </si>
  <si>
    <t>Witness cards weaker unless player has Bond with you.</t>
  </si>
  <si>
    <t>False Prophet's Stage, Marketplace</t>
  </si>
  <si>
    <t>Want proof badly enough to accept counterfeit fire.</t>
  </si>
  <si>
    <t>Reject a powerful Sign card; choose Scripture/Testimony instead.</t>
  </si>
  <si>
    <t>Miracle/Sign cards affect you before Discernment resolves.</t>
  </si>
  <si>
    <t>WILDERNESS TRACK — 3-Step Spiritual Journey</t>
  </si>
  <si>
    <t>The Wilderness is not just another zone. It is a spiritual furnace. Noise drops. Risk rises. Salvation becomes clearer.</t>
  </si>
  <si>
    <t>Step</t>
  </si>
  <si>
    <t>Risk</t>
  </si>
  <si>
    <t>W-1</t>
  </si>
  <si>
    <t>Separation</t>
  </si>
  <si>
    <t>Cannot receive Marketplace/Babylon benefits. Draw 1 Faith card.</t>
  </si>
  <si>
    <t>None yet. But Supply unavailable.</t>
  </si>
  <si>
    <t>W-2</t>
  </si>
  <si>
    <t>Testing</t>
  </si>
  <si>
    <t>Draw 1 Wilderness Trial card. Survive → gain Discernment.</t>
  </si>
  <si>
    <t>Some Trial cards kill you. Burden vulnerability applies.</t>
  </si>
  <si>
    <t>W-3</t>
  </si>
  <si>
    <t>Encounter</t>
  </si>
  <si>
    <t>Test 1 Faith card. True Gospel → may accept salvation. False Gospel → Deceived (unless protected).</t>
  </si>
  <si>
    <t>HIGHEST SPIRITUAL RISK and REWARD. Grace Offer available.</t>
  </si>
  <si>
    <t>SAMPLE WILDERNESS TRIAL CARDS:</t>
  </si>
  <si>
    <t>Exposure: If entered Wilderness without Shelter, lose 2 Endurance. At 0 Endurance → death.</t>
  </si>
  <si>
    <t>Serpent in the Sand: If Deceived, appears as blessing. Moves 1 step toward False Refuge.</t>
  </si>
  <si>
    <t>Still Small Voice: If Seeking or Convicted, draw 2 Faith cards. Keep one. Discard one.</t>
  </si>
  <si>
    <t>Bear the Cross: Lose 1 Supply. Gain 1 True Resolve and advance to next Wilderness step.</t>
  </si>
  <si>
    <t>BOND MECHANIC — How Relationships Form</t>
  </si>
  <si>
    <t>Once per turn (instead of moving/drawing), attempt to form a Bond with a player in your zone.</t>
  </si>
  <si>
    <t>Both secretly choose: TRUST, GUARDED, or MANIPULATE. Then reveal simultaneously.</t>
  </si>
  <si>
    <t>Player A Chooses</t>
  </si>
  <si>
    <t>Player B Chooses</t>
  </si>
  <si>
    <t>Result</t>
  </si>
  <si>
    <t>What It Unlocks</t>
  </si>
  <si>
    <t>TRUST</t>
  </si>
  <si>
    <t>TRUE BOND formed</t>
  </si>
  <si>
    <t>Stronger warnings, shared shelter, shared Faith tests, rescue once, better persuasion</t>
  </si>
  <si>
    <t>GUARDED</t>
  </si>
  <si>
    <t>Weak Bond</t>
  </si>
  <si>
    <t>Minor benefits; fragile</t>
  </si>
  <si>
    <t>MANIPULATE</t>
  </si>
  <si>
    <t>BETRAYAL RISK</t>
  </si>
  <si>
    <t>Trusting player exposed; Manipulator gains Influence but Burden worsens</t>
  </si>
  <si>
    <t>No bond, no harm</t>
  </si>
  <si>
    <t>Nothing happens</t>
  </si>
  <si>
    <t>Both gain Deception</t>
  </si>
  <si>
    <t>Neither player wins; both spiritually compromised</t>
  </si>
  <si>
    <t>PERSONAL JOURNEY OBJECTIVES (2 per player)</t>
  </si>
  <si>
    <t>Every player has 2 hidden journey objectives. These are NOT salvation — they shape and prepare you.</t>
  </si>
  <si>
    <t>Journey 1 — RESOLVE JOURNEY: Confront/strengthen your Burden. Destination: your TEST location.</t>
  </si>
  <si>
    <t>Journey 2 — RELATIONSHIP JOURNEY: Form a Bond with a specific player type. Your warning then resolves before their Deception cards.</t>
  </si>
  <si>
    <t>DESIGN NOTE: 'Works are fruit, not purchase.' These journeys produce evidence, response, service, consequence.</t>
  </si>
  <si>
    <t>They do not save you. But they shape who you are and what paths remain open.</t>
  </si>
  <si>
    <t>SOUL_STATES</t>
  </si>
  <si>
    <t>ROLES</t>
  </si>
  <si>
    <t>BURDENS</t>
  </si>
  <si>
    <t>ZONES</t>
  </si>
  <si>
    <t>CARD_NAME</t>
  </si>
  <si>
    <t>CARD_TYPE</t>
  </si>
  <si>
    <t>EFFECT</t>
  </si>
  <si>
    <t>RISK</t>
  </si>
  <si>
    <t>If Seeking or Convicted: may accept Grace and become Saved.</t>
  </si>
  <si>
    <t>If under Deception: test Discernment first.</t>
  </si>
  <si>
    <t>Lost -&gt; Seeking. Seeking -&gt; Convicted. Convicted may receive Grace Offer.</t>
  </si>
  <si>
    <t>Bonus if player has Love of Comfort or Desire for Power: gain Resolve.</t>
  </si>
  <si>
    <t>Cancel 1 Fear/Panic/Persecution effect against you. If Saved: gain 1 Crown.</t>
  </si>
  <si>
    <t>Reveal whether 1 Faith/Miracle/Prophecy claim is True or False.</t>
  </si>
  <si>
    <t>Confession</t>
  </si>
  <si>
    <t>Reveal your Burden. Remove 1 Deception/Anger/False Resolve token.</t>
  </si>
  <si>
    <t>HIDDEN COST: They cannot draw Faith this round.</t>
  </si>
  <si>
    <t>Discernment cancels this.</t>
  </si>
  <si>
    <t>Move from Babylon/Empire/Marketplace to any adjacent zone.</t>
  </si>
  <si>
    <t>Bonus: draw 1 Faith card if Prophecy warned this zone.</t>
  </si>
  <si>
    <t>Move to Wilderness, begin Track at Separation.</t>
  </si>
  <si>
    <t>Must draw a Wilderness Trial.</t>
  </si>
  <si>
    <t>Protect 1 player in your zone from next Crisis effect. If Saved: gain 1 Crown.</t>
  </si>
  <si>
    <t>Choose 1 claim. Reveal: true, false, or unknown.</t>
  </si>
  <si>
    <t>Add 1 Shelter token to your zone. Max 2 per zone.</t>
  </si>
  <si>
    <t>Cannot build in Babylon or Empire City.</t>
  </si>
  <si>
    <t>Move 1 endangered player to your zone or shield them in theirs.</t>
  </si>
  <si>
    <t>Cost: draw 1 Crisis card.</t>
  </si>
  <si>
    <t>Cancel 1 Relegation/Silence/Crowd effect against a Watchman or Witness.</t>
  </si>
  <si>
    <t>Name 1 player + 1 suspected card type. If correct: they reveal 1 matching card.</t>
  </si>
  <si>
    <t>Wrong accusation: you lose 1 Influence.</t>
  </si>
  <si>
    <t>Safety visible; spiritual cost hidden.</t>
  </si>
  <si>
    <t>Roll 1d4: 1=Conquest 2=War (zone closes) 3=Famine (Supply halved) 4=Death (test Endurance)</t>
  </si>
  <si>
    <t>Sovereign. Not preventable.</t>
  </si>
  <si>
    <t>If Saved player died: Witness actions +1. If none died: next Persecution stronger.</t>
  </si>
  <si>
    <t>All Faith tests gain +1 this round.</t>
  </si>
  <si>
    <t>Deceiver may play 1 card face-down to discredit.</t>
  </si>
  <si>
    <t>Players in Marketplace or Empire City: lose Supply OR gain Beast Influence.</t>
  </si>
  <si>
    <t>Every unsaved player draws 1 Faith card. Last easy Grace window.</t>
  </si>
  <si>
    <t>After this round, Grace Offers become rare.</t>
  </si>
  <si>
    <t>Exposure</t>
  </si>
  <si>
    <t>Wilderness Trial</t>
  </si>
  <si>
    <t>If entered without Shelter: lose 2 Endurance. At 0 Endurance: DEATH.</t>
  </si>
  <si>
    <t>Always drawn when entering Wilderness without Shelter.</t>
  </si>
  <si>
    <t>Serpent in the Sand</t>
  </si>
  <si>
    <t>If Deceived: appears as blessing, move toward False Refuge. If not: test Discernment.</t>
  </si>
  <si>
    <t>Deception-dependent outcome.</t>
  </si>
  <si>
    <t>Still Small Voice (Trial)</t>
  </si>
  <si>
    <t>If Seeking or Convicted: draw 2 Faith cards, keep 1.</t>
  </si>
  <si>
    <t>If Lost or Deceived: lose 1 Hope unless Bonded.</t>
  </si>
  <si>
    <t>Bear the Cross</t>
  </si>
  <si>
    <t>Lose 1 Supply. Gain 1 True Resolve and advance Wilderness step.</t>
  </si>
  <si>
    <t>THE LAST TRUMPET — 4-Player Game</t>
  </si>
  <si>
    <t>ROUND</t>
  </si>
  <si>
    <t>PHASE</t>
  </si>
  <si>
    <t>Setup</t>
  </si>
  <si>
    <t>GLOBAL TRACKERS</t>
  </si>
  <si>
    <t>Prophecy Track</t>
  </si>
  <si>
    <t>Trumpet Track</t>
  </si>
  <si>
    <t>CURRENT PROPHECY CARD</t>
  </si>
  <si>
    <t>(none yet)</t>
  </si>
  <si>
    <t>EFFECT:</t>
  </si>
  <si>
    <t>Players Here</t>
  </si>
  <si>
    <t>Status</t>
  </si>
  <si>
    <t>Active</t>
  </si>
  <si>
    <t>PLAYERS (4)</t>
  </si>
  <si>
    <t>Role (public)</t>
  </si>
  <si>
    <t>Location</t>
  </si>
  <si>
    <t>Endurance</t>
  </si>
  <si>
    <t>Supply</t>
  </si>
  <si>
    <t>Crowns</t>
  </si>
  <si>
    <t>Beast Tokens</t>
  </si>
  <si>
    <t>P1</t>
  </si>
  <si>
    <t>Player 1</t>
  </si>
  <si>
    <t>?</t>
  </si>
  <si>
    <t>P2</t>
  </si>
  <si>
    <t>Player 2</t>
  </si>
  <si>
    <t>P3</t>
  </si>
  <si>
    <t>Player 3</t>
  </si>
  <si>
    <t>P4</t>
  </si>
  <si>
    <t>Player 4</t>
  </si>
  <si>
    <t>GAME LOG</t>
  </si>
  <si>
    <t>Player</t>
  </si>
  <si>
    <t>Card Drawn</t>
  </si>
  <si>
    <t>Outcome</t>
  </si>
  <si>
    <t>SYSTEM</t>
  </si>
  <si>
    <t>Game initialized. Press DEAL CARDS to start.</t>
  </si>
  <si>
    <t>PLAY TABLE — Active Turn</t>
  </si>
  <si>
    <t>ACTIVE PLAYER</t>
  </si>
  <si>
    <t>1 - Prophecy</t>
  </si>
  <si>
    <t>=== PHASE 1: PROPHECY CARD ===</t>
  </si>
  <si>
    <t>Card:</t>
  </si>
  <si>
    <t>(click DRAW PROPHECY)</t>
  </si>
  <si>
    <t>Effect:</t>
  </si>
  <si>
    <t>Risk:</t>
  </si>
  <si>
    <t>=== PHASE 2: CRISIS DRAW ===</t>
  </si>
  <si>
    <t>Active Player draws:</t>
  </si>
  <si>
    <t>(click DRAW CRISIS)</t>
  </si>
  <si>
    <t>Situation:</t>
  </si>
  <si>
    <t>=== PHASE 3: DEBATE WINDOW ===</t>
  </si>
  <si>
    <t>TIMER: 3 minutes. All players may:</t>
  </si>
  <si>
    <t xml:space="preserve">  • WARN   • PERSUADE   • THREATEN   • OFFER A CARD   • ACCUSE   • INVITE</t>
  </si>
  <si>
    <t>Other players' reactions (play cards face-up or face-down):</t>
  </si>
  <si>
    <t>P2 card:</t>
  </si>
  <si>
    <t>(none)</t>
  </si>
  <si>
    <t>P3 card:</t>
  </si>
  <si>
    <t>P4 card:</t>
  </si>
  <si>
    <t>=== PHASE 4: CARDS PLAYED ===</t>
  </si>
  <si>
    <t>Active player plays:</t>
  </si>
  <si>
    <t>(click PLAY CARD from hand)</t>
  </si>
  <si>
    <t>Card effect resolves:</t>
  </si>
  <si>
    <t>=== PHASE 5: ACTIVE PLAYER CHOOSES ===</t>
  </si>
  <si>
    <t>Decision options:</t>
  </si>
  <si>
    <t>Move | Trust | Accept Grace | Flee | Expose | Sacrifice</t>
  </si>
  <si>
    <t>Player chose:</t>
  </si>
  <si>
    <t>(record here)</t>
  </si>
  <si>
    <t>=== PHASE 6: CONSEQUENCES ===</t>
  </si>
  <si>
    <t>Outcome:</t>
  </si>
  <si>
    <t>(click RESOLVE TURN)</t>
  </si>
  <si>
    <t>Soul State changes:</t>
  </si>
  <si>
    <t>Tokens added:</t>
  </si>
  <si>
    <t>PLAYER DASHBOARD — Hidden Information</t>
  </si>
  <si>
    <t>⚠ In a live game, each player would see only their own section. Here all 4 are visible (solo/GM mode).</t>
  </si>
  <si>
    <t>PLAYER 1</t>
  </si>
  <si>
    <t>Soul State:</t>
  </si>
  <si>
    <t>Role:</t>
  </si>
  <si>
    <t>Burden:</t>
  </si>
  <si>
    <t>HAND:</t>
  </si>
  <si>
    <t>Card 1</t>
  </si>
  <si>
    <t>Card 2</t>
  </si>
  <si>
    <t>Card 3</t>
  </si>
  <si>
    <t>Card 1 Effect:</t>
  </si>
  <si>
    <t>Card 2 Effect:</t>
  </si>
  <si>
    <t>Card 3 Effect:</t>
  </si>
  <si>
    <t>Resolve Tokens:</t>
  </si>
  <si>
    <t>(T=True  F=False)</t>
  </si>
  <si>
    <t>Wilderness Track:</t>
  </si>
  <si>
    <t>Not started</t>
  </si>
  <si>
    <t>PLAYER 2</t>
  </si>
  <si>
    <t>PLAYER 3</t>
  </si>
  <si>
    <t>PLAYER 4</t>
  </si>
  <si>
    <t>HOW TO INSTALL: Press Alt+F11 → Insert → Module → paste everything from A4 down into the module window.</t>
  </si>
  <si>
    <t>Then go back to GAME BOARD sheet and buttons will work.</t>
  </si>
  <si>
    <t xml:space="preserve"> ============================================================</t>
  </si>
  <si>
    <t xml:space="preserve"> THE LAST TRUMPET — 4-Player Game Engine v1.0</t>
  </si>
  <si>
    <t xml:space="preserve"> ---- DEAL CARDS (runs at game start) ----</t>
  </si>
  <si>
    <t>Sub DealCards()</t>
  </si>
  <si>
    <t xml:space="preserve">    Dim wb As Workbook</t>
  </si>
  <si>
    <t xml:space="preserve">    Dim wsDash As Worksheet, wsBoard As Worksheet, wsData As Worksheet</t>
  </si>
  <si>
    <t xml:space="preserve">    Set wb = ThisWorkbook</t>
  </si>
  <si>
    <t xml:space="preserve">    Set wsDash = wb.Sheets("PLAYER DASHBOARD")</t>
  </si>
  <si>
    <t xml:space="preserve">    Set wsBoard = wb.Sheets("GAME BOARD")</t>
  </si>
  <si>
    <t xml:space="preserve">    Set wsData = wb.Sheets("CARD DATA")</t>
  </si>
  <si>
    <t xml:space="preserve">    Randomize</t>
  </si>
  <si>
    <t xml:space="preserve">    ' --- Deal Soul States (shuffle 18-card deck, take 4) ---</t>
  </si>
  <si>
    <t xml:space="preserve">    Dim souls(1 To 18) As String</t>
  </si>
  <si>
    <t xml:space="preserve">    Dim i As Integer</t>
  </si>
  <si>
    <t xml:space="preserve">    For i = 1 To 18</t>
  </si>
  <si>
    <t xml:space="preserve">        souls(i) = wsData.Cells(i + 1, 1).Value  ' Col A rows 2-19</t>
  </si>
  <si>
    <t xml:space="preserve">    Next i</t>
  </si>
  <si>
    <t xml:space="preserve">    Call ShuffleArray(souls, 18)</t>
  </si>
  <si>
    <t xml:space="preserve">    ' --- Deal Roles (shuffle 12-card deck, take 4) ---</t>
  </si>
  <si>
    <t xml:space="preserve">    Dim roles(1 To 12) As String</t>
  </si>
  <si>
    <t xml:space="preserve">    For i = 1 To 12</t>
  </si>
  <si>
    <t xml:space="preserve">        roles(i) = wsData.Cells(i + 1, 2).Value  ' Col B rows 2-13</t>
  </si>
  <si>
    <t xml:space="preserve">    Call ShuffleArray(roles, 12)</t>
  </si>
  <si>
    <t xml:space="preserve">    ' --- Deal Burdens (shuffle 9-card deck, take 4) ---</t>
  </si>
  <si>
    <t xml:space="preserve">    Dim burdens(1 To 9) As String</t>
  </si>
  <si>
    <t xml:space="preserve">    For i = 1 To 9</t>
  </si>
  <si>
    <t xml:space="preserve">        burdens(i) = wsData.Cells(i + 1, 3).Value  ' Col C rows 2-10</t>
  </si>
  <si>
    <t xml:space="preserve">    Call ShuffleArray(burdens, 9)</t>
  </si>
  <si>
    <t xml:space="preserve">    ' --- Write to Dashboard ---</t>
  </si>
  <si>
    <t xml:space="preserve">    ' Player 1 (rows 5-13)</t>
  </si>
  <si>
    <t xml:space="preserve">    wsDash.Cells(5, 2).Value = souls(1)</t>
  </si>
  <si>
    <t xml:space="preserve">    wsDash.Cells(6, 2).Value = roles(1)</t>
  </si>
  <si>
    <t xml:space="preserve">    wsDash.Cells(7, 2).Value = burdens(1)</t>
  </si>
  <si>
    <t xml:space="preserve">    wsBoard.Cells(24, 3).Value = "[" &amp; roles(1) &amp; "]"</t>
  </si>
  <si>
    <t xml:space="preserve">    ' Player 2 (rows 16-24)</t>
  </si>
  <si>
    <t xml:space="preserve">    wsDash.Cells(16, 2).Value = souls(2)</t>
  </si>
  <si>
    <t xml:space="preserve">    wsDash.Cells(17, 2).Value = roles(2)</t>
  </si>
  <si>
    <t xml:space="preserve">    wsDash.Cells(18, 2).Value = burdens(2)</t>
  </si>
  <si>
    <t xml:space="preserve">    wsBoard.Cells(25, 3).Value = "[" &amp; roles(2) &amp; "]"</t>
  </si>
  <si>
    <t xml:space="preserve">    ' Player 3 (rows 27-35)</t>
  </si>
  <si>
    <t xml:space="preserve">    wsDash.Cells(27, 2).Value = souls(3)</t>
  </si>
  <si>
    <t xml:space="preserve">    wsDash.Cells(28, 2).Value = roles(3)</t>
  </si>
  <si>
    <t xml:space="preserve">    wsDash.Cells(29, 2).Value = burdens(3)</t>
  </si>
  <si>
    <t xml:space="preserve">    wsBoard.Cells(26, 3).Value = "[" &amp; roles(3) &amp; "]"</t>
  </si>
  <si>
    <t xml:space="preserve">    ' Player 4 (rows 38-46)</t>
  </si>
  <si>
    <t xml:space="preserve">    wsDash.Cells(38, 2).Value = souls(4)</t>
  </si>
  <si>
    <t xml:space="preserve">    wsDash.Cells(39, 2).Value = roles(4)</t>
  </si>
  <si>
    <t xml:space="preserve">    wsDash.Cells(40, 2).Value = burdens(4)</t>
  </si>
  <si>
    <t xml:space="preserve">    wsBoard.Cells(27, 3).Value = "[" &amp; roles(4) &amp; "]"</t>
  </si>
  <si>
    <t xml:space="preserve">    ' --- Deal starting hands (2 Action + 1 Faith + 1 Influence each) ---</t>
  </si>
  <si>
    <t xml:space="preserve">    Call DealStartingHand(1, wsDash, wsData)</t>
  </si>
  <si>
    <t xml:space="preserve">    Call DealStartingHand(2, wsDash, wsData)</t>
  </si>
  <si>
    <t xml:space="preserve">    Call DealStartingHand(3, wsDash, wsData)</t>
  </si>
  <si>
    <t xml:space="preserve">    Call DealStartingHand(4, wsDash, wsData)</t>
  </si>
  <si>
    <t xml:space="preserve">    ' --- Assign starting zones ---</t>
  </si>
  <si>
    <t xml:space="preserve">    Dim zones(1 To 7) As String</t>
  </si>
  <si>
    <t xml:space="preserve">    zones(1) = "Babylon" : zones(2) = "Wilderness" : zones(3) = "Hidden Church"</t>
  </si>
  <si>
    <t xml:space="preserve">    zones(4) = "Marketplace" : zones(5) = "Empire City" : zones(6) = "Zion" : zones(7) = "Ruins"</t>
  </si>
  <si>
    <t xml:space="preserve">    wsBoard.Cells(24, 4).Value = zones(Int(Rnd() * 7) + 1)</t>
  </si>
  <si>
    <t xml:space="preserve">    wsBoard.Cells(25, 4).Value = zones(Int(Rnd() * 7) + 1)</t>
  </si>
  <si>
    <t xml:space="preserve">    wsBoard.Cells(26, 4).Value = zones(Int(Rnd() * 7) + 1)</t>
  </si>
  <si>
    <t xml:space="preserve">    wsBoard.Cells(27, 4).Value = zones(Int(Rnd() * 7) + 1)</t>
  </si>
  <si>
    <t xml:space="preserve">    ' --- Reset board trackers ---</t>
  </si>
  <si>
    <t xml:space="preserve">    wsBoard.Cells(6, 2).Value = 0   ' Prophecy Track</t>
  </si>
  <si>
    <t xml:space="preserve">    wsBoard.Cells(7, 2).Value = 0   ' Trumpet Track</t>
  </si>
  <si>
    <t xml:space="preserve">    wsBoard.Cells(8, 2).Value = 0   ' Beast Influence</t>
  </si>
  <si>
    <t xml:space="preserve">    wsBoard.Cells(9, 2).Value = 3   ' Mercy Window</t>
  </si>
  <si>
    <t xml:space="preserve">    wsBoard.Cells(10, 2).Value = 7  ' World Stability</t>
  </si>
  <si>
    <t xml:space="preserve">    wsBoard.Cells(3, 2).Value = 1   ' Round counter</t>
  </si>
  <si>
    <t xml:space="preserve">    wsBoard.Cells(3, 5).Value = "Phase 1: Prophecy"  ' Phase</t>
  </si>
  <si>
    <t xml:space="preserve">    ' --- Log ---</t>
  </si>
  <si>
    <t xml:space="preserve">    Call LogEvent(0, "SYSTEM", "Cards dealt. Game begins. Round 1.", "", "Setup complete")</t>
  </si>
  <si>
    <t xml:space="preserve">    MsgBox "Cards dealt! Check PLAYER DASHBOARD for hidden identities." &amp; Chr(10) &amp; "Now go to PLAY TABLE and press DRAW PROPHECY.", vbInformation, "The Last Trumpet"</t>
  </si>
  <si>
    <t>End Sub</t>
  </si>
  <si>
    <t xml:space="preserve"> ---- DEAL STARTING HAND helper ----</t>
  </si>
  <si>
    <t>Sub DealStartingHand(playerNum As Integer, wsDash As Worksheet, wsData As Worksheet)</t>
  </si>
  <si>
    <t xml:space="preserve">    Dim baseRow As Integer</t>
  </si>
  <si>
    <t xml:space="preserve">    Select Case playerNum</t>
  </si>
  <si>
    <t xml:space="preserve">        Case 1: baseRow = 8</t>
  </si>
  <si>
    <t xml:space="preserve">        Case 2: baseRow = 19</t>
  </si>
  <si>
    <t xml:space="preserve">        Case 3: baseRow = 30</t>
  </si>
  <si>
    <t xml:space="preserve">        Case 4: baseRow = 41</t>
  </si>
  <si>
    <t xml:space="preserve">    End Select</t>
  </si>
  <si>
    <t xml:space="preserve">    ' Action card 1 (rows 18-25 in data col E)</t>
  </si>
  <si>
    <t xml:space="preserve">    Dim actIdx As Integer</t>
  </si>
  <si>
    <t xml:space="preserve">    actIdx = Int(Rnd() * 8) + 18  ' rows 18-25 = Action cards</t>
  </si>
  <si>
    <t xml:space="preserve">    wsDash.Cells(baseRow, 2).Value = wsData.Cells(actIdx, 5).Value</t>
  </si>
  <si>
    <t xml:space="preserve">    wsDash.Cells(baseRow + 2, 2).Value = wsData.Cells(actIdx, 7).Value  ' effect row</t>
  </si>
  <si>
    <t xml:space="preserve">    ' Faith card</t>
  </si>
  <si>
    <t xml:space="preserve">    Dim faithIdx As Integer</t>
  </si>
  <si>
    <t xml:space="preserve">    faithIdx = Int(Rnd() * 8) + 2  ' rows 2-10 = Faith cards</t>
  </si>
  <si>
    <t xml:space="preserve">    wsDash.Cells(baseRow, 4).Value = wsData.Cells(faithIdx, 5).Value</t>
  </si>
  <si>
    <t xml:space="preserve">    wsDash.Cells(baseRow + 3, 2).Value = wsData.Cells(faithIdx, 7).Value</t>
  </si>
  <si>
    <t xml:space="preserve">    ' Influence card</t>
  </si>
  <si>
    <t xml:space="preserve">    Dim infIdx As Integer</t>
  </si>
  <si>
    <t xml:space="preserve">    infIdx = Int(Rnd() * 6) + 26  ' rows 26-31 = Influence cards</t>
  </si>
  <si>
    <t xml:space="preserve">    wsDash.Cells(baseRow, 6).Value = wsData.Cells(infIdx, 5).Value</t>
  </si>
  <si>
    <t xml:space="preserve">    wsDash.Cells(baseRow + 4, 2).Value = wsData.Cells(infIdx, 7).Value</t>
  </si>
  <si>
    <t xml:space="preserve"> ---- SHUFFLE ARRAY ----</t>
  </si>
  <si>
    <t>Sub ShuffleArray(arr() As String, n As Integer)</t>
  </si>
  <si>
    <t xml:space="preserve">    Dim i As Integer, j As Integer, temp As String</t>
  </si>
  <si>
    <t xml:space="preserve">    For i = n To 2 Step -1</t>
  </si>
  <si>
    <t xml:space="preserve">        j = Int(Rnd() * i) + 1</t>
  </si>
  <si>
    <t xml:space="preserve">        temp = arr(i) : arr(i) = arr(j) : arr(j) = temp</t>
  </si>
  <si>
    <t xml:space="preserve"> ---- DRAW PROPHECY ----</t>
  </si>
  <si>
    <t>Sub DrawProphecy()</t>
  </si>
  <si>
    <t xml:space="preserve">    Dim wsData As Worksheet, wsPlay As Worksheet, wsBoard As Worksheet</t>
  </si>
  <si>
    <t xml:space="preserve">    Set wsData = ThisWorkbook.Sheets("CARD DATA")</t>
  </si>
  <si>
    <t xml:space="preserve">    Set wsPlay = ThisWorkbook.Sheets("PLAY TABLE")</t>
  </si>
  <si>
    <t xml:space="preserve">    Set wsBoard = ThisWorkbook.Sheets("GAME BOARD")</t>
  </si>
  <si>
    <t xml:space="preserve">    ' Prophecy cards are rows 32-37 in col E</t>
  </si>
  <si>
    <t xml:space="preserve">    Dim idx As Integer</t>
  </si>
  <si>
    <t xml:space="preserve">    idx = Int(Rnd() * 6) + 32</t>
  </si>
  <si>
    <t xml:space="preserve">    Dim cardName As String, cardEffect As String, cardRisk As String</t>
  </si>
  <si>
    <t xml:space="preserve">    cardName = wsData.Cells(idx, 5).Value</t>
  </si>
  <si>
    <t xml:space="preserve">    cardEffect = wsData.Cells(idx, 7).Value</t>
  </si>
  <si>
    <t xml:space="preserve">    cardRisk = wsData.Cells(idx, 8).Value</t>
  </si>
  <si>
    <t xml:space="preserve">    wsPlay.Cells(6, 2).Value = cardName</t>
  </si>
  <si>
    <t xml:space="preserve">    wsPlay.Cells(7, 2).Value = cardEffect</t>
  </si>
  <si>
    <t xml:space="preserve">    wsPlay.Cells(8, 2).Value = cardRisk</t>
  </si>
  <si>
    <t xml:space="preserve">    wsBoard.Cells(6, 4).Value = cardName</t>
  </si>
  <si>
    <t xml:space="preserve">    wsBoard.Cells(7, 4).Value = "EFFECT: " &amp; cardEffect</t>
  </si>
  <si>
    <t xml:space="preserve">    ' Advance Prophecy track</t>
  </si>
  <si>
    <t xml:space="preserve">    wsBoard.Cells(6, 2).Value = wsBoard.Cells(6, 2).Value + 1</t>
  </si>
  <si>
    <t xml:space="preserve">    ' Check for Trumpet</t>
  </si>
  <si>
    <t xml:space="preserve">    Dim round As Integer</t>
  </si>
  <si>
    <t xml:space="preserve">    round = wsBoard.Cells(3, 2).Value</t>
  </si>
  <si>
    <t xml:space="preserve">    If round = 3 Or round = 5 Or round = 6 Or round = 7 Or round = 8 Then</t>
  </si>
  <si>
    <t xml:space="preserve">        wsBoard.Cells(7, 2).Value = wsBoard.Cells(7, 2).Value + 1</t>
  </si>
  <si>
    <t xml:space="preserve">        Call LogEvent(round, "SYSTEM", "TRUMPET SOUNDS! Trumpet #" &amp; wsBoard.Cells(7, 2).Value, cardName, "Trumpet effect fires")</t>
  </si>
  <si>
    <t xml:space="preserve">        MsgBox "*** TRUMPET SOUNDS! ***" &amp; Chr(10) &amp; "Trumpet #" &amp; wsBoard.Cells(7, 2).Value &amp; Chr(10) &amp; Chr(10) &amp; cardName &amp; Chr(10) &amp; cardEffect, vbExclamation, "TRUMPET!"</t>
  </si>
  <si>
    <t xml:space="preserve">    End If</t>
  </si>
  <si>
    <t xml:space="preserve">    wsPlay.Cells(3, 8).Value = "2 - Draw Crisis"</t>
  </si>
  <si>
    <t xml:space="preserve">    Call LogEvent(round, "ALL", "Prophecy card drawn", cardName, cardEffect)</t>
  </si>
  <si>
    <t xml:space="preserve">    wsBoard.Cells(3, 5).Value = "Phase 2: Draw Crisis"</t>
  </si>
  <si>
    <t xml:space="preserve"> ---- DRAW CRISIS ----</t>
  </si>
  <si>
    <t>Sub DrawCrisis()</t>
  </si>
  <si>
    <t xml:space="preserve">    ' Action cards are rows 18-25, all playable as crisis</t>
  </si>
  <si>
    <t xml:space="preserve">    idx = Int(Rnd() * 24) + 2  ' any non-setup card</t>
  </si>
  <si>
    <t xml:space="preserve">    Dim cardName As String, cardEffect As String</t>
  </si>
  <si>
    <t xml:space="preserve">    wsPlay.Cells(11, 2).Value = cardName</t>
  </si>
  <si>
    <t xml:space="preserve">    wsPlay.Cells(12, 2).Value = cardEffect</t>
  </si>
  <si>
    <t xml:space="preserve">    wsPlay.Cells(3, 8).Value = "3 - Debate (3 min timer)"</t>
  </si>
  <si>
    <t xml:space="preserve">    wsBoard.Cells(3, 5).Value = "Phase 3: DEBATE OPEN"</t>
  </si>
  <si>
    <t xml:space="preserve">    Dim round As Integer : round = wsBoard.Cells(3, 2).Value</t>
  </si>
  <si>
    <t xml:space="preserve">    Call LogEvent(round, wsPlay.Cells(3, 2).Value, "Crisis drawn", cardName, "Debate opens")</t>
  </si>
  <si>
    <t xml:space="preserve">    MsgBox "CRISIS: " &amp; cardName &amp; Chr(10) &amp; Chr(10) &amp; cardEffect &amp; Chr(10) &amp; Chr(10) &amp; "DEBATE WINDOW OPEN - 3 minutes!" &amp; Chr(10) &amp; "All players may warn, persuade, threaten, accuse, or offer cards.", vbExclamation, "DEBATE OPEN"</t>
  </si>
  <si>
    <t xml:space="preserve"> ---- DRAW FROM DECK (any player draws 1 card) ----</t>
  </si>
  <si>
    <t>Sub DrawCard()</t>
  </si>
  <si>
    <t xml:space="preserve">    Dim wsData As Worksheet, wsPlay As Worksheet</t>
  </si>
  <si>
    <t xml:space="preserve">    ' Ask which player and which deck</t>
  </si>
  <si>
    <t xml:space="preserve">    Dim pNum As String</t>
  </si>
  <si>
    <t xml:space="preserve">    pNum = InputBox("Which player draws? (1/2/3/4)", "Draw Card", "1")</t>
  </si>
  <si>
    <t xml:space="preserve">    If pNum = "" Then Exit Sub</t>
  </si>
  <si>
    <t xml:space="preserve">    Dim deckChoice As String</t>
  </si>
  <si>
    <t xml:space="preserve">    deckChoice = InputBox("Which deck?" &amp; Chr(10) &amp; "F = Faith  A = Action  I = Influence  W = Wilderness", "Draw Card", "F")</t>
  </si>
  <si>
    <t xml:space="preserve">    If deckChoice = "" Then Exit Sub</t>
  </si>
  <si>
    <t xml:space="preserve">    Dim idx As Integer, cardName As String, cardEffect As String, cardRisk As String</t>
  </si>
  <si>
    <t xml:space="preserve">    Select Case UCase(deckChoice)</t>
  </si>
  <si>
    <t xml:space="preserve">        Case "F":  idx = Int(Rnd() * 8) + 2    ' Faith rows 2-10</t>
  </si>
  <si>
    <t xml:space="preserve">        Case "A":  idx = Int(Rnd() * 8) + 18   ' Action rows 18-25</t>
  </si>
  <si>
    <t xml:space="preserve">        Case "I":  idx = Int(Rnd() * 6) + 26   ' Influence rows 26-31</t>
  </si>
  <si>
    <t xml:space="preserve">        Case "W":  idx = Int(Rnd() * 4) + 38   ' Wilderness rows 38-41</t>
  </si>
  <si>
    <t xml:space="preserve">        Case Else: idx = Int(Rnd() * 30) + 2</t>
  </si>
  <si>
    <t xml:space="preserve">    ' Add to player's hand</t>
  </si>
  <si>
    <t xml:space="preserve">    Dim wsDash As Worksheet</t>
  </si>
  <si>
    <t xml:space="preserve">    Set wsDash = ThisWorkbook.Sheets("PLAYER DASHBOARD")</t>
  </si>
  <si>
    <t xml:space="preserve">    Select Case pNum</t>
  </si>
  <si>
    <t xml:space="preserve">        Case "1": baseRow = 8</t>
  </si>
  <si>
    <t xml:space="preserve">        Case "2": baseRow = 19</t>
  </si>
  <si>
    <t xml:space="preserve">        Case "3": baseRow = 30</t>
  </si>
  <si>
    <t xml:space="preserve">        Case "4": baseRow = 41</t>
  </si>
  <si>
    <t xml:space="preserve">    ' Find empty hand slot</t>
  </si>
  <si>
    <t xml:space="preserve">    If wsDash.Cells(baseRow, 2).Value = "" Then</t>
  </si>
  <si>
    <t xml:space="preserve">        wsDash.Cells(baseRow, 2).Value = cardName</t>
  </si>
  <si>
    <t xml:space="preserve">    ElseIf wsDash.Cells(baseRow, 4).Value = "" Then</t>
  </si>
  <si>
    <t xml:space="preserve">        wsDash.Cells(baseRow, 4).Value = cardName</t>
  </si>
  <si>
    <t xml:space="preserve">    ElseIf wsDash.Cells(baseRow, 6).Value = "" Then</t>
  </si>
  <si>
    <t xml:space="preserve">        wsDash.Cells(baseRow, 6).Value = cardName</t>
  </si>
  <si>
    <t xml:space="preserve">    Else</t>
  </si>
  <si>
    <t xml:space="preserve">        wsDash.Cells(baseRow, 8).Value = cardName  ' overflow slot</t>
  </si>
  <si>
    <t xml:space="preserve">    MsgBox "Player " &amp; pNum &amp; " drew:" &amp; Chr(10) &amp; Chr(10) &amp; cardName &amp; Chr(10) &amp; Chr(10) &amp; "EFFECT: " &amp; cardEffect &amp; Chr(10) &amp; "RISK: " &amp; cardRisk, vbInformation, "Card Drawn"</t>
  </si>
  <si>
    <t xml:space="preserve"> ---- RESOLVE TURN ----</t>
  </si>
  <si>
    <t>Sub ResolveTurn()</t>
  </si>
  <si>
    <t xml:space="preserve">    Dim wsBoard As Worksheet, wsPlay As Worksheet</t>
  </si>
  <si>
    <t xml:space="preserve">    Dim activePlayer As String : activePlayer = wsPlay.Cells(3, 2).Value</t>
  </si>
  <si>
    <t xml:space="preserve">    ' Get the choice entered by user in B27</t>
  </si>
  <si>
    <t xml:space="preserve">    Dim choice As String : choice = wsPlay.Cells(27, 2).Value</t>
  </si>
  <si>
    <t xml:space="preserve">    If choice = "" Or choice = "(record here)" Then</t>
  </si>
  <si>
    <t xml:space="preserve">        MsgBox "Record the player's choice in cell B27 first!", vbExclamation</t>
  </si>
  <si>
    <t xml:space="preserve">        Exit Sub</t>
  </si>
  <si>
    <t xml:space="preserve">    ' Determine outcome based on choice keyword</t>
  </si>
  <si>
    <t xml:space="preserve">    Dim outcome As String</t>
  </si>
  <si>
    <t xml:space="preserve">    Dim lChoice As String : lChoice = LCase(choice)</t>
  </si>
  <si>
    <t xml:space="preserve">    If InStr(lChoice, "grace") &gt; 0 Or InStr(lChoice, "accept") &gt; 0 Or InStr(lChoice, "salvation") &gt; 0 Then</t>
  </si>
  <si>
    <t xml:space="preserve">        outcome = "GRACE OFFERED: Advance 1 soul state step toward Saved. (Must be Seeking/Convicted to receive.)"</t>
  </si>
  <si>
    <t xml:space="preserve">        wsPlay.Cells(31, 2).Value = "Soul state: advance 1 step"</t>
  </si>
  <si>
    <t xml:space="preserve">    ElseIf InStr(lChoice, "flee") &gt; 0 Or InStr(lChoice, "move") &gt; 0 Then</t>
  </si>
  <si>
    <t xml:space="preserve">        outcome = "MOVEMENT: Update player location on GAME BOARD."</t>
  </si>
  <si>
    <t xml:space="preserve">        wsPlay.Cells(31, 2).Value = "Location changed"</t>
  </si>
  <si>
    <t xml:space="preserve">    ElseIf InStr(lChoice, "sacrifice") &gt; 0 Or InStr(lChoice, "rescue") &gt; 0 Then</t>
  </si>
  <si>
    <t xml:space="preserve">        outcome = "SACRIFICE: Active player draws 1 Crisis card. If Saved: gain 1 Crown."</t>
  </si>
  <si>
    <t xml:space="preserve">        wsPlay.Cells(31, 2).Value = "Crown gained or Crisis drawn"</t>
  </si>
  <si>
    <t xml:space="preserve">    ElseIf InStr(lChoice, "trust") &gt; 0 Or InStr(lChoice, "bond") &gt; 0 Then</t>
  </si>
  <si>
    <t xml:space="preserve">        outcome = "BOND ATTEMPT: Both players secretly choose Trust/Guarded/Manipulate. Reveal simultaneously."</t>
  </si>
  <si>
    <t xml:space="preserve">        wsPlay.Cells(31, 2).Value = "Bond formed or failed"</t>
  </si>
  <si>
    <t xml:space="preserve">    ElseIf InStr(lChoice, "wilderness") &gt; 0 Then</t>
  </si>
  <si>
    <t xml:space="preserve">        outcome = "WILDERNESS: Advance Wilderness Track. Draw Wilderness Trial (press DRAW CARD &gt; W)."</t>
  </si>
  <si>
    <t xml:space="preserve">        wsPlay.Cells(31, 2).Value = "Wilderness track advanced"</t>
  </si>
  <si>
    <t xml:space="preserve">        outcome = "Choice recorded. Resolve effect manually per card description."</t>
  </si>
  <si>
    <t xml:space="preserve">        wsPlay.Cells(31, 2).Value = "Manual resolve"</t>
  </si>
  <si>
    <t xml:space="preserve">    wsPlay.Cells(30, 2).Value = outcome</t>
  </si>
  <si>
    <t xml:space="preserve">    Call LogEvent(round, activePlayer, "Turn resolved: " &amp; choice, "", outcome)</t>
  </si>
  <si>
    <t xml:space="preserve">    MsgBox outcome, vbInformation, "Turn Resolved"</t>
  </si>
  <si>
    <t xml:space="preserve">    wsBoard.Cells(3, 5).Value = "Phase 6 - Resolved. Press NEXT PLAYER."</t>
  </si>
  <si>
    <t xml:space="preserve"> ---- NEXT PLAYER ----</t>
  </si>
  <si>
    <t>Sub NextPlayer()</t>
  </si>
  <si>
    <t xml:space="preserve">    ' Cycle through P1-P4, then advance round</t>
  </si>
  <si>
    <t xml:space="preserve">    Dim current As String : current = wsPlay.Cells(3, 2).Value</t>
  </si>
  <si>
    <t xml:space="preserve">    Select Case current</t>
  </si>
  <si>
    <t xml:space="preserve">        Case "Player 1": wsPlay.Cells(3, 2).Value = "Player 2"</t>
  </si>
  <si>
    <t xml:space="preserve">        Case "Player 2": wsPlay.Cells(3, 2).Value = "Player 3"</t>
  </si>
  <si>
    <t xml:space="preserve">        Case "Player 3": wsPlay.Cells(3, 2).Value = "Player 4"</t>
  </si>
  <si>
    <t xml:space="preserve">        Case "Player 4":</t>
  </si>
  <si>
    <t xml:space="preserve">            wsPlay.Cells(3, 2).Value = "Player 1"</t>
  </si>
  <si>
    <t xml:space="preserve">            ' Advance round</t>
  </si>
  <si>
    <t xml:space="preserve">            Dim newRound As Integer</t>
  </si>
  <si>
    <t xml:space="preserve">            newRound = wsBoard.Cells(3, 2).Value + 1</t>
  </si>
  <si>
    <t xml:space="preserve">            wsBoard.Cells(3, 2).Value = newRound</t>
  </si>
  <si>
    <t xml:space="preserve">            wsPlay.Cells(3, 5).Value = newRound</t>
  </si>
  <si>
    <t xml:space="preserve">            ' Reduce Mercy Window in late rounds</t>
  </si>
  <si>
    <t xml:space="preserve">            If newRound &gt;= 7 Then wsBoard.Cells(9, 2).Value = Application.Max(0, wsBoard.Cells(9, 2).Value - 1)</t>
  </si>
  <si>
    <t xml:space="preserve">            If newRound = 8 Then Call TriggerBabylonFall</t>
  </si>
  <si>
    <t xml:space="preserve">            If newRound &gt; 8 Then wsPlay.Cells(3, 8).Value = "FINAL ROUNDS - JUDGMENT APPROACHING"</t>
  </si>
  <si>
    <t xml:space="preserve">            If newRound &gt;= 9 Then</t>
  </si>
  <si>
    <t xml:space="preserve">                Dim ans As VbMsgBoxResult</t>
  </si>
  <si>
    <t xml:space="preserve">                ans = MsgBox("Round " &amp; newRound &amp; " - FINAL WARNING." &amp; Chr(10) &amp; "Every unsaved player draws 1 Faith card." &amp; Chr(10) &amp; Chr(10) &amp; "Continue to Final Judgment?", vbYesNo, "Final Warning")</t>
  </si>
  <si>
    <t xml:space="preserve">                If ans = vbYes And newRound = 10 Then Call FinalJudgment</t>
  </si>
  <si>
    <t xml:space="preserve">            End If</t>
  </si>
  <si>
    <t xml:space="preserve">    ' Clear PLAY TABLE for next turn</t>
  </si>
  <si>
    <t xml:space="preserve">    wsPlay.Cells(6, 2).Value = "(click DRAW PROPHECY)"</t>
  </si>
  <si>
    <t xml:space="preserve">    wsPlay.Cells(11, 2).Value = "(click DRAW CRISIS)"</t>
  </si>
  <si>
    <t xml:space="preserve">    wsPlay.Cells(27, 2).Value = "(record here)"</t>
  </si>
  <si>
    <t xml:space="preserve">    wsPlay.Cells(30, 2).Value = ""</t>
  </si>
  <si>
    <t xml:space="preserve">    wsPlay.Cells(31, 2).Value = ""</t>
  </si>
  <si>
    <t xml:space="preserve">    wsPlay.Cells(3, 8).Value = "1 - Prophecy"</t>
  </si>
  <si>
    <t xml:space="preserve">    wsBoard.Cells(3, 5).Value = "Phase 1: Prophecy"</t>
  </si>
  <si>
    <t xml:space="preserve"> ---- TRIGGER BABYLON FALL (Round 8) ----</t>
  </si>
  <si>
    <t>Sub TriggerBabylonFall()</t>
  </si>
  <si>
    <t xml:space="preserve">    MsgBox "*** BABYLON FALLS! ***" &amp; Chr(10) &amp; Chr(10) &amp; "ALL players in Babylon must:" &amp; Chr(10) &amp; "  FLEE (move to any zone), or" &amp; Chr(10) &amp; "  TEST ENDURANCE (lose 2 Endurance), or" &amp; Chr(10) &amp; "  REVEAL a protection card." &amp; Chr(10) &amp; Chr(10) &amp; "If they previously obeyed 'Come Out of Her': gain True Resolve!", vbExclamation, "BABYLON FALLS - REV 18"</t>
  </si>
  <si>
    <t xml:space="preserve">    Call LogEvent(8, "SYSTEM", "BABYLON FALLS", "Rev 18", "All Babylon players must flee or test")</t>
  </si>
  <si>
    <t xml:space="preserve"> ---- FINAL JUDGMENT ----</t>
  </si>
  <si>
    <t>Sub FinalJudgment()</t>
  </si>
  <si>
    <t xml:space="preserve">    Dim wsDash As Worksheet, wsBoard As Worksheet</t>
  </si>
  <si>
    <t xml:space="preserve">    Dim results As String</t>
  </si>
  <si>
    <t xml:space="preserve">    results = "*** THE LAST TRUMPET SOUNDS ***" &amp; Chr(10) &amp; "FINAL JUDGMENT" &amp; Chr(10) &amp; Chr(10)</t>
  </si>
  <si>
    <t xml:space="preserve">    results = results &amp; "Revealing all soul states:" &amp; Chr(10) &amp; Chr(10)</t>
  </si>
  <si>
    <t xml:space="preserve">    ' Read soul states from Dashboard</t>
  </si>
  <si>
    <t xml:space="preserve">    Dim souls(1 To 4) As String</t>
  </si>
  <si>
    <t xml:space="preserve">    souls(1) = wsDash.Cells(5, 2).Value</t>
  </si>
  <si>
    <t xml:space="preserve">    souls(2) = wsDash.Cells(16, 2).Value</t>
  </si>
  <si>
    <t xml:space="preserve">    souls(3) = wsDash.Cells(27, 2).Value</t>
  </si>
  <si>
    <t xml:space="preserve">    souls(4) = wsDash.Cells(38, 2).Value</t>
  </si>
  <si>
    <t xml:space="preserve">    For i = 1 To 4</t>
  </si>
  <si>
    <t xml:space="preserve">        Dim verdict As String</t>
  </si>
  <si>
    <t xml:space="preserve">        Select Case souls(i)</t>
  </si>
  <si>
    <t xml:space="preserve">            Case "Saved":     verdict = "VICTORY — Preserved by grace. New Jerusalem."</t>
  </si>
  <si>
    <t xml:space="preserve">            Case "Seeking":   verdict = "GRACE WINDOW — Final offer extended. Choose now."</t>
  </si>
  <si>
    <t xml:space="preserve">            Case "Convicted": verdict = "GRACE WINDOW — So close. Grace offered one final time."</t>
  </si>
  <si>
    <t xml:space="preserve">            Case "Lost":      verdict = "LOSS — Never awakened. Separated."</t>
  </si>
  <si>
    <t xml:space="preserve">            Case "Deceived":  verdict = "LOSS — Deceived to the end. Separated."</t>
  </si>
  <si>
    <t xml:space="preserve">            Case "Hardened":  verdict = "LOSS — Refused twice. Separated."</t>
  </si>
  <si>
    <t xml:space="preserve">            Case "Apostate":  verdict = "LOSS — Knowingly rejected. Judgment."</t>
  </si>
  <si>
    <t xml:space="preserve">            Case Else:        verdict = "Unknown soul state."</t>
  </si>
  <si>
    <t xml:space="preserve">        End Select</t>
  </si>
  <si>
    <t xml:space="preserve">        results = results &amp; "Player " &amp; i &amp; " [" &amp; souls(i) &amp; "]: " &amp; verdict &amp; Chr(10)</t>
  </si>
  <si>
    <t xml:space="preserve">    results = results &amp; Chr(10) &amp; "'He who has an ear, let him hear.' — Rev 2:7"</t>
  </si>
  <si>
    <t xml:space="preserve">    MsgBox results, vbInformation, "THE LAST TRUMPET"</t>
  </si>
  <si>
    <t xml:space="preserve">    Call LogEvent(10, "SYSTEM", "FINAL JUDGMENT", "Rev 22", results)</t>
  </si>
  <si>
    <t xml:space="preserve"> ---- LOG EVENT ----</t>
  </si>
  <si>
    <t>Sub LogEvent(round As Integer, player As String, event As String, card As String, outcome As String)</t>
  </si>
  <si>
    <t xml:space="preserve">    Dim wsBoard As Worksheet</t>
  </si>
  <si>
    <t xml:space="preserve">    ' Find next empty row in log (starting row 31)</t>
  </si>
  <si>
    <t xml:space="preserve">    Dim logRow As Integer : logRow = 31</t>
  </si>
  <si>
    <t xml:space="preserve">    Do While wsBoard.Cells(logRow, 1).Value &lt;&gt; ""</t>
  </si>
  <si>
    <t xml:space="preserve">        logRow = logRow + 1</t>
  </si>
  <si>
    <t xml:space="preserve">        If logRow &gt; 200 Then Exit Do</t>
  </si>
  <si>
    <t xml:space="preserve">    Loop</t>
  </si>
  <si>
    <t xml:space="preserve">    wsBoard.Cells(logRow, 1).Value = round</t>
  </si>
  <si>
    <t xml:space="preserve">    wsBoard.Cells(logRow, 2).Value = player</t>
  </si>
  <si>
    <t xml:space="preserve">    wsBoard.Cells(logRow, 3).Value = event</t>
  </si>
  <si>
    <t xml:space="preserve">    wsBoard.Cells(logRow, 4).Value = card</t>
  </si>
  <si>
    <t xml:space="preserve">    wsBoard.Cells(logRow, 5).Value = outcome</t>
  </si>
  <si>
    <t xml:space="preserve"> BUTTON ASSIGNMENTS (create these buttons on PLAY TABLE sheet):</t>
  </si>
  <si>
    <t xml:space="preserve"> [DEAL CARDS]       → DealCards</t>
  </si>
  <si>
    <t xml:space="preserve"> [DRAW PROPHECY]    → DrawProphecy</t>
  </si>
  <si>
    <t xml:space="preserve"> [DRAW CRISIS]      → DrawCrisis</t>
  </si>
  <si>
    <t xml:space="preserve"> [DRAW CARD]        → DrawCard</t>
  </si>
  <si>
    <t xml:space="preserve"> [RESOLVE TURN]     → ResolveTurn</t>
  </si>
  <si>
    <t xml:space="preserve"> [NEXT PLAYER]      → NextPlayer</t>
  </si>
  <si>
    <t>BUTTONS — After installing VBA, right-click these cells and assign the matching macro</t>
  </si>
  <si>
    <t>DEAL CARDS</t>
  </si>
  <si>
    <t>DRAW PROPHECY</t>
  </si>
  <si>
    <t>DRAW CRISIS</t>
  </si>
  <si>
    <t>DRAW CARD</t>
  </si>
  <si>
    <t>RESOLVE TURN</t>
  </si>
  <si>
    <t>NEXT PLAYER →</t>
  </si>
  <si>
    <t>HOW TO ADD BUTTONS:</t>
  </si>
  <si>
    <t>1. Press Alt+F11 to open VBA Editor</t>
  </si>
  <si>
    <t>2. Click Insert &gt; Module</t>
  </si>
  <si>
    <t>3. Open the VBA CODE sheet, copy ALL text from A4 to A405</t>
  </si>
  <si>
    <t>4. Paste into the blank Module window</t>
  </si>
  <si>
    <t>5. Close VBA Editor (Alt+F4 or X)</t>
  </si>
  <si>
    <t>6. Developer tab &gt; Insert &gt; Button (Form Control) &gt; draw on sheet &gt; assign macro</t>
  </si>
  <si>
    <t xml:space="preserve">   OR: right-click any colored cell above &gt; Assign Macro &gt; pick from list</t>
  </si>
  <si>
    <t>7. Press DEAL CARDS first, then follow phases in order.</t>
  </si>
  <si>
    <t>NOTE: For online Excel/Mac without VBA: manually change cell B27 (player choice) and use formulas instead.</t>
  </si>
  <si>
    <t xml:space="preserve">I forgot how to turn on VBA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</si>
</sst>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E8C547"/>
      <name val="Aptos Narrow"/>
      <family val="2"/>
      <scheme val="minor"/>
    </font>
    <font>
      <i/>
      <sz val="11"/>
      <color rgb="FFAAAAAA"/>
      <name val="Aptos Narrow"/>
      <family val="2"/>
      <scheme val="minor"/>
    </font>
    <font>
      <b/>
      <sz val="12"/>
      <color rgb="FFE8C547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E8C547"/>
      <name val="Aptos Narrow"/>
      <family val="2"/>
      <scheme val="minor"/>
    </font>
    <font>
      <sz val="11"/>
      <color rgb="FF888888"/>
      <name val="Aptos Narrow"/>
      <family val="2"/>
      <scheme val="minor"/>
    </font>
    <font>
      <i/>
      <sz val="11"/>
      <color rgb="FF888888"/>
      <name val="Aptos Narrow"/>
      <family val="2"/>
      <scheme val="minor"/>
    </font>
    <font>
      <sz val="11"/>
      <color rgb="FF88FF88"/>
      <name val="Aptos Narrow"/>
      <family val="2"/>
      <scheme val="minor"/>
    </font>
    <font>
      <sz val="11"/>
      <color rgb="FFFFDD88"/>
      <name val="Aptos Narrow"/>
      <family val="2"/>
      <scheme val="minor"/>
    </font>
    <font>
      <sz val="11"/>
      <color rgb="FFFF8888"/>
      <name val="Aptos Narrow"/>
      <family val="2"/>
      <scheme val="minor"/>
    </font>
    <font>
      <sz val="11"/>
      <color rgb="FFFF4444"/>
      <name val="Aptos Narrow"/>
      <family val="2"/>
      <scheme val="minor"/>
    </font>
    <font>
      <b/>
      <sz val="11"/>
      <color rgb="FFFF4444"/>
      <name val="Aptos Narrow"/>
      <family val="2"/>
      <scheme val="minor"/>
    </font>
    <font>
      <b/>
      <sz val="11"/>
      <color rgb="FFFF9900"/>
      <name val="Aptos Narrow"/>
      <family val="2"/>
      <scheme val="minor"/>
    </font>
    <font>
      <b/>
      <i/>
      <sz val="11"/>
      <color rgb="FFFF9900"/>
      <name val="Aptos Narrow"/>
      <family val="2"/>
      <scheme val="minor"/>
    </font>
    <font>
      <b/>
      <sz val="14"/>
      <color rgb="FFE8C547"/>
      <name val="Aptos Narrow"/>
      <family val="2"/>
      <scheme val="minor"/>
    </font>
    <font>
      <sz val="11"/>
      <color rgb="FFCCFFCC"/>
      <name val="Aptos Narrow"/>
      <family val="2"/>
      <scheme val="minor"/>
    </font>
    <font>
      <sz val="11"/>
      <color rgb="FFAACCFF"/>
      <name val="Aptos Narrow"/>
      <family val="2"/>
      <scheme val="minor"/>
    </font>
    <font>
      <sz val="11"/>
      <color rgb="FFDDAAFF"/>
      <name val="Aptos Narrow"/>
      <family val="2"/>
      <scheme val="minor"/>
    </font>
    <font>
      <sz val="11"/>
      <color rgb="FFAAFFAA"/>
      <name val="Aptos Narrow"/>
      <family val="2"/>
      <scheme val="minor"/>
    </font>
    <font>
      <sz val="11"/>
      <color rgb="FFFFAAAA"/>
      <name val="Aptos Narrow"/>
      <family val="2"/>
      <scheme val="minor"/>
    </font>
    <font>
      <sz val="11"/>
      <color rgb="FFFFFFAA"/>
      <name val="Aptos Narrow"/>
      <family val="2"/>
      <scheme val="minor"/>
    </font>
    <font>
      <sz val="11"/>
      <color rgb="FF88AAFF"/>
      <name val="Aptos Narrow"/>
      <family val="2"/>
      <scheme val="minor"/>
    </font>
    <font>
      <b/>
      <sz val="11"/>
      <color rgb="FF88FF88"/>
      <name val="Aptos Narrow"/>
      <family val="2"/>
      <scheme val="minor"/>
    </font>
    <font>
      <sz val="11"/>
      <color rgb="FF88FFEE"/>
      <name val="Aptos Narrow"/>
      <family val="2"/>
      <scheme val="minor"/>
    </font>
    <font>
      <b/>
      <sz val="11"/>
      <color rgb="FF88AAFF"/>
      <name val="Aptos Narrow"/>
      <family val="2"/>
      <scheme val="minor"/>
    </font>
    <font>
      <b/>
      <sz val="11"/>
      <color rgb="FFFFAAAA"/>
      <name val="Aptos Narrow"/>
      <family val="2"/>
      <scheme val="minor"/>
    </font>
    <font>
      <i/>
      <sz val="11"/>
      <color rgb="FFFF9900"/>
      <name val="Aptos Narrow"/>
      <family val="2"/>
      <scheme val="minor"/>
    </font>
    <font>
      <b/>
      <sz val="12"/>
      <color rgb="FF88AAFF"/>
      <name val="Aptos Narrow"/>
      <family val="2"/>
      <scheme val="minor"/>
    </font>
    <font>
      <b/>
      <sz val="12"/>
      <color rgb="FFFFCC44"/>
      <name val="Aptos Narrow"/>
      <family val="2"/>
      <scheme val="minor"/>
    </font>
    <font>
      <b/>
      <sz val="12"/>
      <color rgb="FF88FF88"/>
      <name val="Aptos Narrow"/>
      <family val="2"/>
      <scheme val="minor"/>
    </font>
    <font>
      <b/>
      <sz val="12"/>
      <color rgb="FFFF8888"/>
      <name val="Aptos Narrow"/>
      <family val="2"/>
      <scheme val="minor"/>
    </font>
    <font>
      <b/>
      <sz val="13"/>
      <color rgb="FFAACCFF"/>
      <name val="Aptos Narrow"/>
      <family val="2"/>
      <scheme val="minor"/>
    </font>
    <font>
      <b/>
      <sz val="11"/>
      <color rgb="FFFFCC44"/>
      <name val="Aptos Narrow"/>
      <family val="2"/>
      <scheme val="minor"/>
    </font>
    <font>
      <b/>
      <sz val="11"/>
      <color rgb="FFAAFFFF"/>
      <name val="Aptos Narrow"/>
      <family val="2"/>
      <scheme val="minor"/>
    </font>
    <font>
      <b/>
      <sz val="11"/>
      <color rgb="FFFF8888"/>
      <name val="Aptos Narrow"/>
      <family val="2"/>
      <scheme val="minor"/>
    </font>
    <font>
      <b/>
      <sz val="11"/>
      <color rgb="FFFFFF88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2D2D44"/>
        <bgColor indexed="64"/>
      </patternFill>
    </fill>
    <fill>
      <patternFill patternType="solid">
        <fgColor rgb="FF3A3A5C"/>
        <bgColor indexed="64"/>
      </patternFill>
    </fill>
    <fill>
      <patternFill patternType="solid">
        <fgColor rgb="FF1A3A1A"/>
        <bgColor indexed="64"/>
      </patternFill>
    </fill>
    <fill>
      <patternFill patternType="solid">
        <fgColor rgb="FF2A2A1A"/>
        <bgColor indexed="64"/>
      </patternFill>
    </fill>
    <fill>
      <patternFill patternType="solid">
        <fgColor rgb="FF3A1A1A"/>
        <bgColor indexed="64"/>
      </patternFill>
    </fill>
    <fill>
      <patternFill patternType="solid">
        <fgColor rgb="FF1A2E1A"/>
        <bgColor indexed="64"/>
      </patternFill>
    </fill>
    <fill>
      <patternFill patternType="solid">
        <fgColor rgb="FF1E2A3A"/>
        <bgColor indexed="64"/>
      </patternFill>
    </fill>
    <fill>
      <patternFill patternType="solid">
        <fgColor rgb="FF2E1A2E"/>
        <bgColor indexed="64"/>
      </patternFill>
    </fill>
    <fill>
      <patternFill patternType="solid">
        <fgColor rgb="FF1E2A1E"/>
        <bgColor indexed="64"/>
      </patternFill>
    </fill>
    <fill>
      <patternFill patternType="solid">
        <fgColor rgb="FF2E1E1E"/>
        <bgColor indexed="64"/>
      </patternFill>
    </fill>
    <fill>
      <patternFill patternType="solid">
        <fgColor rgb="FF1A2A2A"/>
        <bgColor indexed="64"/>
      </patternFill>
    </fill>
    <fill>
      <patternFill patternType="solid">
        <fgColor rgb="FF2A1A1A"/>
        <bgColor indexed="64"/>
      </patternFill>
    </fill>
    <fill>
      <patternFill patternType="solid">
        <fgColor rgb="FF1A0A0A"/>
        <bgColor indexed="64"/>
      </patternFill>
    </fill>
    <fill>
      <patternFill patternType="solid">
        <fgColor rgb="FF1A2A1A"/>
        <bgColor indexed="64"/>
      </patternFill>
    </fill>
    <fill>
      <patternFill patternType="solid">
        <fgColor rgb="FF2E1E2E"/>
        <bgColor indexed="64"/>
      </patternFill>
    </fill>
    <fill>
      <patternFill patternType="solid">
        <fgColor rgb="FF2D1A00"/>
        <bgColor indexed="64"/>
      </patternFill>
    </fill>
    <fill>
      <patternFill patternType="solid">
        <fgColor rgb="FF2A0000"/>
        <bgColor indexed="64"/>
      </patternFill>
    </fill>
    <fill>
      <patternFill patternType="solid">
        <fgColor rgb="FF1A1A3A"/>
        <bgColor indexed="64"/>
      </patternFill>
    </fill>
    <fill>
      <patternFill patternType="solid">
        <fgColor rgb="FF2A1A00"/>
        <bgColor indexed="64"/>
      </patternFill>
    </fill>
    <fill>
      <patternFill patternType="solid">
        <fgColor rgb="FF2A2A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2" borderId="0" xfId="0" applyFont="1" applyFill="1"/>
    <xf numFmtId="0" fontId="3" fillId="0" borderId="0" xfId="0" applyFont="1"/>
    <xf numFmtId="0" fontId="3" fillId="2" borderId="0" xfId="0" applyFont="1" applyFill="1"/>
    <xf numFmtId="0" fontId="4" fillId="0" borderId="0" xfId="0" applyFont="1"/>
    <xf numFmtId="0" fontId="4" fillId="3" borderId="0" xfId="0" applyFont="1" applyFill="1"/>
    <xf numFmtId="0" fontId="0" fillId="0" borderId="0" xfId="0" applyFont="1"/>
    <xf numFmtId="0" fontId="5" fillId="0" borderId="0" xfId="0" applyFont="1"/>
    <xf numFmtId="0" fontId="6" fillId="4" borderId="0" xfId="0" applyFont="1" applyFill="1"/>
    <xf numFmtId="16" fontId="0" fillId="0" borderId="0" xfId="0" applyNumberFormat="1"/>
    <xf numFmtId="0" fontId="7" fillId="0" borderId="0" xfId="0" applyFont="1"/>
    <xf numFmtId="0" fontId="7" fillId="5" borderId="0" xfId="0" applyFont="1" applyFill="1"/>
    <xf numFmtId="0" fontId="8" fillId="0" borderId="0" xfId="0" applyFont="1"/>
    <xf numFmtId="0" fontId="9" fillId="0" borderId="0" xfId="0" applyFont="1"/>
    <xf numFmtId="0" fontId="10" fillId="5" borderId="0" xfId="0" applyFont="1" applyFill="1"/>
    <xf numFmtId="0" fontId="11" fillId="6" borderId="0" xfId="0" applyFont="1" applyFill="1"/>
    <xf numFmtId="0" fontId="12" fillId="0" borderId="0" xfId="0" applyFont="1"/>
    <xf numFmtId="0" fontId="12" fillId="7" borderId="0" xfId="0" applyFont="1" applyFill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7" fillId="2" borderId="0" xfId="0" applyFont="1" applyFill="1"/>
    <xf numFmtId="0" fontId="18" fillId="8" borderId="0" xfId="0" applyFont="1" applyFill="1"/>
    <xf numFmtId="0" fontId="0" fillId="3" borderId="0" xfId="0" applyFill="1"/>
    <xf numFmtId="0" fontId="7" fillId="3" borderId="0" xfId="0" applyFont="1" applyFill="1"/>
    <xf numFmtId="0" fontId="19" fillId="9" borderId="0" xfId="0" applyFont="1" applyFill="1"/>
    <xf numFmtId="0" fontId="20" fillId="10" borderId="0" xfId="0" applyFont="1" applyFill="1"/>
    <xf numFmtId="0" fontId="21" fillId="11" borderId="0" xfId="0" applyFont="1" applyFill="1"/>
    <xf numFmtId="0" fontId="22" fillId="12" borderId="0" xfId="0" applyFont="1" applyFill="1"/>
    <xf numFmtId="0" fontId="22" fillId="3" borderId="0" xfId="0" applyFont="1" applyFill="1"/>
    <xf numFmtId="0" fontId="23" fillId="6" borderId="0" xfId="0" applyFont="1" applyFill="1"/>
    <xf numFmtId="0" fontId="23" fillId="3" borderId="0" xfId="0" applyFont="1" applyFill="1"/>
    <xf numFmtId="0" fontId="24" fillId="2" borderId="0" xfId="0" applyFont="1" applyFill="1"/>
    <xf numFmtId="0" fontId="1" fillId="0" borderId="0" xfId="0" applyFont="1"/>
    <xf numFmtId="0" fontId="25" fillId="5" borderId="0" xfId="0" applyFont="1" applyFill="1"/>
    <xf numFmtId="0" fontId="26" fillId="13" borderId="0" xfId="0" applyFont="1" applyFill="1"/>
    <xf numFmtId="0" fontId="22" fillId="14" borderId="0" xfId="0" applyFont="1" applyFill="1"/>
    <xf numFmtId="0" fontId="12" fillId="14" borderId="0" xfId="0" applyFont="1" applyFill="1"/>
    <xf numFmtId="0" fontId="13" fillId="7" borderId="0" xfId="0" applyFont="1" applyFill="1"/>
    <xf numFmtId="0" fontId="27" fillId="2" borderId="0" xfId="0" applyFont="1" applyFill="1"/>
    <xf numFmtId="0" fontId="28" fillId="14" borderId="0" xfId="0" applyFont="1" applyFill="1"/>
    <xf numFmtId="0" fontId="13" fillId="15" borderId="0" xfId="0" applyFont="1" applyFill="1"/>
    <xf numFmtId="0" fontId="14" fillId="15" borderId="0" xfId="0" applyFont="1" applyFill="1"/>
    <xf numFmtId="0" fontId="29" fillId="0" borderId="0" xfId="0" applyFont="1"/>
    <xf numFmtId="0" fontId="21" fillId="16" borderId="0" xfId="0" applyFont="1" applyFill="1"/>
    <xf numFmtId="0" fontId="12" fillId="12" borderId="0" xfId="0" applyFont="1" applyFill="1"/>
    <xf numFmtId="0" fontId="20" fillId="17" borderId="0" xfId="0" applyFont="1" applyFill="1"/>
    <xf numFmtId="0" fontId="22" fillId="7" borderId="0" xfId="0" applyFont="1" applyFill="1"/>
    <xf numFmtId="0" fontId="21" fillId="8" borderId="0" xfId="0" applyFont="1" applyFill="1"/>
    <xf numFmtId="0" fontId="0" fillId="0" borderId="0" xfId="0" quotePrefix="1"/>
    <xf numFmtId="0" fontId="30" fillId="2" borderId="0" xfId="0" quotePrefix="1" applyFont="1" applyFill="1"/>
    <xf numFmtId="0" fontId="31" fillId="18" borderId="0" xfId="0" quotePrefix="1" applyFont="1" applyFill="1"/>
    <xf numFmtId="0" fontId="32" fillId="5" borderId="0" xfId="0" quotePrefix="1" applyFont="1" applyFill="1"/>
    <xf numFmtId="0" fontId="33" fillId="19" borderId="0" xfId="0" quotePrefix="1" applyFont="1" applyFill="1"/>
    <xf numFmtId="0" fontId="34" fillId="9" borderId="0" xfId="0" applyFont="1" applyFill="1"/>
    <xf numFmtId="0" fontId="4" fillId="2" borderId="0" xfId="0" applyFont="1" applyFill="1"/>
    <xf numFmtId="0" fontId="25" fillId="5" borderId="0" xfId="0" applyFont="1" applyFill="1" applyAlignment="1">
      <alignment horizontal="center"/>
    </xf>
    <xf numFmtId="0" fontId="27" fillId="20" borderId="0" xfId="0" applyFont="1" applyFill="1" applyAlignment="1">
      <alignment horizontal="center"/>
    </xf>
    <xf numFmtId="0" fontId="35" fillId="21" borderId="0" xfId="0" applyFont="1" applyFill="1" applyAlignment="1">
      <alignment horizontal="center"/>
    </xf>
    <xf numFmtId="0" fontId="36" fillId="13" borderId="0" xfId="0" applyFont="1" applyFill="1" applyAlignment="1">
      <alignment horizontal="center"/>
    </xf>
    <xf numFmtId="0" fontId="37" fillId="7" borderId="0" xfId="0" applyFont="1" applyFill="1" applyAlignment="1">
      <alignment horizontal="center"/>
    </xf>
    <xf numFmtId="0" fontId="38" fillId="2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01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72BA69-71CC-4047-8F27-B9BBA19986A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c11bf98-e179-496b-97f0-d66a83a3ee9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151E3-0A27-44EC-B8E9-05246C675FE0}">
  <dimension ref="A1:D42"/>
  <sheetViews>
    <sheetView workbookViewId="0"/>
  </sheetViews>
  <sheetFormatPr defaultRowHeight="14.4" x14ac:dyDescent="0.3"/>
  <cols>
    <col min="1" max="1" width="129.6640625" customWidth="1"/>
  </cols>
  <sheetData>
    <row r="1" spans="1:4" ht="21" x14ac:dyDescent="0.4">
      <c r="A1" s="1" t="s">
        <v>0</v>
      </c>
    </row>
    <row r="2" spans="1:4" x14ac:dyDescent="0.3">
      <c r="A2" s="3" t="s">
        <v>1</v>
      </c>
    </row>
    <row r="4" spans="1:4" ht="15.6" x14ac:dyDescent="0.3">
      <c r="A4" s="5" t="s">
        <v>2</v>
      </c>
    </row>
    <row r="5" spans="1:4" x14ac:dyDescent="0.3">
      <c r="A5" s="7" t="s">
        <v>3</v>
      </c>
    </row>
    <row r="7" spans="1:4" ht="15.6" x14ac:dyDescent="0.3">
      <c r="A7" s="5" t="s">
        <v>4</v>
      </c>
    </row>
    <row r="8" spans="1:4" x14ac:dyDescent="0.3">
      <c r="A8" s="6" t="s">
        <v>5</v>
      </c>
    </row>
    <row r="10" spans="1:4" ht="15.6" x14ac:dyDescent="0.3">
      <c r="A10" s="5" t="s">
        <v>6</v>
      </c>
    </row>
    <row r="11" spans="1:4" x14ac:dyDescent="0.3">
      <c r="A11" s="8" t="s">
        <v>7</v>
      </c>
      <c r="B11" s="8" t="s">
        <v>8</v>
      </c>
      <c r="C11" s="8" t="s">
        <v>9</v>
      </c>
      <c r="D11" s="8" t="s">
        <v>10</v>
      </c>
    </row>
    <row r="12" spans="1:4" x14ac:dyDescent="0.3">
      <c r="A12" t="s">
        <v>11</v>
      </c>
      <c r="B12" t="s">
        <v>12</v>
      </c>
      <c r="C12" t="s">
        <v>13</v>
      </c>
      <c r="D12" t="s">
        <v>14</v>
      </c>
    </row>
    <row r="13" spans="1:4" x14ac:dyDescent="0.3">
      <c r="A13" t="s">
        <v>15</v>
      </c>
      <c r="B13">
        <v>6</v>
      </c>
      <c r="C13">
        <v>10</v>
      </c>
      <c r="D13" t="s">
        <v>16</v>
      </c>
    </row>
    <row r="14" spans="1:4" x14ac:dyDescent="0.3">
      <c r="A14" t="s">
        <v>17</v>
      </c>
      <c r="B14" s="9">
        <v>46118</v>
      </c>
      <c r="C14" s="9">
        <v>46121</v>
      </c>
      <c r="D14" t="s">
        <v>18</v>
      </c>
    </row>
    <row r="15" spans="1:4" x14ac:dyDescent="0.3">
      <c r="A15" t="s">
        <v>19</v>
      </c>
      <c r="B15" t="s">
        <v>20</v>
      </c>
      <c r="C15" s="11" t="s">
        <v>21</v>
      </c>
      <c r="D15" s="13" t="s">
        <v>22</v>
      </c>
    </row>
    <row r="17" spans="1:4" ht="15.6" x14ac:dyDescent="0.3">
      <c r="A17" s="5" t="s">
        <v>23</v>
      </c>
    </row>
    <row r="18" spans="1:4" x14ac:dyDescent="0.3">
      <c r="A18" s="8" t="s">
        <v>24</v>
      </c>
      <c r="B18" s="8" t="s">
        <v>25</v>
      </c>
      <c r="C18" s="8" t="s">
        <v>26</v>
      </c>
      <c r="D18" s="8" t="s">
        <v>27</v>
      </c>
    </row>
    <row r="19" spans="1:4" x14ac:dyDescent="0.3">
      <c r="A19">
        <v>1</v>
      </c>
      <c r="B19" t="s">
        <v>28</v>
      </c>
      <c r="C19" t="s">
        <v>29</v>
      </c>
      <c r="D19" t="s">
        <v>30</v>
      </c>
    </row>
    <row r="20" spans="1:4" x14ac:dyDescent="0.3">
      <c r="A20">
        <v>2</v>
      </c>
      <c r="B20" t="s">
        <v>31</v>
      </c>
      <c r="C20" t="s">
        <v>32</v>
      </c>
      <c r="D20" t="s">
        <v>33</v>
      </c>
    </row>
    <row r="21" spans="1:4" x14ac:dyDescent="0.3">
      <c r="A21">
        <v>3</v>
      </c>
      <c r="B21" t="s">
        <v>34</v>
      </c>
      <c r="C21" t="s">
        <v>35</v>
      </c>
      <c r="D21" t="s">
        <v>36</v>
      </c>
    </row>
    <row r="22" spans="1:4" x14ac:dyDescent="0.3">
      <c r="A22">
        <v>4</v>
      </c>
      <c r="B22" t="s">
        <v>37</v>
      </c>
      <c r="C22" t="s">
        <v>38</v>
      </c>
      <c r="D22" t="s">
        <v>39</v>
      </c>
    </row>
    <row r="23" spans="1:4" x14ac:dyDescent="0.3">
      <c r="A23">
        <v>5</v>
      </c>
      <c r="B23" t="s">
        <v>40</v>
      </c>
      <c r="C23" t="s">
        <v>41</v>
      </c>
      <c r="D23" t="s">
        <v>42</v>
      </c>
    </row>
    <row r="24" spans="1:4" x14ac:dyDescent="0.3">
      <c r="A24">
        <v>6</v>
      </c>
      <c r="B24" t="s">
        <v>43</v>
      </c>
      <c r="C24" t="s">
        <v>44</v>
      </c>
      <c r="D24" t="s">
        <v>45</v>
      </c>
    </row>
    <row r="26" spans="1:4" ht="15.6" x14ac:dyDescent="0.3">
      <c r="A26" s="5" t="s">
        <v>46</v>
      </c>
    </row>
    <row r="27" spans="1:4" x14ac:dyDescent="0.3">
      <c r="A27" s="8" t="s">
        <v>47</v>
      </c>
      <c r="B27" s="8" t="s">
        <v>48</v>
      </c>
      <c r="C27" s="8" t="s">
        <v>49</v>
      </c>
    </row>
    <row r="28" spans="1:4" x14ac:dyDescent="0.3">
      <c r="A28" s="14" t="s">
        <v>50</v>
      </c>
      <c r="B28" t="s">
        <v>51</v>
      </c>
      <c r="C28" t="s">
        <v>52</v>
      </c>
    </row>
    <row r="29" spans="1:4" x14ac:dyDescent="0.3">
      <c r="A29" s="15" t="s">
        <v>53</v>
      </c>
      <c r="B29" t="s">
        <v>54</v>
      </c>
      <c r="C29" t="s">
        <v>55</v>
      </c>
    </row>
    <row r="30" spans="1:4" x14ac:dyDescent="0.3">
      <c r="A30" s="17" t="s">
        <v>56</v>
      </c>
      <c r="B30" t="s">
        <v>57</v>
      </c>
      <c r="C30" t="s">
        <v>58</v>
      </c>
    </row>
    <row r="31" spans="1:4" x14ac:dyDescent="0.3">
      <c r="A31" s="19" t="s">
        <v>59</v>
      </c>
      <c r="B31" t="s">
        <v>60</v>
      </c>
      <c r="C31" t="s">
        <v>61</v>
      </c>
    </row>
    <row r="33" spans="1:1" ht="15.6" x14ac:dyDescent="0.3">
      <c r="A33" s="5" t="s">
        <v>62</v>
      </c>
    </row>
    <row r="34" spans="1:1" x14ac:dyDescent="0.3">
      <c r="A34" t="s">
        <v>63</v>
      </c>
    </row>
    <row r="35" spans="1:1" x14ac:dyDescent="0.3">
      <c r="A35" t="s">
        <v>64</v>
      </c>
    </row>
    <row r="36" spans="1:1" x14ac:dyDescent="0.3">
      <c r="A36" t="s">
        <v>65</v>
      </c>
    </row>
    <row r="37" spans="1:1" x14ac:dyDescent="0.3">
      <c r="A37" t="s">
        <v>66</v>
      </c>
    </row>
    <row r="39" spans="1:1" ht="15.6" x14ac:dyDescent="0.3">
      <c r="A39" s="5" t="s">
        <v>67</v>
      </c>
    </row>
    <row r="40" spans="1:1" ht="15.6" x14ac:dyDescent="0.3">
      <c r="A40" s="4" t="s">
        <v>68</v>
      </c>
    </row>
    <row r="41" spans="1:1" x14ac:dyDescent="0.3">
      <c r="A41" t="s">
        <v>69</v>
      </c>
    </row>
    <row r="42" spans="1:1" x14ac:dyDescent="0.3">
      <c r="A42" s="2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7398F-C737-4C40-96CD-2F3D3B1B486D}">
  <dimension ref="A1:H70"/>
  <sheetViews>
    <sheetView workbookViewId="0"/>
  </sheetViews>
  <sheetFormatPr defaultRowHeight="14.4" x14ac:dyDescent="0.3"/>
  <sheetData>
    <row r="1" spans="1:8" ht="18" x14ac:dyDescent="0.35">
      <c r="A1" s="23" t="s">
        <v>71</v>
      </c>
    </row>
    <row r="3" spans="1:8" x14ac:dyDescent="0.3">
      <c r="A3" s="8" t="s">
        <v>72</v>
      </c>
      <c r="B3" s="8" t="s">
        <v>73</v>
      </c>
      <c r="C3" s="8" t="s">
        <v>74</v>
      </c>
      <c r="D3" s="8" t="s">
        <v>75</v>
      </c>
      <c r="E3" s="8" t="s">
        <v>76</v>
      </c>
      <c r="F3" s="8" t="s">
        <v>77</v>
      </c>
      <c r="G3" s="8" t="s">
        <v>78</v>
      </c>
      <c r="H3" s="8" t="s">
        <v>79</v>
      </c>
    </row>
    <row r="4" spans="1:8" x14ac:dyDescent="0.3">
      <c r="A4" s="24">
        <v>1</v>
      </c>
      <c r="B4" s="24" t="s">
        <v>80</v>
      </c>
      <c r="C4" s="24" t="s">
        <v>81</v>
      </c>
      <c r="D4" s="24" t="s">
        <v>82</v>
      </c>
      <c r="E4" s="24" t="s">
        <v>83</v>
      </c>
      <c r="F4" s="24" t="s">
        <v>84</v>
      </c>
      <c r="G4" s="24" t="s">
        <v>85</v>
      </c>
      <c r="H4">
        <v>6</v>
      </c>
    </row>
    <row r="5" spans="1:8" x14ac:dyDescent="0.3">
      <c r="A5">
        <v>2</v>
      </c>
      <c r="B5" t="s">
        <v>86</v>
      </c>
      <c r="C5" t="s">
        <v>81</v>
      </c>
      <c r="D5" t="s">
        <v>82</v>
      </c>
      <c r="E5" t="s">
        <v>87</v>
      </c>
      <c r="F5" t="s">
        <v>88</v>
      </c>
      <c r="G5" t="s">
        <v>89</v>
      </c>
      <c r="H5">
        <v>8</v>
      </c>
    </row>
    <row r="6" spans="1:8" x14ac:dyDescent="0.3">
      <c r="A6">
        <v>3</v>
      </c>
      <c r="B6" t="s">
        <v>90</v>
      </c>
      <c r="C6" t="s">
        <v>81</v>
      </c>
      <c r="D6" t="s">
        <v>82</v>
      </c>
      <c r="E6" t="s">
        <v>91</v>
      </c>
      <c r="F6" t="s">
        <v>92</v>
      </c>
      <c r="G6" t="s">
        <v>93</v>
      </c>
      <c r="H6">
        <v>5</v>
      </c>
    </row>
    <row r="7" spans="1:8" x14ac:dyDescent="0.3">
      <c r="A7">
        <v>4</v>
      </c>
      <c r="B7" t="s">
        <v>94</v>
      </c>
      <c r="C7" t="s">
        <v>81</v>
      </c>
      <c r="D7" t="s">
        <v>82</v>
      </c>
      <c r="E7" t="s">
        <v>95</v>
      </c>
      <c r="F7" t="s">
        <v>96</v>
      </c>
      <c r="G7" t="s">
        <v>97</v>
      </c>
      <c r="H7">
        <v>5</v>
      </c>
    </row>
    <row r="8" spans="1:8" x14ac:dyDescent="0.3">
      <c r="A8">
        <v>5</v>
      </c>
      <c r="B8" t="s">
        <v>98</v>
      </c>
      <c r="C8" t="s">
        <v>81</v>
      </c>
      <c r="D8" t="s">
        <v>82</v>
      </c>
      <c r="E8" t="s">
        <v>99</v>
      </c>
      <c r="F8" t="s">
        <v>100</v>
      </c>
      <c r="G8" t="s">
        <v>101</v>
      </c>
      <c r="H8">
        <v>4</v>
      </c>
    </row>
    <row r="9" spans="1:8" x14ac:dyDescent="0.3">
      <c r="A9">
        <v>6</v>
      </c>
      <c r="B9" t="s">
        <v>102</v>
      </c>
      <c r="C9" t="s">
        <v>81</v>
      </c>
      <c r="D9" t="s">
        <v>82</v>
      </c>
      <c r="E9" t="s">
        <v>103</v>
      </c>
      <c r="F9" t="s">
        <v>104</v>
      </c>
      <c r="G9" t="s">
        <v>105</v>
      </c>
      <c r="H9">
        <v>1</v>
      </c>
    </row>
    <row r="10" spans="1:8" x14ac:dyDescent="0.3">
      <c r="A10">
        <v>7</v>
      </c>
      <c r="B10" t="s">
        <v>106</v>
      </c>
      <c r="C10" t="s">
        <v>81</v>
      </c>
      <c r="D10" t="s">
        <v>82</v>
      </c>
      <c r="E10" t="s">
        <v>107</v>
      </c>
      <c r="F10" t="s">
        <v>108</v>
      </c>
      <c r="G10" t="s">
        <v>109</v>
      </c>
      <c r="H10">
        <v>1</v>
      </c>
    </row>
    <row r="11" spans="1:8" x14ac:dyDescent="0.3">
      <c r="A11" s="25"/>
      <c r="B11" s="26" t="s">
        <v>110</v>
      </c>
      <c r="C11" s="25"/>
      <c r="D11" s="25"/>
      <c r="E11" s="25"/>
      <c r="F11" s="25"/>
      <c r="G11" s="25"/>
      <c r="H11" s="25"/>
    </row>
    <row r="12" spans="1:8" x14ac:dyDescent="0.3">
      <c r="A12" s="27">
        <v>8</v>
      </c>
      <c r="B12" s="27" t="s">
        <v>111</v>
      </c>
      <c r="C12" s="27" t="s">
        <v>112</v>
      </c>
      <c r="D12" s="27" t="s">
        <v>113</v>
      </c>
      <c r="E12" s="27" t="s">
        <v>114</v>
      </c>
      <c r="F12" s="27" t="s">
        <v>115</v>
      </c>
      <c r="G12" s="27" t="s">
        <v>116</v>
      </c>
      <c r="H12">
        <v>2</v>
      </c>
    </row>
    <row r="13" spans="1:8" x14ac:dyDescent="0.3">
      <c r="A13">
        <v>9</v>
      </c>
      <c r="B13" t="s">
        <v>117</v>
      </c>
      <c r="C13" t="s">
        <v>112</v>
      </c>
      <c r="D13" t="s">
        <v>113</v>
      </c>
      <c r="E13" t="s">
        <v>118</v>
      </c>
      <c r="F13" t="s">
        <v>119</v>
      </c>
      <c r="G13" t="s">
        <v>120</v>
      </c>
      <c r="H13">
        <v>2</v>
      </c>
    </row>
    <row r="14" spans="1:8" x14ac:dyDescent="0.3">
      <c r="A14">
        <v>10</v>
      </c>
      <c r="B14" t="s">
        <v>121</v>
      </c>
      <c r="C14" t="s">
        <v>112</v>
      </c>
      <c r="D14" t="s">
        <v>113</v>
      </c>
      <c r="E14" t="s">
        <v>122</v>
      </c>
      <c r="F14" t="s">
        <v>123</v>
      </c>
      <c r="G14" t="s">
        <v>124</v>
      </c>
      <c r="H14">
        <v>2</v>
      </c>
    </row>
    <row r="15" spans="1:8" x14ac:dyDescent="0.3">
      <c r="A15">
        <v>11</v>
      </c>
      <c r="B15" t="s">
        <v>125</v>
      </c>
      <c r="C15" t="s">
        <v>112</v>
      </c>
      <c r="D15" t="s">
        <v>113</v>
      </c>
      <c r="E15" t="s">
        <v>126</v>
      </c>
      <c r="F15" t="s">
        <v>127</v>
      </c>
      <c r="G15" t="s">
        <v>128</v>
      </c>
      <c r="H15">
        <v>2</v>
      </c>
    </row>
    <row r="16" spans="1:8" x14ac:dyDescent="0.3">
      <c r="A16">
        <v>12</v>
      </c>
      <c r="B16" t="s">
        <v>129</v>
      </c>
      <c r="C16" t="s">
        <v>112</v>
      </c>
      <c r="D16" t="s">
        <v>113</v>
      </c>
      <c r="E16" t="s">
        <v>130</v>
      </c>
      <c r="F16" t="s">
        <v>131</v>
      </c>
      <c r="G16" t="s">
        <v>132</v>
      </c>
      <c r="H16">
        <v>2</v>
      </c>
    </row>
    <row r="17" spans="1:8" x14ac:dyDescent="0.3">
      <c r="A17">
        <v>13</v>
      </c>
      <c r="B17" t="s">
        <v>133</v>
      </c>
      <c r="C17" t="s">
        <v>112</v>
      </c>
      <c r="D17" t="s">
        <v>134</v>
      </c>
      <c r="E17" t="s">
        <v>135</v>
      </c>
      <c r="F17" t="s">
        <v>136</v>
      </c>
      <c r="G17" t="s">
        <v>137</v>
      </c>
      <c r="H17">
        <v>1</v>
      </c>
    </row>
    <row r="18" spans="1:8" x14ac:dyDescent="0.3">
      <c r="A18">
        <v>14</v>
      </c>
      <c r="B18" t="s">
        <v>138</v>
      </c>
      <c r="C18" t="s">
        <v>112</v>
      </c>
      <c r="D18" t="s">
        <v>134</v>
      </c>
      <c r="E18" t="s">
        <v>139</v>
      </c>
      <c r="F18" t="s">
        <v>140</v>
      </c>
      <c r="G18" t="s">
        <v>141</v>
      </c>
      <c r="H18">
        <v>1</v>
      </c>
    </row>
    <row r="19" spans="1:8" x14ac:dyDescent="0.3">
      <c r="A19" s="25"/>
      <c r="B19" s="26" t="s">
        <v>142</v>
      </c>
      <c r="C19" s="25"/>
      <c r="D19" s="25"/>
      <c r="E19" s="25"/>
      <c r="F19" s="25"/>
      <c r="G19" s="25"/>
      <c r="H19" s="25"/>
    </row>
    <row r="20" spans="1:8" x14ac:dyDescent="0.3">
      <c r="A20" s="28">
        <v>15</v>
      </c>
      <c r="B20" s="28" t="s">
        <v>143</v>
      </c>
      <c r="C20" s="28" t="s">
        <v>144</v>
      </c>
      <c r="D20" s="28" t="s">
        <v>145</v>
      </c>
      <c r="E20" s="28" t="s">
        <v>146</v>
      </c>
      <c r="F20" s="28" t="s">
        <v>147</v>
      </c>
      <c r="G20" s="28" t="s">
        <v>148</v>
      </c>
      <c r="H20">
        <v>1</v>
      </c>
    </row>
    <row r="21" spans="1:8" x14ac:dyDescent="0.3">
      <c r="A21">
        <v>16</v>
      </c>
      <c r="B21" t="s">
        <v>149</v>
      </c>
      <c r="C21" t="s">
        <v>144</v>
      </c>
      <c r="D21" t="s">
        <v>145</v>
      </c>
      <c r="E21" t="s">
        <v>150</v>
      </c>
      <c r="F21" t="s">
        <v>151</v>
      </c>
      <c r="G21" t="s">
        <v>152</v>
      </c>
      <c r="H21">
        <v>1</v>
      </c>
    </row>
    <row r="22" spans="1:8" x14ac:dyDescent="0.3">
      <c r="A22">
        <v>17</v>
      </c>
      <c r="B22" t="s">
        <v>153</v>
      </c>
      <c r="C22" t="s">
        <v>144</v>
      </c>
      <c r="D22" t="s">
        <v>145</v>
      </c>
      <c r="E22" t="s">
        <v>154</v>
      </c>
      <c r="F22" t="s">
        <v>155</v>
      </c>
      <c r="G22" t="s">
        <v>156</v>
      </c>
      <c r="H22">
        <v>1</v>
      </c>
    </row>
    <row r="23" spans="1:8" x14ac:dyDescent="0.3">
      <c r="A23">
        <v>18</v>
      </c>
      <c r="B23" t="s">
        <v>157</v>
      </c>
      <c r="C23" t="s">
        <v>144</v>
      </c>
      <c r="D23" t="s">
        <v>145</v>
      </c>
      <c r="E23" t="s">
        <v>158</v>
      </c>
      <c r="F23" t="s">
        <v>159</v>
      </c>
      <c r="G23" t="s">
        <v>160</v>
      </c>
      <c r="H23">
        <v>1</v>
      </c>
    </row>
    <row r="24" spans="1:8" x14ac:dyDescent="0.3">
      <c r="A24">
        <v>19</v>
      </c>
      <c r="B24" t="s">
        <v>161</v>
      </c>
      <c r="C24" t="s">
        <v>144</v>
      </c>
      <c r="D24" t="s">
        <v>145</v>
      </c>
      <c r="E24" t="s">
        <v>162</v>
      </c>
      <c r="F24" t="s">
        <v>163</v>
      </c>
      <c r="G24" t="s">
        <v>164</v>
      </c>
      <c r="H24">
        <v>1</v>
      </c>
    </row>
    <row r="25" spans="1:8" x14ac:dyDescent="0.3">
      <c r="A25">
        <v>20</v>
      </c>
      <c r="B25" t="s">
        <v>165</v>
      </c>
      <c r="C25" t="s">
        <v>144</v>
      </c>
      <c r="D25" t="s">
        <v>145</v>
      </c>
      <c r="E25" t="s">
        <v>166</v>
      </c>
      <c r="F25" t="s">
        <v>167</v>
      </c>
      <c r="G25" t="s">
        <v>168</v>
      </c>
      <c r="H25">
        <v>1</v>
      </c>
    </row>
    <row r="26" spans="1:8" x14ac:dyDescent="0.3">
      <c r="A26">
        <v>21</v>
      </c>
      <c r="B26" t="s">
        <v>169</v>
      </c>
      <c r="C26" t="s">
        <v>144</v>
      </c>
      <c r="D26" t="s">
        <v>145</v>
      </c>
      <c r="E26" t="s">
        <v>170</v>
      </c>
      <c r="F26" t="s">
        <v>171</v>
      </c>
      <c r="G26" t="s">
        <v>172</v>
      </c>
      <c r="H26">
        <v>1</v>
      </c>
    </row>
    <row r="27" spans="1:8" x14ac:dyDescent="0.3">
      <c r="A27">
        <v>22</v>
      </c>
      <c r="B27" t="s">
        <v>173</v>
      </c>
      <c r="C27" t="s">
        <v>144</v>
      </c>
      <c r="D27" t="s">
        <v>145</v>
      </c>
      <c r="E27" t="s">
        <v>174</v>
      </c>
      <c r="F27" t="s">
        <v>175</v>
      </c>
      <c r="G27" t="s">
        <v>176</v>
      </c>
      <c r="H27">
        <v>1</v>
      </c>
    </row>
    <row r="28" spans="1:8" x14ac:dyDescent="0.3">
      <c r="A28">
        <v>23</v>
      </c>
      <c r="B28" t="s">
        <v>177</v>
      </c>
      <c r="C28" t="s">
        <v>144</v>
      </c>
      <c r="D28" t="s">
        <v>145</v>
      </c>
      <c r="E28" t="s">
        <v>178</v>
      </c>
      <c r="F28" t="s">
        <v>179</v>
      </c>
      <c r="G28" t="s">
        <v>180</v>
      </c>
      <c r="H28">
        <v>1</v>
      </c>
    </row>
    <row r="29" spans="1:8" x14ac:dyDescent="0.3">
      <c r="A29" s="25"/>
      <c r="B29" s="26" t="s">
        <v>181</v>
      </c>
      <c r="C29" s="25"/>
      <c r="D29" s="25"/>
      <c r="E29" s="25"/>
      <c r="F29" s="25"/>
      <c r="G29" s="25"/>
      <c r="H29" s="25"/>
    </row>
    <row r="30" spans="1:8" x14ac:dyDescent="0.3">
      <c r="A30" s="29">
        <v>24</v>
      </c>
      <c r="B30" s="29" t="s">
        <v>182</v>
      </c>
      <c r="C30" s="29" t="s">
        <v>183</v>
      </c>
      <c r="D30" s="29" t="s">
        <v>184</v>
      </c>
      <c r="E30" s="29" t="s">
        <v>185</v>
      </c>
      <c r="F30" s="29" t="s">
        <v>186</v>
      </c>
      <c r="G30" s="29" t="s">
        <v>187</v>
      </c>
      <c r="H30">
        <v>3</v>
      </c>
    </row>
    <row r="31" spans="1:8" x14ac:dyDescent="0.3">
      <c r="A31">
        <v>25</v>
      </c>
      <c r="B31" t="s">
        <v>188</v>
      </c>
      <c r="C31" t="s">
        <v>183</v>
      </c>
      <c r="D31" t="s">
        <v>189</v>
      </c>
      <c r="E31" t="s">
        <v>190</v>
      </c>
      <c r="F31" t="s">
        <v>191</v>
      </c>
      <c r="G31" t="s">
        <v>192</v>
      </c>
      <c r="H31">
        <v>3</v>
      </c>
    </row>
    <row r="32" spans="1:8" x14ac:dyDescent="0.3">
      <c r="A32">
        <v>26</v>
      </c>
      <c r="B32" t="s">
        <v>193</v>
      </c>
      <c r="C32" t="s">
        <v>183</v>
      </c>
      <c r="D32" t="s">
        <v>194</v>
      </c>
      <c r="E32" t="s">
        <v>195</v>
      </c>
      <c r="F32" t="s">
        <v>191</v>
      </c>
      <c r="G32" t="s">
        <v>196</v>
      </c>
      <c r="H32">
        <v>2</v>
      </c>
    </row>
    <row r="33" spans="1:8" x14ac:dyDescent="0.3">
      <c r="A33">
        <v>27</v>
      </c>
      <c r="B33" t="s">
        <v>197</v>
      </c>
      <c r="C33" t="s">
        <v>183</v>
      </c>
      <c r="D33" t="s">
        <v>198</v>
      </c>
      <c r="E33" t="s">
        <v>199</v>
      </c>
      <c r="F33" t="s">
        <v>200</v>
      </c>
      <c r="G33" t="s">
        <v>201</v>
      </c>
      <c r="H33">
        <v>2</v>
      </c>
    </row>
    <row r="34" spans="1:8" x14ac:dyDescent="0.3">
      <c r="A34">
        <v>28</v>
      </c>
      <c r="B34" t="s">
        <v>202</v>
      </c>
      <c r="C34" t="s">
        <v>183</v>
      </c>
      <c r="D34" t="s">
        <v>203</v>
      </c>
      <c r="E34" t="s">
        <v>204</v>
      </c>
      <c r="F34" t="s">
        <v>191</v>
      </c>
      <c r="G34" t="s">
        <v>205</v>
      </c>
      <c r="H34">
        <v>2</v>
      </c>
    </row>
    <row r="35" spans="1:8" x14ac:dyDescent="0.3">
      <c r="A35">
        <v>29</v>
      </c>
      <c r="B35" t="s">
        <v>206</v>
      </c>
      <c r="C35" t="s">
        <v>183</v>
      </c>
      <c r="D35" t="s">
        <v>194</v>
      </c>
      <c r="E35" t="s">
        <v>207</v>
      </c>
      <c r="F35" t="s">
        <v>191</v>
      </c>
      <c r="G35" t="s">
        <v>208</v>
      </c>
      <c r="H35">
        <v>2</v>
      </c>
    </row>
    <row r="36" spans="1:8" x14ac:dyDescent="0.3">
      <c r="A36" s="29">
        <v>30</v>
      </c>
      <c r="B36" s="29" t="s">
        <v>209</v>
      </c>
      <c r="C36" s="29" t="s">
        <v>183</v>
      </c>
      <c r="D36" s="29" t="s">
        <v>184</v>
      </c>
      <c r="E36" s="29" t="s">
        <v>210</v>
      </c>
      <c r="F36" s="29" t="s">
        <v>211</v>
      </c>
      <c r="G36" s="29" t="s">
        <v>212</v>
      </c>
      <c r="H36">
        <v>2</v>
      </c>
    </row>
    <row r="37" spans="1:8" x14ac:dyDescent="0.3">
      <c r="A37" s="25">
        <v>31</v>
      </c>
      <c r="B37" s="26" t="s">
        <v>213</v>
      </c>
      <c r="C37" s="25"/>
      <c r="D37" s="25"/>
      <c r="E37" s="25"/>
      <c r="F37" s="25"/>
      <c r="G37" s="25"/>
      <c r="H37" s="25"/>
    </row>
    <row r="38" spans="1:8" x14ac:dyDescent="0.3">
      <c r="A38" s="30">
        <v>32</v>
      </c>
      <c r="B38" s="30" t="s">
        <v>214</v>
      </c>
      <c r="C38" s="30" t="s">
        <v>215</v>
      </c>
      <c r="D38" s="30" t="s">
        <v>216</v>
      </c>
      <c r="E38" s="30" t="s">
        <v>217</v>
      </c>
      <c r="F38" s="30" t="s">
        <v>218</v>
      </c>
      <c r="G38" s="30" t="s">
        <v>219</v>
      </c>
      <c r="H38">
        <v>2</v>
      </c>
    </row>
    <row r="39" spans="1:8" x14ac:dyDescent="0.3">
      <c r="A39" s="30">
        <v>33</v>
      </c>
      <c r="B39" s="30" t="s">
        <v>220</v>
      </c>
      <c r="C39" s="30" t="s">
        <v>215</v>
      </c>
      <c r="D39" s="30" t="s">
        <v>221</v>
      </c>
      <c r="E39" s="30" t="s">
        <v>222</v>
      </c>
      <c r="F39" s="30" t="s">
        <v>223</v>
      </c>
      <c r="G39" s="30" t="s">
        <v>224</v>
      </c>
      <c r="H39">
        <v>2</v>
      </c>
    </row>
    <row r="40" spans="1:8" x14ac:dyDescent="0.3">
      <c r="A40" s="30">
        <v>34</v>
      </c>
      <c r="B40" s="30" t="s">
        <v>225</v>
      </c>
      <c r="C40" s="30" t="s">
        <v>215</v>
      </c>
      <c r="D40" s="30" t="s">
        <v>226</v>
      </c>
      <c r="E40" s="30" t="s">
        <v>227</v>
      </c>
      <c r="F40" s="30" t="s">
        <v>228</v>
      </c>
      <c r="G40" s="30" t="s">
        <v>229</v>
      </c>
      <c r="H40">
        <v>1</v>
      </c>
    </row>
    <row r="41" spans="1:8" x14ac:dyDescent="0.3">
      <c r="A41" s="30">
        <v>35</v>
      </c>
      <c r="B41" s="30" t="s">
        <v>230</v>
      </c>
      <c r="C41" s="30" t="s">
        <v>215</v>
      </c>
      <c r="D41" s="30" t="s">
        <v>231</v>
      </c>
      <c r="E41" s="30" t="s">
        <v>232</v>
      </c>
      <c r="F41" s="30" t="s">
        <v>233</v>
      </c>
      <c r="G41" s="30" t="s">
        <v>234</v>
      </c>
      <c r="H41">
        <v>1</v>
      </c>
    </row>
    <row r="42" spans="1:8" x14ac:dyDescent="0.3">
      <c r="A42" s="31">
        <v>36</v>
      </c>
      <c r="B42" s="26" t="s">
        <v>235</v>
      </c>
      <c r="C42" s="25"/>
      <c r="D42" s="25"/>
      <c r="E42" s="25"/>
      <c r="F42" s="25"/>
      <c r="G42" s="25"/>
      <c r="H42" s="25"/>
    </row>
    <row r="43" spans="1:8" x14ac:dyDescent="0.3">
      <c r="A43" s="30">
        <v>37</v>
      </c>
      <c r="B43" s="30" t="s">
        <v>236</v>
      </c>
      <c r="C43" s="30" t="s">
        <v>237</v>
      </c>
      <c r="D43" s="30" t="s">
        <v>238</v>
      </c>
      <c r="E43" s="30" t="s">
        <v>239</v>
      </c>
      <c r="F43" s="30" t="s">
        <v>191</v>
      </c>
      <c r="G43" s="30" t="s">
        <v>201</v>
      </c>
      <c r="H43">
        <v>2</v>
      </c>
    </row>
    <row r="44" spans="1:8" x14ac:dyDescent="0.3">
      <c r="A44" s="30">
        <v>38</v>
      </c>
      <c r="B44" s="30" t="s">
        <v>240</v>
      </c>
      <c r="C44" s="30" t="s">
        <v>237</v>
      </c>
      <c r="D44" s="30" t="s">
        <v>241</v>
      </c>
      <c r="E44" s="30" t="s">
        <v>242</v>
      </c>
      <c r="F44" s="30" t="s">
        <v>243</v>
      </c>
      <c r="G44" s="30" t="s">
        <v>244</v>
      </c>
      <c r="H44">
        <v>2</v>
      </c>
    </row>
    <row r="45" spans="1:8" x14ac:dyDescent="0.3">
      <c r="A45" s="30">
        <v>39</v>
      </c>
      <c r="B45" s="30" t="s">
        <v>245</v>
      </c>
      <c r="C45" s="30" t="s">
        <v>237</v>
      </c>
      <c r="D45" s="30" t="s">
        <v>203</v>
      </c>
      <c r="E45" s="30" t="s">
        <v>246</v>
      </c>
      <c r="F45" s="30" t="s">
        <v>191</v>
      </c>
      <c r="G45" s="30" t="s">
        <v>247</v>
      </c>
      <c r="H45">
        <v>2</v>
      </c>
    </row>
    <row r="46" spans="1:8" x14ac:dyDescent="0.3">
      <c r="A46" s="30">
        <v>40</v>
      </c>
      <c r="B46" s="30" t="s">
        <v>248</v>
      </c>
      <c r="C46" s="30" t="s">
        <v>237</v>
      </c>
      <c r="D46" s="30" t="s">
        <v>194</v>
      </c>
      <c r="E46" s="30" t="s">
        <v>249</v>
      </c>
      <c r="F46" s="30" t="s">
        <v>191</v>
      </c>
      <c r="G46" s="30" t="s">
        <v>250</v>
      </c>
      <c r="H46">
        <v>2</v>
      </c>
    </row>
    <row r="47" spans="1:8" x14ac:dyDescent="0.3">
      <c r="A47" s="30">
        <v>41</v>
      </c>
      <c r="B47" s="30" t="s">
        <v>251</v>
      </c>
      <c r="C47" s="30" t="s">
        <v>237</v>
      </c>
      <c r="D47" s="30" t="s">
        <v>252</v>
      </c>
      <c r="E47" s="30" t="s">
        <v>253</v>
      </c>
      <c r="F47" s="30" t="s">
        <v>254</v>
      </c>
      <c r="G47" s="30" t="s">
        <v>255</v>
      </c>
      <c r="H47">
        <v>2</v>
      </c>
    </row>
    <row r="48" spans="1:8" x14ac:dyDescent="0.3">
      <c r="A48" s="30">
        <v>42</v>
      </c>
      <c r="B48" s="30" t="s">
        <v>256</v>
      </c>
      <c r="C48" s="30" t="s">
        <v>237</v>
      </c>
      <c r="D48" s="30" t="s">
        <v>257</v>
      </c>
      <c r="E48" s="30" t="s">
        <v>258</v>
      </c>
      <c r="F48" s="30" t="s">
        <v>259</v>
      </c>
      <c r="G48" s="30" t="s">
        <v>260</v>
      </c>
      <c r="H48">
        <v>2</v>
      </c>
    </row>
    <row r="49" spans="1:8" x14ac:dyDescent="0.3">
      <c r="A49" s="31">
        <v>43</v>
      </c>
      <c r="B49" s="26" t="s">
        <v>261</v>
      </c>
      <c r="C49" s="25"/>
      <c r="D49" s="25"/>
      <c r="E49" s="25"/>
      <c r="F49" s="25"/>
      <c r="G49" s="25"/>
      <c r="H49" s="25"/>
    </row>
    <row r="50" spans="1:8" x14ac:dyDescent="0.3">
      <c r="A50" s="32">
        <v>44</v>
      </c>
      <c r="B50" s="32" t="s">
        <v>262</v>
      </c>
      <c r="C50" s="32" t="s">
        <v>263</v>
      </c>
      <c r="D50" s="32" t="s">
        <v>264</v>
      </c>
      <c r="E50" s="32" t="s">
        <v>265</v>
      </c>
      <c r="F50" s="30" t="s">
        <v>191</v>
      </c>
      <c r="G50" s="30" t="s">
        <v>266</v>
      </c>
      <c r="H50">
        <v>2</v>
      </c>
    </row>
    <row r="51" spans="1:8" x14ac:dyDescent="0.3">
      <c r="A51" s="32">
        <v>45</v>
      </c>
      <c r="B51" s="32" t="s">
        <v>267</v>
      </c>
      <c r="C51" s="32" t="s">
        <v>263</v>
      </c>
      <c r="D51" s="32" t="s">
        <v>268</v>
      </c>
      <c r="E51" s="32" t="s">
        <v>269</v>
      </c>
      <c r="F51" s="30" t="s">
        <v>191</v>
      </c>
      <c r="G51" s="30" t="s">
        <v>270</v>
      </c>
      <c r="H51">
        <v>2</v>
      </c>
    </row>
    <row r="52" spans="1:8" x14ac:dyDescent="0.3">
      <c r="A52" s="32">
        <v>46</v>
      </c>
      <c r="B52" s="32" t="s">
        <v>271</v>
      </c>
      <c r="C52" s="32" t="s">
        <v>263</v>
      </c>
      <c r="D52" s="32" t="s">
        <v>272</v>
      </c>
      <c r="E52" s="32" t="s">
        <v>273</v>
      </c>
      <c r="F52" s="32" t="s">
        <v>274</v>
      </c>
      <c r="G52" s="30" t="s">
        <v>275</v>
      </c>
      <c r="H52">
        <v>2</v>
      </c>
    </row>
    <row r="53" spans="1:8" x14ac:dyDescent="0.3">
      <c r="A53" s="33">
        <v>47</v>
      </c>
      <c r="B53" s="26" t="s">
        <v>276</v>
      </c>
      <c r="C53" s="25"/>
      <c r="D53" s="25"/>
      <c r="E53" s="25"/>
      <c r="F53" s="25"/>
      <c r="G53" s="25"/>
      <c r="H53" s="25"/>
    </row>
    <row r="54" spans="1:8" x14ac:dyDescent="0.3">
      <c r="A54" s="34">
        <v>48</v>
      </c>
      <c r="B54" s="34" t="s">
        <v>277</v>
      </c>
      <c r="C54" s="34" t="s">
        <v>278</v>
      </c>
      <c r="D54" s="34" t="s">
        <v>279</v>
      </c>
      <c r="E54" s="34" t="s">
        <v>280</v>
      </c>
      <c r="F54" s="34" t="s">
        <v>281</v>
      </c>
      <c r="G54" s="30" t="s">
        <v>219</v>
      </c>
      <c r="H54">
        <v>1</v>
      </c>
    </row>
    <row r="55" spans="1:8" x14ac:dyDescent="0.3">
      <c r="A55" s="34">
        <v>49</v>
      </c>
      <c r="B55" s="34" t="s">
        <v>282</v>
      </c>
      <c r="C55" s="34" t="s">
        <v>278</v>
      </c>
      <c r="D55" s="34" t="s">
        <v>283</v>
      </c>
      <c r="E55" s="34" t="s">
        <v>284</v>
      </c>
      <c r="F55" s="34" t="s">
        <v>285</v>
      </c>
      <c r="G55" s="30" t="s">
        <v>286</v>
      </c>
      <c r="H55">
        <v>1</v>
      </c>
    </row>
    <row r="56" spans="1:8" x14ac:dyDescent="0.3">
      <c r="A56" s="34">
        <v>50</v>
      </c>
      <c r="B56" s="34" t="s">
        <v>287</v>
      </c>
      <c r="C56" s="34" t="s">
        <v>278</v>
      </c>
      <c r="D56" s="34" t="s">
        <v>283</v>
      </c>
      <c r="E56" s="34" t="s">
        <v>288</v>
      </c>
      <c r="F56" s="34" t="s">
        <v>191</v>
      </c>
      <c r="G56" s="30" t="s">
        <v>289</v>
      </c>
      <c r="H56">
        <v>1</v>
      </c>
    </row>
    <row r="57" spans="1:8" x14ac:dyDescent="0.3">
      <c r="A57" s="34">
        <v>51</v>
      </c>
      <c r="B57" s="34" t="s">
        <v>290</v>
      </c>
      <c r="C57" s="34" t="s">
        <v>278</v>
      </c>
      <c r="D57" s="34" t="s">
        <v>291</v>
      </c>
      <c r="E57" s="34" t="s">
        <v>292</v>
      </c>
      <c r="F57" s="34" t="s">
        <v>191</v>
      </c>
      <c r="G57" s="30" t="s">
        <v>293</v>
      </c>
      <c r="H57">
        <v>1</v>
      </c>
    </row>
    <row r="58" spans="1:8" x14ac:dyDescent="0.3">
      <c r="A58" s="34">
        <v>52</v>
      </c>
      <c r="B58" s="34" t="s">
        <v>294</v>
      </c>
      <c r="C58" s="34" t="s">
        <v>278</v>
      </c>
      <c r="D58" s="34" t="s">
        <v>295</v>
      </c>
      <c r="E58" s="34" t="s">
        <v>296</v>
      </c>
      <c r="F58" s="34" t="s">
        <v>297</v>
      </c>
      <c r="G58" s="30" t="s">
        <v>298</v>
      </c>
      <c r="H58">
        <v>1</v>
      </c>
    </row>
    <row r="59" spans="1:8" x14ac:dyDescent="0.3">
      <c r="A59" s="34">
        <v>53</v>
      </c>
      <c r="B59" s="34" t="s">
        <v>299</v>
      </c>
      <c r="C59" s="34" t="s">
        <v>278</v>
      </c>
      <c r="D59" s="34" t="s">
        <v>300</v>
      </c>
      <c r="E59" s="34" t="s">
        <v>301</v>
      </c>
      <c r="F59" s="34" t="s">
        <v>302</v>
      </c>
      <c r="G59" s="30" t="s">
        <v>212</v>
      </c>
      <c r="H59">
        <v>1</v>
      </c>
    </row>
    <row r="60" spans="1:8" x14ac:dyDescent="0.3">
      <c r="A60" s="25"/>
      <c r="B60" s="26" t="s">
        <v>303</v>
      </c>
      <c r="C60" s="25"/>
      <c r="D60" s="25"/>
      <c r="E60" s="25"/>
      <c r="F60" s="25"/>
      <c r="G60" s="25"/>
      <c r="H60" s="25"/>
    </row>
    <row r="61" spans="1:8" x14ac:dyDescent="0.3">
      <c r="A61" s="8" t="s">
        <v>304</v>
      </c>
      <c r="B61" s="8" t="s">
        <v>305</v>
      </c>
      <c r="C61" s="8" t="s">
        <v>306</v>
      </c>
    </row>
    <row r="62" spans="1:8" x14ac:dyDescent="0.3">
      <c r="A62" t="s">
        <v>81</v>
      </c>
      <c r="B62">
        <f>COUNTA(B4:B10)</f>
        <v>7</v>
      </c>
      <c r="C62">
        <v>25</v>
      </c>
    </row>
    <row r="63" spans="1:8" x14ac:dyDescent="0.3">
      <c r="A63" t="s">
        <v>112</v>
      </c>
      <c r="B63">
        <f>COUNTA(B12:B18)</f>
        <v>7</v>
      </c>
      <c r="C63">
        <v>12</v>
      </c>
    </row>
    <row r="64" spans="1:8" x14ac:dyDescent="0.3">
      <c r="A64" t="s">
        <v>144</v>
      </c>
      <c r="B64">
        <f>COUNTA(B20:B28)</f>
        <v>9</v>
      </c>
      <c r="C64">
        <v>9</v>
      </c>
    </row>
    <row r="65" spans="1:3" x14ac:dyDescent="0.3">
      <c r="A65" t="s">
        <v>183</v>
      </c>
      <c r="B65">
        <v>6</v>
      </c>
      <c r="C65">
        <v>14</v>
      </c>
    </row>
    <row r="66" spans="1:3" x14ac:dyDescent="0.3">
      <c r="A66" t="s">
        <v>215</v>
      </c>
      <c r="B66">
        <v>4</v>
      </c>
      <c r="C66">
        <v>6</v>
      </c>
    </row>
    <row r="67" spans="1:3" x14ac:dyDescent="0.3">
      <c r="A67" t="s">
        <v>237</v>
      </c>
      <c r="B67">
        <v>6</v>
      </c>
      <c r="C67">
        <v>12</v>
      </c>
    </row>
    <row r="68" spans="1:3" x14ac:dyDescent="0.3">
      <c r="A68" t="s">
        <v>263</v>
      </c>
      <c r="B68">
        <v>3</v>
      </c>
      <c r="C68">
        <v>6</v>
      </c>
    </row>
    <row r="69" spans="1:3" x14ac:dyDescent="0.3">
      <c r="A69" t="s">
        <v>278</v>
      </c>
      <c r="B69">
        <v>6</v>
      </c>
      <c r="C69">
        <v>6</v>
      </c>
    </row>
    <row r="70" spans="1:3" x14ac:dyDescent="0.3">
      <c r="A70" s="35" t="s">
        <v>307</v>
      </c>
      <c r="B70" s="35">
        <f>SUM(B62:B69)</f>
        <v>48</v>
      </c>
      <c r="C70" s="36">
        <f>SUM(C62:C69)</f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748F-7D61-4AEA-ADF8-966711BA761B}">
  <dimension ref="A1:F47"/>
  <sheetViews>
    <sheetView workbookViewId="0"/>
  </sheetViews>
  <sheetFormatPr defaultRowHeight="14.4" x14ac:dyDescent="0.3"/>
  <sheetData>
    <row r="1" spans="1:5" ht="18" x14ac:dyDescent="0.35">
      <c r="A1" s="23" t="s">
        <v>308</v>
      </c>
    </row>
    <row r="3" spans="1:5" x14ac:dyDescent="0.3">
      <c r="A3" s="21" t="s">
        <v>309</v>
      </c>
    </row>
    <row r="4" spans="1:5" x14ac:dyDescent="0.3">
      <c r="A4" s="2" t="s">
        <v>310</v>
      </c>
    </row>
    <row r="6" spans="1:5" ht="15.6" x14ac:dyDescent="0.3">
      <c r="A6" s="5" t="s">
        <v>311</v>
      </c>
    </row>
    <row r="7" spans="1:5" x14ac:dyDescent="0.3">
      <c r="A7" t="s">
        <v>312</v>
      </c>
    </row>
    <row r="9" spans="1:5" x14ac:dyDescent="0.3">
      <c r="A9" s="8" t="s">
        <v>81</v>
      </c>
      <c r="B9" s="8" t="s">
        <v>313</v>
      </c>
      <c r="C9" s="8" t="s">
        <v>314</v>
      </c>
      <c r="D9" s="8" t="s">
        <v>315</v>
      </c>
      <c r="E9" s="8" t="s">
        <v>316</v>
      </c>
    </row>
    <row r="10" spans="1:5" x14ac:dyDescent="0.3">
      <c r="A10" s="14" t="s">
        <v>80</v>
      </c>
      <c r="B10" s="14" t="s">
        <v>317</v>
      </c>
      <c r="C10" s="14">
        <v>6</v>
      </c>
      <c r="D10" s="14">
        <f>ROUND(C10/SUM(C10:C16)*6,1)</f>
        <v>1.2</v>
      </c>
      <c r="E10" s="14" t="s">
        <v>318</v>
      </c>
    </row>
    <row r="11" spans="1:5" x14ac:dyDescent="0.3">
      <c r="A11" s="37" t="s">
        <v>86</v>
      </c>
      <c r="B11" t="s">
        <v>319</v>
      </c>
      <c r="C11">
        <v>8</v>
      </c>
      <c r="D11">
        <f>ROUND(C11/SUM(C10:C16)*6,1)</f>
        <v>1.6</v>
      </c>
      <c r="E11" t="s">
        <v>320</v>
      </c>
    </row>
    <row r="12" spans="1:5" x14ac:dyDescent="0.3">
      <c r="A12" t="s">
        <v>90</v>
      </c>
      <c r="B12" t="s">
        <v>321</v>
      </c>
      <c r="C12">
        <v>5</v>
      </c>
      <c r="D12">
        <f>ROUND(C12/SUM(C10:C16)*6,1)</f>
        <v>1</v>
      </c>
      <c r="E12" t="s">
        <v>322</v>
      </c>
    </row>
    <row r="13" spans="1:5" x14ac:dyDescent="0.3">
      <c r="A13" t="s">
        <v>94</v>
      </c>
      <c r="B13" t="s">
        <v>323</v>
      </c>
      <c r="C13">
        <v>5</v>
      </c>
      <c r="D13">
        <f>ROUND(C13/SUM(C10:C16)*6,1)</f>
        <v>1</v>
      </c>
      <c r="E13" t="s">
        <v>324</v>
      </c>
    </row>
    <row r="14" spans="1:5" x14ac:dyDescent="0.3">
      <c r="A14" s="38" t="s">
        <v>98</v>
      </c>
      <c r="B14" s="38" t="s">
        <v>325</v>
      </c>
      <c r="C14" s="38">
        <v>4</v>
      </c>
      <c r="D14" s="38">
        <f>ROUND(C14/SUM(C10:C16)*6,1)</f>
        <v>0.8</v>
      </c>
      <c r="E14" s="38" t="s">
        <v>326</v>
      </c>
    </row>
    <row r="15" spans="1:5" x14ac:dyDescent="0.3">
      <c r="A15" s="39" t="s">
        <v>102</v>
      </c>
      <c r="B15" s="39" t="s">
        <v>327</v>
      </c>
      <c r="C15" s="39">
        <v>1</v>
      </c>
      <c r="D15" s="39">
        <f>ROUND(C15/SUM(C10:C16)*6,1)</f>
        <v>0.2</v>
      </c>
      <c r="E15" s="39" t="s">
        <v>328</v>
      </c>
    </row>
    <row r="16" spans="1:5" x14ac:dyDescent="0.3">
      <c r="A16" s="40" t="s">
        <v>106</v>
      </c>
      <c r="B16" s="40" t="s">
        <v>329</v>
      </c>
      <c r="C16" s="40">
        <v>1</v>
      </c>
      <c r="D16" s="40">
        <f>ROUND(C16/SUM(C10:C16)*6,1)</f>
        <v>0.2</v>
      </c>
      <c r="E16" s="40" t="s">
        <v>330</v>
      </c>
    </row>
    <row r="17" spans="1:6" x14ac:dyDescent="0.3">
      <c r="A17" s="35" t="s">
        <v>307</v>
      </c>
      <c r="C17" s="35">
        <f>SUM(C10:C16)</f>
        <v>30</v>
      </c>
    </row>
    <row r="19" spans="1:6" ht="15.6" x14ac:dyDescent="0.3">
      <c r="A19" s="5" t="s">
        <v>331</v>
      </c>
    </row>
    <row r="21" spans="1:6" x14ac:dyDescent="0.3">
      <c r="A21" s="8" t="s">
        <v>112</v>
      </c>
      <c r="B21" s="8" t="s">
        <v>332</v>
      </c>
      <c r="C21" s="8" t="s">
        <v>333</v>
      </c>
      <c r="D21" s="8" t="s">
        <v>334</v>
      </c>
      <c r="E21" s="8" t="s">
        <v>335</v>
      </c>
      <c r="F21" s="8" t="s">
        <v>336</v>
      </c>
    </row>
    <row r="22" spans="1:6" x14ac:dyDescent="0.3">
      <c r="A22" t="s">
        <v>111</v>
      </c>
      <c r="B22" t="s">
        <v>337</v>
      </c>
      <c r="C22">
        <v>1</v>
      </c>
      <c r="D22">
        <v>1</v>
      </c>
      <c r="E22">
        <v>2</v>
      </c>
      <c r="F22" t="s">
        <v>338</v>
      </c>
    </row>
    <row r="23" spans="1:6" x14ac:dyDescent="0.3">
      <c r="A23" t="s">
        <v>117</v>
      </c>
      <c r="B23" t="s">
        <v>337</v>
      </c>
      <c r="C23">
        <v>1</v>
      </c>
      <c r="D23">
        <v>1</v>
      </c>
      <c r="E23">
        <v>2</v>
      </c>
      <c r="F23" t="s">
        <v>339</v>
      </c>
    </row>
    <row r="24" spans="1:6" x14ac:dyDescent="0.3">
      <c r="A24" t="s">
        <v>121</v>
      </c>
      <c r="B24" t="s">
        <v>340</v>
      </c>
      <c r="C24">
        <v>1</v>
      </c>
      <c r="D24">
        <v>1</v>
      </c>
      <c r="E24">
        <v>1</v>
      </c>
      <c r="F24" t="s">
        <v>341</v>
      </c>
    </row>
    <row r="25" spans="1:6" x14ac:dyDescent="0.3">
      <c r="A25" t="s">
        <v>125</v>
      </c>
      <c r="B25" t="s">
        <v>340</v>
      </c>
      <c r="C25">
        <v>1</v>
      </c>
      <c r="D25">
        <v>1</v>
      </c>
      <c r="E25">
        <v>1</v>
      </c>
      <c r="F25" t="s">
        <v>342</v>
      </c>
    </row>
    <row r="26" spans="1:6" x14ac:dyDescent="0.3">
      <c r="A26" t="s">
        <v>129</v>
      </c>
      <c r="B26" t="s">
        <v>343</v>
      </c>
      <c r="C26">
        <v>0</v>
      </c>
      <c r="D26">
        <v>1</v>
      </c>
      <c r="E26">
        <v>1</v>
      </c>
      <c r="F26" t="s">
        <v>344</v>
      </c>
    </row>
    <row r="27" spans="1:6" x14ac:dyDescent="0.3">
      <c r="A27" t="s">
        <v>345</v>
      </c>
      <c r="B27" t="s">
        <v>337</v>
      </c>
      <c r="C27">
        <v>0</v>
      </c>
      <c r="D27">
        <v>0</v>
      </c>
      <c r="E27">
        <v>1</v>
      </c>
      <c r="F27" t="s">
        <v>346</v>
      </c>
    </row>
    <row r="28" spans="1:6" x14ac:dyDescent="0.3">
      <c r="A28" t="s">
        <v>347</v>
      </c>
      <c r="B28" t="s">
        <v>348</v>
      </c>
      <c r="C28">
        <v>0</v>
      </c>
      <c r="D28">
        <v>0</v>
      </c>
      <c r="E28">
        <v>1</v>
      </c>
      <c r="F28" t="s">
        <v>349</v>
      </c>
    </row>
    <row r="29" spans="1:6" x14ac:dyDescent="0.3">
      <c r="A29" s="16" t="s">
        <v>138</v>
      </c>
      <c r="B29" s="18" t="s">
        <v>56</v>
      </c>
      <c r="C29">
        <v>0</v>
      </c>
      <c r="D29">
        <v>1</v>
      </c>
      <c r="E29">
        <v>1</v>
      </c>
      <c r="F29" s="16" t="s">
        <v>350</v>
      </c>
    </row>
    <row r="30" spans="1:6" x14ac:dyDescent="0.3">
      <c r="A30" s="16" t="s">
        <v>133</v>
      </c>
      <c r="B30" s="18" t="s">
        <v>56</v>
      </c>
      <c r="C30">
        <v>0</v>
      </c>
      <c r="D30">
        <v>0</v>
      </c>
      <c r="E30">
        <v>1</v>
      </c>
      <c r="F30" s="16" t="s">
        <v>351</v>
      </c>
    </row>
    <row r="31" spans="1:6" x14ac:dyDescent="0.3">
      <c r="A31" s="35" t="s">
        <v>352</v>
      </c>
      <c r="C31" s="35">
        <f>SUM(C22:C30)</f>
        <v>4</v>
      </c>
      <c r="D31" s="35">
        <f>SUM(D22:D30)</f>
        <v>6</v>
      </c>
      <c r="E31" s="35">
        <f>SUM(E22:E30)</f>
        <v>11</v>
      </c>
    </row>
    <row r="33" spans="1:4" ht="15.6" x14ac:dyDescent="0.3">
      <c r="A33" s="5" t="s">
        <v>353</v>
      </c>
    </row>
    <row r="34" spans="1:4" x14ac:dyDescent="0.3">
      <c r="A34" t="s">
        <v>354</v>
      </c>
    </row>
    <row r="36" spans="1:4" x14ac:dyDescent="0.3">
      <c r="A36" s="20" t="s">
        <v>355</v>
      </c>
    </row>
    <row r="37" spans="1:4" x14ac:dyDescent="0.3">
      <c r="A37" t="s">
        <v>356</v>
      </c>
    </row>
    <row r="38" spans="1:4" x14ac:dyDescent="0.3">
      <c r="A38" t="s">
        <v>357</v>
      </c>
    </row>
    <row r="40" spans="1:4" ht="15.6" x14ac:dyDescent="0.3">
      <c r="A40" s="5" t="s">
        <v>358</v>
      </c>
    </row>
    <row r="41" spans="1:4" x14ac:dyDescent="0.3">
      <c r="A41" s="8" t="s">
        <v>359</v>
      </c>
      <c r="B41" s="8" t="s">
        <v>360</v>
      </c>
      <c r="C41" s="8" t="s">
        <v>361</v>
      </c>
      <c r="D41" s="8" t="s">
        <v>362</v>
      </c>
    </row>
    <row r="42" spans="1:4" x14ac:dyDescent="0.3">
      <c r="A42" t="s">
        <v>363</v>
      </c>
      <c r="B42">
        <v>1</v>
      </c>
      <c r="C42" t="s">
        <v>364</v>
      </c>
      <c r="D42" t="s">
        <v>365</v>
      </c>
    </row>
    <row r="43" spans="1:4" x14ac:dyDescent="0.3">
      <c r="A43" t="s">
        <v>366</v>
      </c>
      <c r="B43">
        <v>1</v>
      </c>
      <c r="C43" t="s">
        <v>367</v>
      </c>
      <c r="D43" t="s">
        <v>368</v>
      </c>
    </row>
    <row r="44" spans="1:4" x14ac:dyDescent="0.3">
      <c r="A44" t="s">
        <v>369</v>
      </c>
      <c r="B44">
        <v>1</v>
      </c>
      <c r="C44" t="s">
        <v>364</v>
      </c>
      <c r="D44" t="s">
        <v>370</v>
      </c>
    </row>
    <row r="45" spans="1:4" x14ac:dyDescent="0.3">
      <c r="A45" t="s">
        <v>371</v>
      </c>
      <c r="B45">
        <v>2</v>
      </c>
      <c r="C45" t="s">
        <v>372</v>
      </c>
    </row>
    <row r="46" spans="1:4" x14ac:dyDescent="0.3">
      <c r="A46" t="s">
        <v>373</v>
      </c>
      <c r="B46">
        <v>1</v>
      </c>
      <c r="C46" t="s">
        <v>372</v>
      </c>
      <c r="D46" t="s">
        <v>374</v>
      </c>
    </row>
    <row r="47" spans="1:4" x14ac:dyDescent="0.3">
      <c r="A47" t="s">
        <v>375</v>
      </c>
      <c r="B47">
        <v>1</v>
      </c>
      <c r="C47" t="s">
        <v>372</v>
      </c>
      <c r="D47" t="s">
        <v>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5165D-59FA-4BE2-97C8-809A321656DC}">
  <dimension ref="A1:G41"/>
  <sheetViews>
    <sheetView workbookViewId="0"/>
  </sheetViews>
  <sheetFormatPr defaultRowHeight="14.4" x14ac:dyDescent="0.3"/>
  <sheetData>
    <row r="1" spans="1:7" ht="18" x14ac:dyDescent="0.35">
      <c r="A1" s="23" t="s">
        <v>377</v>
      </c>
    </row>
    <row r="3" spans="1:7" x14ac:dyDescent="0.3">
      <c r="A3" s="8" t="s">
        <v>378</v>
      </c>
      <c r="B3" s="8" t="s">
        <v>379</v>
      </c>
    </row>
    <row r="4" spans="1:7" x14ac:dyDescent="0.3">
      <c r="A4" t="s">
        <v>380</v>
      </c>
      <c r="B4">
        <v>0</v>
      </c>
    </row>
    <row r="5" spans="1:7" x14ac:dyDescent="0.3">
      <c r="A5" t="s">
        <v>381</v>
      </c>
      <c r="B5">
        <v>0</v>
      </c>
    </row>
    <row r="6" spans="1:7" x14ac:dyDescent="0.3">
      <c r="A6" t="s">
        <v>382</v>
      </c>
      <c r="B6">
        <v>0</v>
      </c>
    </row>
    <row r="7" spans="1:7" x14ac:dyDescent="0.3">
      <c r="A7" t="s">
        <v>383</v>
      </c>
      <c r="B7">
        <v>3</v>
      </c>
    </row>
    <row r="8" spans="1:7" x14ac:dyDescent="0.3">
      <c r="A8" t="s">
        <v>384</v>
      </c>
      <c r="B8">
        <v>7</v>
      </c>
    </row>
    <row r="10" spans="1:7" ht="15.6" x14ac:dyDescent="0.3">
      <c r="A10" s="5" t="s">
        <v>385</v>
      </c>
    </row>
    <row r="11" spans="1:7" x14ac:dyDescent="0.3">
      <c r="A11" t="s">
        <v>386</v>
      </c>
    </row>
    <row r="13" spans="1:7" x14ac:dyDescent="0.3">
      <c r="A13" s="8" t="s">
        <v>387</v>
      </c>
      <c r="B13" s="8" t="s">
        <v>388</v>
      </c>
      <c r="C13" s="8" t="s">
        <v>78</v>
      </c>
      <c r="D13" s="8" t="s">
        <v>389</v>
      </c>
      <c r="E13" s="8" t="s">
        <v>390</v>
      </c>
      <c r="F13" s="8" t="s">
        <v>391</v>
      </c>
      <c r="G13" s="8" t="s">
        <v>383</v>
      </c>
    </row>
    <row r="14" spans="1:7" x14ac:dyDescent="0.3">
      <c r="A14">
        <v>1</v>
      </c>
      <c r="B14" t="s">
        <v>392</v>
      </c>
      <c r="C14" t="s">
        <v>393</v>
      </c>
      <c r="D14" t="s">
        <v>277</v>
      </c>
      <c r="E14" t="s">
        <v>394</v>
      </c>
      <c r="F14" t="s">
        <v>395</v>
      </c>
      <c r="G14">
        <v>3</v>
      </c>
    </row>
    <row r="15" spans="1:7" x14ac:dyDescent="0.3">
      <c r="A15">
        <v>2</v>
      </c>
      <c r="B15" t="s">
        <v>392</v>
      </c>
      <c r="C15" t="s">
        <v>396</v>
      </c>
      <c r="D15" t="s">
        <v>287</v>
      </c>
      <c r="E15" t="s">
        <v>397</v>
      </c>
      <c r="F15" t="s">
        <v>398</v>
      </c>
      <c r="G15">
        <v>3</v>
      </c>
    </row>
    <row r="16" spans="1:7" x14ac:dyDescent="0.3">
      <c r="A16" s="34">
        <v>3</v>
      </c>
      <c r="B16" s="41" t="s">
        <v>399</v>
      </c>
      <c r="C16" s="34" t="s">
        <v>400</v>
      </c>
      <c r="D16" s="34" t="s">
        <v>282</v>
      </c>
      <c r="E16" s="34" t="s">
        <v>401</v>
      </c>
      <c r="F16" s="34" t="s">
        <v>402</v>
      </c>
      <c r="G16" s="34">
        <v>3</v>
      </c>
    </row>
    <row r="17" spans="1:7" x14ac:dyDescent="0.3">
      <c r="A17">
        <v>4</v>
      </c>
      <c r="B17" t="s">
        <v>278</v>
      </c>
      <c r="C17" t="s">
        <v>403</v>
      </c>
      <c r="D17" t="s">
        <v>294</v>
      </c>
      <c r="E17" t="s">
        <v>404</v>
      </c>
      <c r="F17" t="s">
        <v>405</v>
      </c>
      <c r="G17">
        <v>2</v>
      </c>
    </row>
    <row r="18" spans="1:7" x14ac:dyDescent="0.3">
      <c r="A18" s="34">
        <v>5</v>
      </c>
      <c r="B18" s="41" t="s">
        <v>406</v>
      </c>
      <c r="C18" s="34" t="s">
        <v>407</v>
      </c>
      <c r="D18" s="34" t="s">
        <v>408</v>
      </c>
      <c r="E18" s="34" t="s">
        <v>409</v>
      </c>
      <c r="F18" s="34" t="s">
        <v>410</v>
      </c>
      <c r="G18" s="34">
        <v>2</v>
      </c>
    </row>
    <row r="19" spans="1:7" x14ac:dyDescent="0.3">
      <c r="A19" s="34">
        <v>6</v>
      </c>
      <c r="B19" s="41" t="s">
        <v>411</v>
      </c>
      <c r="C19" s="34" t="s">
        <v>412</v>
      </c>
      <c r="D19" s="34" t="s">
        <v>290</v>
      </c>
      <c r="E19" s="34" t="s">
        <v>413</v>
      </c>
      <c r="F19" s="34" t="s">
        <v>414</v>
      </c>
      <c r="G19" s="34">
        <v>2</v>
      </c>
    </row>
    <row r="20" spans="1:7" x14ac:dyDescent="0.3">
      <c r="A20" s="34">
        <v>7</v>
      </c>
      <c r="B20" s="41" t="s">
        <v>415</v>
      </c>
      <c r="C20" s="34" t="s">
        <v>416</v>
      </c>
      <c r="D20" s="34" t="s">
        <v>417</v>
      </c>
      <c r="E20" s="34" t="s">
        <v>394</v>
      </c>
      <c r="F20" s="34" t="s">
        <v>418</v>
      </c>
      <c r="G20" s="34">
        <v>1</v>
      </c>
    </row>
    <row r="21" spans="1:7" x14ac:dyDescent="0.3">
      <c r="A21" s="38">
        <v>8</v>
      </c>
      <c r="B21" s="42" t="s">
        <v>419</v>
      </c>
      <c r="C21" s="38" t="s">
        <v>420</v>
      </c>
      <c r="D21" s="38" t="s">
        <v>421</v>
      </c>
      <c r="E21" s="38" t="s">
        <v>397</v>
      </c>
      <c r="F21" s="38" t="s">
        <v>422</v>
      </c>
      <c r="G21" s="38">
        <v>1</v>
      </c>
    </row>
    <row r="22" spans="1:7" x14ac:dyDescent="0.3">
      <c r="A22" s="38">
        <v>9</v>
      </c>
      <c r="B22" s="42" t="s">
        <v>423</v>
      </c>
      <c r="C22" s="38" t="s">
        <v>424</v>
      </c>
      <c r="D22" s="38" t="s">
        <v>425</v>
      </c>
      <c r="E22" s="38" t="s">
        <v>401</v>
      </c>
      <c r="F22" s="38" t="s">
        <v>426</v>
      </c>
      <c r="G22" s="38">
        <v>0</v>
      </c>
    </row>
    <row r="23" spans="1:7" x14ac:dyDescent="0.3">
      <c r="A23" s="43">
        <v>10</v>
      </c>
      <c r="B23" s="44" t="s">
        <v>427</v>
      </c>
      <c r="C23" s="43" t="s">
        <v>428</v>
      </c>
      <c r="D23" s="43" t="s">
        <v>429</v>
      </c>
      <c r="E23" s="43" t="s">
        <v>430</v>
      </c>
      <c r="F23" s="43" t="s">
        <v>431</v>
      </c>
      <c r="G23" s="43">
        <v>0</v>
      </c>
    </row>
    <row r="25" spans="1:7" ht="15.6" x14ac:dyDescent="0.3">
      <c r="A25" s="5" t="s">
        <v>432</v>
      </c>
    </row>
    <row r="26" spans="1:7" x14ac:dyDescent="0.3">
      <c r="A26" t="s">
        <v>433</v>
      </c>
    </row>
    <row r="28" spans="1:7" x14ac:dyDescent="0.3">
      <c r="A28" s="8" t="s">
        <v>17</v>
      </c>
      <c r="B28" s="8" t="s">
        <v>15</v>
      </c>
      <c r="C28" s="8" t="s">
        <v>434</v>
      </c>
      <c r="D28" s="8" t="s">
        <v>435</v>
      </c>
    </row>
    <row r="29" spans="1:7" x14ac:dyDescent="0.3">
      <c r="A29">
        <v>2</v>
      </c>
      <c r="B29">
        <v>10</v>
      </c>
      <c r="C29">
        <f>A29*B29</f>
        <v>20</v>
      </c>
      <c r="D29" t="str">
        <f>TEXT((C29*3.5)/60,"0.0")&amp;" hrs"</f>
        <v>1.2 hrs</v>
      </c>
    </row>
    <row r="30" spans="1:7" x14ac:dyDescent="0.3">
      <c r="A30">
        <v>4</v>
      </c>
      <c r="B30">
        <v>8</v>
      </c>
      <c r="C30">
        <f>A30*B30</f>
        <v>32</v>
      </c>
      <c r="D30" t="str">
        <f>TEXT((C30*3.5)/60,"0.0")&amp;" hrs"</f>
        <v>1.9 hrs</v>
      </c>
    </row>
    <row r="31" spans="1:7" x14ac:dyDescent="0.3">
      <c r="A31">
        <v>6</v>
      </c>
      <c r="B31">
        <v>7</v>
      </c>
      <c r="C31">
        <f>A31*B31</f>
        <v>42</v>
      </c>
      <c r="D31" t="str">
        <f>TEXT((C31*3.5)/60,"0.0")&amp;" hrs"</f>
        <v>2.5 hrs</v>
      </c>
    </row>
    <row r="32" spans="1:7" x14ac:dyDescent="0.3">
      <c r="A32">
        <v>8</v>
      </c>
      <c r="B32">
        <v>6</v>
      </c>
      <c r="C32">
        <f>A32*B32</f>
        <v>48</v>
      </c>
      <c r="D32" t="str">
        <f>TEXT((C32*3.5)/60,"0.0")&amp;" hrs"</f>
        <v>2.8 hrs</v>
      </c>
    </row>
    <row r="33" spans="1:4" x14ac:dyDescent="0.3">
      <c r="A33">
        <v>9</v>
      </c>
      <c r="B33">
        <v>6</v>
      </c>
      <c r="C33">
        <f>A33*B33</f>
        <v>54</v>
      </c>
      <c r="D33" t="str">
        <f>TEXT((C33*3.5)/60,"0.0")&amp;" hrs"</f>
        <v>3.2 hrs</v>
      </c>
    </row>
    <row r="35" spans="1:4" ht="15.6" x14ac:dyDescent="0.3">
      <c r="A35" s="5" t="s">
        <v>436</v>
      </c>
    </row>
    <row r="36" spans="1:4" x14ac:dyDescent="0.3">
      <c r="A36" t="s">
        <v>437</v>
      </c>
    </row>
    <row r="37" spans="1:4" x14ac:dyDescent="0.3">
      <c r="A37" t="s">
        <v>438</v>
      </c>
    </row>
    <row r="38" spans="1:4" x14ac:dyDescent="0.3">
      <c r="A38" t="s">
        <v>439</v>
      </c>
    </row>
    <row r="39" spans="1:4" x14ac:dyDescent="0.3">
      <c r="A39" t="s">
        <v>440</v>
      </c>
    </row>
    <row r="40" spans="1:4" x14ac:dyDescent="0.3">
      <c r="A40" t="s">
        <v>441</v>
      </c>
    </row>
    <row r="41" spans="1:4" x14ac:dyDescent="0.3">
      <c r="A41" s="13" t="s">
        <v>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E6D21-BC43-49F5-9C11-027F23DFBEA3}">
  <dimension ref="A1:F60"/>
  <sheetViews>
    <sheetView topLeftCell="A263" workbookViewId="0">
      <selection activeCell="AJ128" sqref="AJ128"/>
    </sheetView>
  </sheetViews>
  <sheetFormatPr defaultRowHeight="14.4" x14ac:dyDescent="0.3"/>
  <sheetData>
    <row r="1" spans="1:6" ht="18" x14ac:dyDescent="0.35">
      <c r="A1" s="23" t="s">
        <v>443</v>
      </c>
    </row>
    <row r="3" spans="1:6" x14ac:dyDescent="0.3">
      <c r="A3" s="45" t="s">
        <v>444</v>
      </c>
    </row>
    <row r="4" spans="1:6" x14ac:dyDescent="0.3">
      <c r="A4" t="s">
        <v>445</v>
      </c>
    </row>
    <row r="6" spans="1:6" ht="15.6" x14ac:dyDescent="0.3">
      <c r="A6" s="5" t="s">
        <v>446</v>
      </c>
    </row>
    <row r="7" spans="1:6" x14ac:dyDescent="0.3">
      <c r="A7" s="8" t="s">
        <v>447</v>
      </c>
      <c r="B7" s="8" t="s">
        <v>448</v>
      </c>
      <c r="C7" s="8" t="s">
        <v>337</v>
      </c>
      <c r="D7" s="8" t="s">
        <v>215</v>
      </c>
      <c r="E7" s="8" t="s">
        <v>449</v>
      </c>
      <c r="F7" s="8" t="s">
        <v>450</v>
      </c>
    </row>
    <row r="8" spans="1:6" x14ac:dyDescent="0.3">
      <c r="A8" s="30" t="s">
        <v>226</v>
      </c>
      <c r="B8" s="30" t="s">
        <v>451</v>
      </c>
      <c r="C8" s="30" t="s">
        <v>452</v>
      </c>
      <c r="D8" s="30" t="s">
        <v>451</v>
      </c>
      <c r="E8" s="30" t="s">
        <v>453</v>
      </c>
      <c r="F8" s="30" t="s">
        <v>454</v>
      </c>
    </row>
    <row r="9" spans="1:6" x14ac:dyDescent="0.3">
      <c r="A9" t="s">
        <v>455</v>
      </c>
      <c r="B9" t="s">
        <v>452</v>
      </c>
      <c r="C9" t="s">
        <v>451</v>
      </c>
      <c r="D9" t="s">
        <v>452</v>
      </c>
      <c r="E9" t="s">
        <v>456</v>
      </c>
      <c r="F9" t="s">
        <v>457</v>
      </c>
    </row>
    <row r="10" spans="1:6" x14ac:dyDescent="0.3">
      <c r="A10" s="46" t="s">
        <v>341</v>
      </c>
      <c r="B10" s="46" t="s">
        <v>458</v>
      </c>
      <c r="C10" s="46" t="s">
        <v>451</v>
      </c>
      <c r="D10" s="46" t="s">
        <v>459</v>
      </c>
      <c r="E10" s="46" t="s">
        <v>460</v>
      </c>
      <c r="F10" s="46" t="s">
        <v>461</v>
      </c>
    </row>
    <row r="11" spans="1:6" x14ac:dyDescent="0.3">
      <c r="A11" t="s">
        <v>349</v>
      </c>
      <c r="B11" t="s">
        <v>458</v>
      </c>
      <c r="C11" t="s">
        <v>452</v>
      </c>
      <c r="D11" t="s">
        <v>458</v>
      </c>
      <c r="E11" t="s">
        <v>462</v>
      </c>
      <c r="F11" t="s">
        <v>463</v>
      </c>
    </row>
    <row r="12" spans="1:6" x14ac:dyDescent="0.3">
      <c r="A12" s="47" t="s">
        <v>464</v>
      </c>
      <c r="B12" s="47" t="s">
        <v>451</v>
      </c>
      <c r="C12" s="47" t="s">
        <v>452</v>
      </c>
      <c r="D12" s="47" t="s">
        <v>451</v>
      </c>
      <c r="E12" s="47" t="s">
        <v>465</v>
      </c>
      <c r="F12" s="47" t="s">
        <v>466</v>
      </c>
    </row>
    <row r="13" spans="1:6" x14ac:dyDescent="0.3">
      <c r="A13" s="46" t="s">
        <v>338</v>
      </c>
      <c r="B13" s="46" t="s">
        <v>452</v>
      </c>
      <c r="C13" s="46" t="s">
        <v>451</v>
      </c>
      <c r="D13" s="46" t="s">
        <v>452</v>
      </c>
      <c r="E13" s="46" t="s">
        <v>467</v>
      </c>
      <c r="F13" s="46" t="s">
        <v>468</v>
      </c>
    </row>
    <row r="14" spans="1:6" x14ac:dyDescent="0.3">
      <c r="A14" t="s">
        <v>469</v>
      </c>
      <c r="B14" t="s">
        <v>452</v>
      </c>
      <c r="C14" t="s">
        <v>458</v>
      </c>
      <c r="D14" t="s">
        <v>458</v>
      </c>
      <c r="E14" t="s">
        <v>470</v>
      </c>
      <c r="F14" t="s">
        <v>471</v>
      </c>
    </row>
    <row r="16" spans="1:6" ht="15.6" x14ac:dyDescent="0.3">
      <c r="A16" s="5" t="s">
        <v>472</v>
      </c>
    </row>
    <row r="18" spans="1:6" x14ac:dyDescent="0.3">
      <c r="A18" s="8" t="s">
        <v>144</v>
      </c>
      <c r="B18" s="8" t="s">
        <v>473</v>
      </c>
      <c r="C18" s="8" t="s">
        <v>474</v>
      </c>
      <c r="D18" s="8" t="s">
        <v>475</v>
      </c>
      <c r="E18" s="8" t="s">
        <v>476</v>
      </c>
      <c r="F18" s="8" t="s">
        <v>477</v>
      </c>
    </row>
    <row r="19" spans="1:6" x14ac:dyDescent="0.3">
      <c r="A19" s="48" t="s">
        <v>143</v>
      </c>
      <c r="B19" s="48" t="s">
        <v>478</v>
      </c>
      <c r="C19" s="48" t="s">
        <v>455</v>
      </c>
      <c r="D19" s="48" t="s">
        <v>479</v>
      </c>
      <c r="E19" s="48" t="s">
        <v>480</v>
      </c>
      <c r="F19" s="48" t="s">
        <v>481</v>
      </c>
    </row>
    <row r="20" spans="1:6" x14ac:dyDescent="0.3">
      <c r="A20" t="s">
        <v>149</v>
      </c>
      <c r="B20" t="s">
        <v>226</v>
      </c>
      <c r="C20" t="s">
        <v>455</v>
      </c>
      <c r="D20" t="s">
        <v>482</v>
      </c>
      <c r="E20" t="s">
        <v>483</v>
      </c>
      <c r="F20" t="s">
        <v>484</v>
      </c>
    </row>
    <row r="21" spans="1:6" x14ac:dyDescent="0.3">
      <c r="A21" t="s">
        <v>153</v>
      </c>
      <c r="B21" t="s">
        <v>485</v>
      </c>
      <c r="C21" t="s">
        <v>338</v>
      </c>
      <c r="D21" t="s">
        <v>486</v>
      </c>
      <c r="E21" t="s">
        <v>487</v>
      </c>
      <c r="F21" t="s">
        <v>488</v>
      </c>
    </row>
    <row r="22" spans="1:6" x14ac:dyDescent="0.3">
      <c r="A22" t="s">
        <v>157</v>
      </c>
      <c r="B22" t="s">
        <v>489</v>
      </c>
      <c r="C22" t="s">
        <v>341</v>
      </c>
      <c r="D22" t="s">
        <v>490</v>
      </c>
      <c r="E22" t="s">
        <v>491</v>
      </c>
      <c r="F22" t="s">
        <v>492</v>
      </c>
    </row>
    <row r="23" spans="1:6" x14ac:dyDescent="0.3">
      <c r="A23" s="30" t="s">
        <v>161</v>
      </c>
      <c r="B23" s="30" t="s">
        <v>493</v>
      </c>
      <c r="C23" s="30" t="s">
        <v>494</v>
      </c>
      <c r="D23" s="30" t="s">
        <v>495</v>
      </c>
      <c r="E23" s="30" t="s">
        <v>496</v>
      </c>
      <c r="F23" s="30" t="s">
        <v>497</v>
      </c>
    </row>
    <row r="24" spans="1:6" x14ac:dyDescent="0.3">
      <c r="A24" t="s">
        <v>165</v>
      </c>
      <c r="B24" t="s">
        <v>469</v>
      </c>
      <c r="C24" t="s">
        <v>341</v>
      </c>
      <c r="D24" t="s">
        <v>498</v>
      </c>
      <c r="E24" t="s">
        <v>499</v>
      </c>
      <c r="F24" t="s">
        <v>500</v>
      </c>
    </row>
    <row r="25" spans="1:6" x14ac:dyDescent="0.3">
      <c r="A25" t="s">
        <v>169</v>
      </c>
      <c r="B25" t="s">
        <v>501</v>
      </c>
      <c r="C25" t="s">
        <v>455</v>
      </c>
      <c r="D25" t="s">
        <v>502</v>
      </c>
      <c r="E25" t="s">
        <v>503</v>
      </c>
      <c r="F25" t="s">
        <v>504</v>
      </c>
    </row>
    <row r="26" spans="1:6" x14ac:dyDescent="0.3">
      <c r="A26" t="s">
        <v>173</v>
      </c>
      <c r="B26" t="s">
        <v>505</v>
      </c>
      <c r="C26" t="s">
        <v>341</v>
      </c>
      <c r="D26" t="s">
        <v>506</v>
      </c>
      <c r="E26" t="s">
        <v>507</v>
      </c>
      <c r="F26" t="s">
        <v>508</v>
      </c>
    </row>
    <row r="27" spans="1:6" x14ac:dyDescent="0.3">
      <c r="A27" t="s">
        <v>177</v>
      </c>
      <c r="B27" t="s">
        <v>509</v>
      </c>
      <c r="C27" t="s">
        <v>338</v>
      </c>
      <c r="D27" t="s">
        <v>510</v>
      </c>
      <c r="E27" t="s">
        <v>511</v>
      </c>
      <c r="F27" t="s">
        <v>512</v>
      </c>
    </row>
    <row r="29" spans="1:6" ht="15.6" x14ac:dyDescent="0.3">
      <c r="A29" s="5" t="s">
        <v>513</v>
      </c>
    </row>
    <row r="30" spans="1:6" x14ac:dyDescent="0.3">
      <c r="A30" t="s">
        <v>514</v>
      </c>
    </row>
    <row r="32" spans="1:6" x14ac:dyDescent="0.3">
      <c r="A32" s="8" t="s">
        <v>515</v>
      </c>
      <c r="B32" s="8" t="s">
        <v>25</v>
      </c>
      <c r="C32" s="8" t="s">
        <v>26</v>
      </c>
      <c r="D32" s="8" t="s">
        <v>516</v>
      </c>
    </row>
    <row r="33" spans="1:4" x14ac:dyDescent="0.3">
      <c r="A33" t="s">
        <v>517</v>
      </c>
      <c r="B33" t="s">
        <v>518</v>
      </c>
      <c r="C33" t="s">
        <v>519</v>
      </c>
      <c r="D33" t="s">
        <v>520</v>
      </c>
    </row>
    <row r="34" spans="1:4" x14ac:dyDescent="0.3">
      <c r="A34" t="s">
        <v>521</v>
      </c>
      <c r="B34" t="s">
        <v>522</v>
      </c>
      <c r="C34" t="s">
        <v>523</v>
      </c>
      <c r="D34" t="s">
        <v>524</v>
      </c>
    </row>
    <row r="35" spans="1:4" x14ac:dyDescent="0.3">
      <c r="A35" t="s">
        <v>525</v>
      </c>
      <c r="B35" t="s">
        <v>526</v>
      </c>
      <c r="C35" t="s">
        <v>527</v>
      </c>
      <c r="D35" t="s">
        <v>528</v>
      </c>
    </row>
    <row r="37" spans="1:4" x14ac:dyDescent="0.3">
      <c r="A37" s="35" t="s">
        <v>529</v>
      </c>
    </row>
    <row r="38" spans="1:4" x14ac:dyDescent="0.3">
      <c r="A38" t="s">
        <v>530</v>
      </c>
    </row>
    <row r="39" spans="1:4" x14ac:dyDescent="0.3">
      <c r="A39" t="s">
        <v>531</v>
      </c>
    </row>
    <row r="40" spans="1:4" x14ac:dyDescent="0.3">
      <c r="A40" t="s">
        <v>532</v>
      </c>
    </row>
    <row r="41" spans="1:4" x14ac:dyDescent="0.3">
      <c r="A41" t="s">
        <v>533</v>
      </c>
    </row>
    <row r="43" spans="1:4" ht="15.6" x14ac:dyDescent="0.3">
      <c r="A43" s="5" t="s">
        <v>534</v>
      </c>
    </row>
    <row r="44" spans="1:4" x14ac:dyDescent="0.3">
      <c r="A44" t="s">
        <v>535</v>
      </c>
    </row>
    <row r="45" spans="1:4" x14ac:dyDescent="0.3">
      <c r="A45" t="s">
        <v>536</v>
      </c>
    </row>
    <row r="47" spans="1:4" x14ac:dyDescent="0.3">
      <c r="A47" s="8" t="s">
        <v>537</v>
      </c>
      <c r="B47" s="8" t="s">
        <v>538</v>
      </c>
      <c r="C47" s="8" t="s">
        <v>539</v>
      </c>
      <c r="D47" s="8" t="s">
        <v>540</v>
      </c>
    </row>
    <row r="48" spans="1:4" x14ac:dyDescent="0.3">
      <c r="A48" s="14" t="s">
        <v>541</v>
      </c>
      <c r="B48" s="14" t="s">
        <v>541</v>
      </c>
      <c r="C48" s="14" t="s">
        <v>542</v>
      </c>
      <c r="D48" s="14" t="s">
        <v>543</v>
      </c>
    </row>
    <row r="49" spans="1:4" x14ac:dyDescent="0.3">
      <c r="A49" t="s">
        <v>541</v>
      </c>
      <c r="B49" t="s">
        <v>544</v>
      </c>
      <c r="C49" t="s">
        <v>545</v>
      </c>
      <c r="D49" t="s">
        <v>546</v>
      </c>
    </row>
    <row r="50" spans="1:4" x14ac:dyDescent="0.3">
      <c r="A50" s="49" t="s">
        <v>541</v>
      </c>
      <c r="B50" s="49" t="s">
        <v>547</v>
      </c>
      <c r="C50" s="49" t="s">
        <v>548</v>
      </c>
      <c r="D50" s="49" t="s">
        <v>549</v>
      </c>
    </row>
    <row r="51" spans="1:4" x14ac:dyDescent="0.3">
      <c r="A51" t="s">
        <v>544</v>
      </c>
      <c r="B51" t="s">
        <v>544</v>
      </c>
      <c r="C51" t="s">
        <v>550</v>
      </c>
      <c r="D51" t="s">
        <v>551</v>
      </c>
    </row>
    <row r="52" spans="1:4" x14ac:dyDescent="0.3">
      <c r="A52" s="49" t="s">
        <v>547</v>
      </c>
      <c r="B52" s="49" t="s">
        <v>547</v>
      </c>
      <c r="C52" s="49" t="s">
        <v>552</v>
      </c>
      <c r="D52" s="49" t="s">
        <v>553</v>
      </c>
    </row>
    <row r="54" spans="1:4" ht="15.6" x14ac:dyDescent="0.3">
      <c r="A54" s="5" t="s">
        <v>554</v>
      </c>
    </row>
    <row r="55" spans="1:4" x14ac:dyDescent="0.3">
      <c r="A55" t="s">
        <v>555</v>
      </c>
    </row>
    <row r="56" spans="1:4" x14ac:dyDescent="0.3">
      <c r="A56" t="s">
        <v>556</v>
      </c>
    </row>
    <row r="57" spans="1:4" x14ac:dyDescent="0.3">
      <c r="A57" t="s">
        <v>557</v>
      </c>
    </row>
    <row r="59" spans="1:4" x14ac:dyDescent="0.3">
      <c r="A59" s="13" t="s">
        <v>558</v>
      </c>
    </row>
    <row r="60" spans="1:4" x14ac:dyDescent="0.3">
      <c r="A60" s="13" t="s">
        <v>559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32EC5-06E2-47EA-92BE-98A5DC4BB46D}">
  <dimension ref="A1:J31"/>
  <sheetViews>
    <sheetView workbookViewId="0"/>
  </sheetViews>
  <sheetFormatPr defaultRowHeight="14.4" x14ac:dyDescent="0.3"/>
  <sheetData>
    <row r="1" spans="1:6" ht="21" x14ac:dyDescent="0.4">
      <c r="A1" s="1" t="s">
        <v>612</v>
      </c>
    </row>
    <row r="3" spans="1:6" ht="18" x14ac:dyDescent="0.35">
      <c r="A3" s="8" t="s">
        <v>613</v>
      </c>
      <c r="B3" s="22">
        <v>1</v>
      </c>
      <c r="D3" s="8" t="s">
        <v>614</v>
      </c>
      <c r="E3" s="10" t="s">
        <v>615</v>
      </c>
    </row>
    <row r="5" spans="1:6" x14ac:dyDescent="0.3">
      <c r="A5" s="26" t="s">
        <v>616</v>
      </c>
      <c r="D5" s="26" t="s">
        <v>619</v>
      </c>
    </row>
    <row r="6" spans="1:6" x14ac:dyDescent="0.3">
      <c r="A6" t="s">
        <v>617</v>
      </c>
      <c r="B6">
        <v>0</v>
      </c>
      <c r="D6" t="s">
        <v>620</v>
      </c>
    </row>
    <row r="7" spans="1:6" x14ac:dyDescent="0.3">
      <c r="A7" t="s">
        <v>618</v>
      </c>
      <c r="B7">
        <v>0</v>
      </c>
      <c r="D7" s="7" t="s">
        <v>621</v>
      </c>
    </row>
    <row r="8" spans="1:6" x14ac:dyDescent="0.3">
      <c r="A8" t="s">
        <v>382</v>
      </c>
      <c r="B8">
        <v>0</v>
      </c>
    </row>
    <row r="9" spans="1:6" x14ac:dyDescent="0.3">
      <c r="A9" t="s">
        <v>383</v>
      </c>
      <c r="B9">
        <v>3</v>
      </c>
    </row>
    <row r="10" spans="1:6" x14ac:dyDescent="0.3">
      <c r="A10" t="s">
        <v>384</v>
      </c>
      <c r="B10">
        <v>7</v>
      </c>
    </row>
    <row r="12" spans="1:6" x14ac:dyDescent="0.3">
      <c r="A12" s="26" t="s">
        <v>446</v>
      </c>
    </row>
    <row r="13" spans="1:6" x14ac:dyDescent="0.3">
      <c r="A13" s="8" t="s">
        <v>447</v>
      </c>
      <c r="B13" s="8" t="s">
        <v>448</v>
      </c>
      <c r="C13" s="8" t="s">
        <v>337</v>
      </c>
      <c r="D13" s="8" t="s">
        <v>215</v>
      </c>
      <c r="E13" s="8" t="s">
        <v>622</v>
      </c>
      <c r="F13" s="8" t="s">
        <v>623</v>
      </c>
    </row>
    <row r="14" spans="1:6" x14ac:dyDescent="0.3">
      <c r="A14" s="30" t="s">
        <v>226</v>
      </c>
      <c r="B14" t="s">
        <v>451</v>
      </c>
      <c r="C14" t="s">
        <v>452</v>
      </c>
      <c r="D14" t="s">
        <v>451</v>
      </c>
      <c r="F14" t="s">
        <v>624</v>
      </c>
    </row>
    <row r="15" spans="1:6" x14ac:dyDescent="0.3">
      <c r="A15" t="s">
        <v>455</v>
      </c>
      <c r="B15" t="s">
        <v>452</v>
      </c>
      <c r="C15" t="s">
        <v>451</v>
      </c>
      <c r="D15" t="s">
        <v>452</v>
      </c>
      <c r="F15" t="s">
        <v>624</v>
      </c>
    </row>
    <row r="16" spans="1:6" x14ac:dyDescent="0.3">
      <c r="A16" s="50" t="s">
        <v>341</v>
      </c>
      <c r="B16" t="s">
        <v>458</v>
      </c>
      <c r="C16" t="s">
        <v>451</v>
      </c>
      <c r="D16" t="s">
        <v>452</v>
      </c>
      <c r="F16" t="s">
        <v>624</v>
      </c>
    </row>
    <row r="17" spans="1:10" x14ac:dyDescent="0.3">
      <c r="A17" t="s">
        <v>349</v>
      </c>
      <c r="B17" t="s">
        <v>458</v>
      </c>
      <c r="C17" t="s">
        <v>452</v>
      </c>
      <c r="D17" t="s">
        <v>458</v>
      </c>
      <c r="F17" t="s">
        <v>624</v>
      </c>
    </row>
    <row r="18" spans="1:10" x14ac:dyDescent="0.3">
      <c r="A18" s="47" t="s">
        <v>464</v>
      </c>
      <c r="B18" t="s">
        <v>451</v>
      </c>
      <c r="C18" t="s">
        <v>452</v>
      </c>
      <c r="D18" t="s">
        <v>451</v>
      </c>
      <c r="F18" t="s">
        <v>624</v>
      </c>
    </row>
    <row r="19" spans="1:10" x14ac:dyDescent="0.3">
      <c r="A19" s="50" t="s">
        <v>338</v>
      </c>
      <c r="B19" t="s">
        <v>452</v>
      </c>
      <c r="C19" t="s">
        <v>451</v>
      </c>
      <c r="D19" t="s">
        <v>452</v>
      </c>
      <c r="F19" t="s">
        <v>624</v>
      </c>
    </row>
    <row r="20" spans="1:10" x14ac:dyDescent="0.3">
      <c r="A20" t="s">
        <v>469</v>
      </c>
      <c r="B20" t="s">
        <v>452</v>
      </c>
      <c r="C20" t="s">
        <v>458</v>
      </c>
      <c r="D20" t="s">
        <v>458</v>
      </c>
      <c r="F20" t="s">
        <v>624</v>
      </c>
    </row>
    <row r="22" spans="1:10" x14ac:dyDescent="0.3">
      <c r="A22" s="26" t="s">
        <v>625</v>
      </c>
    </row>
    <row r="23" spans="1:10" x14ac:dyDescent="0.3">
      <c r="A23" s="8" t="s">
        <v>72</v>
      </c>
      <c r="B23" s="8" t="s">
        <v>25</v>
      </c>
      <c r="C23" s="8" t="s">
        <v>626</v>
      </c>
      <c r="D23" s="8" t="s">
        <v>627</v>
      </c>
      <c r="E23" s="8" t="s">
        <v>628</v>
      </c>
      <c r="F23" s="8" t="s">
        <v>629</v>
      </c>
      <c r="G23" s="8" t="s">
        <v>263</v>
      </c>
      <c r="H23" s="8" t="s">
        <v>630</v>
      </c>
      <c r="I23" s="8" t="s">
        <v>631</v>
      </c>
      <c r="J23" s="8" t="s">
        <v>623</v>
      </c>
    </row>
    <row r="24" spans="1:10" x14ac:dyDescent="0.3">
      <c r="A24" t="s">
        <v>632</v>
      </c>
      <c r="B24" t="s">
        <v>633</v>
      </c>
      <c r="C24" t="s">
        <v>634</v>
      </c>
      <c r="D24" t="s">
        <v>634</v>
      </c>
      <c r="E24">
        <v>5</v>
      </c>
      <c r="F24">
        <v>3</v>
      </c>
      <c r="G24">
        <v>2</v>
      </c>
      <c r="H24">
        <v>0</v>
      </c>
      <c r="I24">
        <v>0</v>
      </c>
      <c r="J24" t="s">
        <v>624</v>
      </c>
    </row>
    <row r="25" spans="1:10" x14ac:dyDescent="0.3">
      <c r="A25" t="s">
        <v>635</v>
      </c>
      <c r="B25" t="s">
        <v>636</v>
      </c>
      <c r="C25" t="s">
        <v>634</v>
      </c>
      <c r="D25" t="s">
        <v>634</v>
      </c>
      <c r="E25">
        <v>5</v>
      </c>
      <c r="F25">
        <v>3</v>
      </c>
      <c r="G25">
        <v>2</v>
      </c>
      <c r="H25">
        <v>0</v>
      </c>
      <c r="I25">
        <v>0</v>
      </c>
      <c r="J25" t="s">
        <v>624</v>
      </c>
    </row>
    <row r="26" spans="1:10" x14ac:dyDescent="0.3">
      <c r="A26" t="s">
        <v>637</v>
      </c>
      <c r="B26" t="s">
        <v>638</v>
      </c>
      <c r="C26" t="s">
        <v>634</v>
      </c>
      <c r="D26" t="s">
        <v>634</v>
      </c>
      <c r="E26">
        <v>5</v>
      </c>
      <c r="F26">
        <v>3</v>
      </c>
      <c r="G26">
        <v>2</v>
      </c>
      <c r="H26">
        <v>0</v>
      </c>
      <c r="I26">
        <v>0</v>
      </c>
      <c r="J26" t="s">
        <v>624</v>
      </c>
    </row>
    <row r="27" spans="1:10" x14ac:dyDescent="0.3">
      <c r="A27" t="s">
        <v>639</v>
      </c>
      <c r="B27" t="s">
        <v>640</v>
      </c>
      <c r="C27" t="s">
        <v>634</v>
      </c>
      <c r="D27" t="s">
        <v>634</v>
      </c>
      <c r="E27">
        <v>5</v>
      </c>
      <c r="F27">
        <v>3</v>
      </c>
      <c r="G27">
        <v>2</v>
      </c>
      <c r="H27">
        <v>0</v>
      </c>
      <c r="I27">
        <v>0</v>
      </c>
      <c r="J27" t="s">
        <v>624</v>
      </c>
    </row>
    <row r="29" spans="1:10" x14ac:dyDescent="0.3">
      <c r="A29" s="26" t="s">
        <v>641</v>
      </c>
    </row>
    <row r="30" spans="1:10" x14ac:dyDescent="0.3">
      <c r="A30" t="s">
        <v>387</v>
      </c>
      <c r="B30" t="s">
        <v>642</v>
      </c>
      <c r="C30" t="s">
        <v>291</v>
      </c>
      <c r="D30" t="s">
        <v>643</v>
      </c>
      <c r="E30" t="s">
        <v>644</v>
      </c>
    </row>
    <row r="31" spans="1:10" x14ac:dyDescent="0.3">
      <c r="A31" s="12">
        <v>0</v>
      </c>
      <c r="B31" s="12" t="s">
        <v>645</v>
      </c>
      <c r="C31" s="12" t="s">
        <v>646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7B71A-1046-4808-9ECC-23252ADEE458}">
  <dimension ref="A1:F46"/>
  <sheetViews>
    <sheetView workbookViewId="0"/>
  </sheetViews>
  <sheetFormatPr defaultRowHeight="14.4" x14ac:dyDescent="0.3"/>
  <sheetData>
    <row r="1" spans="1:6" ht="18" x14ac:dyDescent="0.35">
      <c r="A1" s="23" t="s">
        <v>681</v>
      </c>
    </row>
    <row r="2" spans="1:6" x14ac:dyDescent="0.3">
      <c r="A2" s="45" t="s">
        <v>682</v>
      </c>
    </row>
    <row r="4" spans="1:6" ht="17.399999999999999" x14ac:dyDescent="0.35">
      <c r="A4" s="56" t="s">
        <v>683</v>
      </c>
    </row>
    <row r="5" spans="1:6" x14ac:dyDescent="0.3">
      <c r="A5" t="s">
        <v>684</v>
      </c>
      <c r="B5" t="s">
        <v>634</v>
      </c>
    </row>
    <row r="6" spans="1:6" x14ac:dyDescent="0.3">
      <c r="A6" t="s">
        <v>685</v>
      </c>
      <c r="B6" t="s">
        <v>634</v>
      </c>
    </row>
    <row r="7" spans="1:6" x14ac:dyDescent="0.3">
      <c r="A7" t="s">
        <v>686</v>
      </c>
      <c r="B7" t="s">
        <v>634</v>
      </c>
    </row>
    <row r="8" spans="1:6" x14ac:dyDescent="0.3">
      <c r="A8" t="s">
        <v>687</v>
      </c>
      <c r="B8" t="s">
        <v>688</v>
      </c>
      <c r="D8" t="s">
        <v>689</v>
      </c>
      <c r="F8" t="s">
        <v>690</v>
      </c>
    </row>
    <row r="9" spans="1:6" x14ac:dyDescent="0.3">
      <c r="A9" t="s">
        <v>691</v>
      </c>
    </row>
    <row r="10" spans="1:6" x14ac:dyDescent="0.3">
      <c r="A10" t="s">
        <v>692</v>
      </c>
    </row>
    <row r="11" spans="1:6" x14ac:dyDescent="0.3">
      <c r="A11" t="s">
        <v>693</v>
      </c>
    </row>
    <row r="12" spans="1:6" x14ac:dyDescent="0.3">
      <c r="A12" t="s">
        <v>694</v>
      </c>
      <c r="B12">
        <v>0</v>
      </c>
      <c r="C12" t="s">
        <v>695</v>
      </c>
    </row>
    <row r="13" spans="1:6" x14ac:dyDescent="0.3">
      <c r="A13" t="s">
        <v>696</v>
      </c>
      <c r="B13" t="s">
        <v>697</v>
      </c>
    </row>
    <row r="15" spans="1:6" ht="17.399999999999999" x14ac:dyDescent="0.35">
      <c r="A15" s="56" t="s">
        <v>698</v>
      </c>
    </row>
    <row r="16" spans="1:6" x14ac:dyDescent="0.3">
      <c r="A16" t="s">
        <v>684</v>
      </c>
      <c r="B16" t="s">
        <v>634</v>
      </c>
    </row>
    <row r="17" spans="1:6" x14ac:dyDescent="0.3">
      <c r="A17" t="s">
        <v>685</v>
      </c>
      <c r="B17" t="s">
        <v>634</v>
      </c>
    </row>
    <row r="18" spans="1:6" x14ac:dyDescent="0.3">
      <c r="A18" t="s">
        <v>686</v>
      </c>
      <c r="B18" t="s">
        <v>634</v>
      </c>
    </row>
    <row r="19" spans="1:6" x14ac:dyDescent="0.3">
      <c r="A19" t="s">
        <v>687</v>
      </c>
      <c r="B19" t="s">
        <v>688</v>
      </c>
      <c r="D19" t="s">
        <v>689</v>
      </c>
      <c r="F19" t="s">
        <v>690</v>
      </c>
    </row>
    <row r="20" spans="1:6" x14ac:dyDescent="0.3">
      <c r="A20" t="s">
        <v>691</v>
      </c>
    </row>
    <row r="21" spans="1:6" x14ac:dyDescent="0.3">
      <c r="A21" t="s">
        <v>692</v>
      </c>
    </row>
    <row r="22" spans="1:6" x14ac:dyDescent="0.3">
      <c r="A22" t="s">
        <v>693</v>
      </c>
    </row>
    <row r="23" spans="1:6" x14ac:dyDescent="0.3">
      <c r="A23" t="s">
        <v>694</v>
      </c>
      <c r="B23">
        <v>0</v>
      </c>
    </row>
    <row r="24" spans="1:6" x14ac:dyDescent="0.3">
      <c r="A24" t="s">
        <v>696</v>
      </c>
      <c r="B24" t="s">
        <v>697</v>
      </c>
    </row>
    <row r="26" spans="1:6" ht="17.399999999999999" x14ac:dyDescent="0.35">
      <c r="A26" s="56" t="s">
        <v>699</v>
      </c>
    </row>
    <row r="27" spans="1:6" x14ac:dyDescent="0.3">
      <c r="A27" t="s">
        <v>684</v>
      </c>
      <c r="B27" t="s">
        <v>634</v>
      </c>
    </row>
    <row r="28" spans="1:6" x14ac:dyDescent="0.3">
      <c r="A28" t="s">
        <v>685</v>
      </c>
      <c r="B28" t="s">
        <v>634</v>
      </c>
    </row>
    <row r="29" spans="1:6" x14ac:dyDescent="0.3">
      <c r="A29" t="s">
        <v>686</v>
      </c>
      <c r="B29" t="s">
        <v>634</v>
      </c>
    </row>
    <row r="30" spans="1:6" x14ac:dyDescent="0.3">
      <c r="A30" t="s">
        <v>687</v>
      </c>
      <c r="B30" t="s">
        <v>688</v>
      </c>
      <c r="D30" t="s">
        <v>689</v>
      </c>
      <c r="F30" t="s">
        <v>690</v>
      </c>
    </row>
    <row r="31" spans="1:6" x14ac:dyDescent="0.3">
      <c r="A31" t="s">
        <v>691</v>
      </c>
    </row>
    <row r="32" spans="1:6" x14ac:dyDescent="0.3">
      <c r="A32" t="s">
        <v>692</v>
      </c>
    </row>
    <row r="33" spans="1:6" x14ac:dyDescent="0.3">
      <c r="A33" t="s">
        <v>693</v>
      </c>
    </row>
    <row r="34" spans="1:6" x14ac:dyDescent="0.3">
      <c r="A34" t="s">
        <v>694</v>
      </c>
      <c r="B34">
        <v>0</v>
      </c>
    </row>
    <row r="35" spans="1:6" x14ac:dyDescent="0.3">
      <c r="A35" t="s">
        <v>696</v>
      </c>
      <c r="B35" t="s">
        <v>697</v>
      </c>
    </row>
    <row r="37" spans="1:6" ht="17.399999999999999" x14ac:dyDescent="0.35">
      <c r="A37" s="56" t="s">
        <v>700</v>
      </c>
    </row>
    <row r="38" spans="1:6" x14ac:dyDescent="0.3">
      <c r="A38" t="s">
        <v>684</v>
      </c>
      <c r="B38" t="s">
        <v>634</v>
      </c>
    </row>
    <row r="39" spans="1:6" x14ac:dyDescent="0.3">
      <c r="A39" t="s">
        <v>685</v>
      </c>
      <c r="B39" t="s">
        <v>634</v>
      </c>
    </row>
    <row r="40" spans="1:6" x14ac:dyDescent="0.3">
      <c r="A40" t="s">
        <v>686</v>
      </c>
      <c r="B40" t="s">
        <v>634</v>
      </c>
    </row>
    <row r="41" spans="1:6" x14ac:dyDescent="0.3">
      <c r="A41" t="s">
        <v>687</v>
      </c>
      <c r="B41" t="s">
        <v>688</v>
      </c>
      <c r="D41" t="s">
        <v>689</v>
      </c>
      <c r="F41" t="s">
        <v>690</v>
      </c>
    </row>
    <row r="42" spans="1:6" x14ac:dyDescent="0.3">
      <c r="A42" t="s">
        <v>691</v>
      </c>
    </row>
    <row r="43" spans="1:6" x14ac:dyDescent="0.3">
      <c r="A43" t="s">
        <v>692</v>
      </c>
    </row>
    <row r="44" spans="1:6" x14ac:dyDescent="0.3">
      <c r="A44" t="s">
        <v>693</v>
      </c>
    </row>
    <row r="45" spans="1:6" x14ac:dyDescent="0.3">
      <c r="A45" t="s">
        <v>694</v>
      </c>
      <c r="B45">
        <v>0</v>
      </c>
    </row>
    <row r="46" spans="1:6" x14ac:dyDescent="0.3">
      <c r="A46" t="s">
        <v>696</v>
      </c>
      <c r="B46" t="s">
        <v>697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E5BD2-C9CF-4B9B-B14B-85DDADC38563}">
  <dimension ref="A1:H50"/>
  <sheetViews>
    <sheetView workbookViewId="0"/>
  </sheetViews>
  <sheetFormatPr defaultRowHeight="14.4" x14ac:dyDescent="0.3"/>
  <sheetData>
    <row r="1" spans="1:8" ht="21" x14ac:dyDescent="0.4">
      <c r="A1" s="1" t="s">
        <v>647</v>
      </c>
    </row>
    <row r="3" spans="1:8" ht="18" x14ac:dyDescent="0.35">
      <c r="A3" s="8" t="s">
        <v>648</v>
      </c>
      <c r="B3" s="22" t="s">
        <v>633</v>
      </c>
      <c r="D3" s="8" t="s">
        <v>613</v>
      </c>
      <c r="E3" s="22">
        <v>1</v>
      </c>
      <c r="G3" s="8" t="s">
        <v>614</v>
      </c>
      <c r="H3" s="4" t="s">
        <v>649</v>
      </c>
    </row>
    <row r="5" spans="1:8" ht="15.6" x14ac:dyDescent="0.3">
      <c r="A5" s="52" t="s">
        <v>650</v>
      </c>
    </row>
    <row r="6" spans="1:8" x14ac:dyDescent="0.3">
      <c r="A6" t="s">
        <v>651</v>
      </c>
      <c r="B6" s="13" t="s">
        <v>652</v>
      </c>
    </row>
    <row r="7" spans="1:8" x14ac:dyDescent="0.3">
      <c r="A7" t="s">
        <v>653</v>
      </c>
    </row>
    <row r="8" spans="1:8" x14ac:dyDescent="0.3">
      <c r="A8" t="s">
        <v>654</v>
      </c>
    </row>
    <row r="10" spans="1:8" ht="15.6" x14ac:dyDescent="0.3">
      <c r="A10" s="52" t="s">
        <v>655</v>
      </c>
    </row>
    <row r="11" spans="1:8" x14ac:dyDescent="0.3">
      <c r="A11" t="s">
        <v>656</v>
      </c>
      <c r="B11" t="s">
        <v>657</v>
      </c>
    </row>
    <row r="12" spans="1:8" x14ac:dyDescent="0.3">
      <c r="A12" t="s">
        <v>658</v>
      </c>
    </row>
    <row r="14" spans="1:8" ht="15.6" x14ac:dyDescent="0.3">
      <c r="A14" s="53" t="s">
        <v>659</v>
      </c>
    </row>
    <row r="15" spans="1:8" x14ac:dyDescent="0.3">
      <c r="A15" t="s">
        <v>660</v>
      </c>
    </row>
    <row r="16" spans="1:8" x14ac:dyDescent="0.3">
      <c r="A16" t="s">
        <v>661</v>
      </c>
    </row>
    <row r="17" spans="1:3" x14ac:dyDescent="0.3">
      <c r="A17" t="s">
        <v>662</v>
      </c>
      <c r="B17" t="s">
        <v>663</v>
      </c>
      <c r="C17" t="s">
        <v>664</v>
      </c>
    </row>
    <row r="18" spans="1:3" x14ac:dyDescent="0.3">
      <c r="B18" t="s">
        <v>665</v>
      </c>
      <c r="C18" t="s">
        <v>664</v>
      </c>
    </row>
    <row r="19" spans="1:3" x14ac:dyDescent="0.3">
      <c r="B19" t="s">
        <v>666</v>
      </c>
      <c r="C19" t="s">
        <v>664</v>
      </c>
    </row>
    <row r="21" spans="1:3" ht="15.6" x14ac:dyDescent="0.3">
      <c r="A21" s="52" t="s">
        <v>667</v>
      </c>
    </row>
    <row r="22" spans="1:3" x14ac:dyDescent="0.3">
      <c r="A22" t="s">
        <v>668</v>
      </c>
      <c r="B22" t="s">
        <v>669</v>
      </c>
    </row>
    <row r="23" spans="1:3" x14ac:dyDescent="0.3">
      <c r="A23" t="s">
        <v>670</v>
      </c>
    </row>
    <row r="25" spans="1:3" ht="15.6" x14ac:dyDescent="0.3">
      <c r="A25" s="54" t="s">
        <v>671</v>
      </c>
    </row>
    <row r="26" spans="1:3" x14ac:dyDescent="0.3">
      <c r="A26" t="s">
        <v>672</v>
      </c>
      <c r="B26" t="s">
        <v>673</v>
      </c>
    </row>
    <row r="27" spans="1:3" x14ac:dyDescent="0.3">
      <c r="A27" t="s">
        <v>674</v>
      </c>
      <c r="B27" t="s">
        <v>675</v>
      </c>
    </row>
    <row r="29" spans="1:3" ht="15.6" x14ac:dyDescent="0.3">
      <c r="A29" s="55" t="s">
        <v>676</v>
      </c>
    </row>
    <row r="30" spans="1:3" x14ac:dyDescent="0.3">
      <c r="A30" t="s">
        <v>677</v>
      </c>
      <c r="B30" t="s">
        <v>678</v>
      </c>
    </row>
    <row r="31" spans="1:3" x14ac:dyDescent="0.3">
      <c r="A31" t="s">
        <v>679</v>
      </c>
    </row>
    <row r="32" spans="1:3" x14ac:dyDescent="0.3">
      <c r="A32" t="s">
        <v>680</v>
      </c>
    </row>
    <row r="35" spans="1:6" x14ac:dyDescent="0.3">
      <c r="A35" s="26" t="s">
        <v>1003</v>
      </c>
    </row>
    <row r="37" spans="1:6" x14ac:dyDescent="0.3">
      <c r="B37" s="58" t="s">
        <v>1004</v>
      </c>
      <c r="D37" s="59" t="s">
        <v>1005</v>
      </c>
      <c r="F37" s="60" t="s">
        <v>1006</v>
      </c>
    </row>
    <row r="39" spans="1:6" x14ac:dyDescent="0.3">
      <c r="B39" s="61" t="s">
        <v>1007</v>
      </c>
      <c r="D39" s="62" t="s">
        <v>1008</v>
      </c>
      <c r="F39" s="63" t="s">
        <v>1009</v>
      </c>
    </row>
    <row r="41" spans="1:6" x14ac:dyDescent="0.3">
      <c r="A41" t="s">
        <v>1010</v>
      </c>
    </row>
    <row r="42" spans="1:6" x14ac:dyDescent="0.3">
      <c r="A42" t="s">
        <v>1011</v>
      </c>
    </row>
    <row r="43" spans="1:6" x14ac:dyDescent="0.3">
      <c r="A43" t="s">
        <v>1012</v>
      </c>
    </row>
    <row r="44" spans="1:6" x14ac:dyDescent="0.3">
      <c r="A44" t="s">
        <v>1013</v>
      </c>
    </row>
    <row r="45" spans="1:6" x14ac:dyDescent="0.3">
      <c r="A45" t="s">
        <v>1014</v>
      </c>
    </row>
    <row r="46" spans="1:6" x14ac:dyDescent="0.3">
      <c r="A46" t="s">
        <v>1015</v>
      </c>
    </row>
    <row r="47" spans="1:6" x14ac:dyDescent="0.3">
      <c r="A47" t="s">
        <v>1016</v>
      </c>
    </row>
    <row r="48" spans="1:6" x14ac:dyDescent="0.3">
      <c r="A48" t="s">
        <v>1017</v>
      </c>
    </row>
    <row r="49" spans="1:1" x14ac:dyDescent="0.3">
      <c r="A49" t="s">
        <v>1018</v>
      </c>
    </row>
    <row r="50" spans="1:1" x14ac:dyDescent="0.3">
      <c r="A50" t="s">
        <v>1019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C130-E142-43BB-8F13-230F3C1C670A}">
  <dimension ref="A1:H41"/>
  <sheetViews>
    <sheetView workbookViewId="0"/>
  </sheetViews>
  <sheetFormatPr defaultRowHeight="14.4" x14ac:dyDescent="0.3"/>
  <sheetData>
    <row r="1" spans="1:8" x14ac:dyDescent="0.3">
      <c r="A1" t="s">
        <v>560</v>
      </c>
      <c r="B1" t="s">
        <v>561</v>
      </c>
      <c r="C1" t="s">
        <v>562</v>
      </c>
      <c r="D1" t="s">
        <v>563</v>
      </c>
      <c r="E1" t="s">
        <v>564</v>
      </c>
      <c r="F1" t="s">
        <v>565</v>
      </c>
      <c r="G1" t="s">
        <v>566</v>
      </c>
      <c r="H1" t="s">
        <v>567</v>
      </c>
    </row>
    <row r="2" spans="1:8" x14ac:dyDescent="0.3">
      <c r="A2" t="s">
        <v>80</v>
      </c>
      <c r="B2" t="s">
        <v>111</v>
      </c>
      <c r="C2" t="s">
        <v>143</v>
      </c>
      <c r="D2" t="s">
        <v>226</v>
      </c>
      <c r="E2" t="s">
        <v>182</v>
      </c>
      <c r="F2" t="s">
        <v>183</v>
      </c>
      <c r="G2" t="s">
        <v>568</v>
      </c>
      <c r="H2" t="s">
        <v>569</v>
      </c>
    </row>
    <row r="3" spans="1:8" x14ac:dyDescent="0.3">
      <c r="A3" t="s">
        <v>80</v>
      </c>
      <c r="B3" t="s">
        <v>111</v>
      </c>
      <c r="C3" t="s">
        <v>149</v>
      </c>
      <c r="D3" t="s">
        <v>455</v>
      </c>
      <c r="E3" t="s">
        <v>188</v>
      </c>
      <c r="F3" t="s">
        <v>183</v>
      </c>
      <c r="G3" t="s">
        <v>570</v>
      </c>
      <c r="H3" t="s">
        <v>191</v>
      </c>
    </row>
    <row r="4" spans="1:8" x14ac:dyDescent="0.3">
      <c r="A4" t="s">
        <v>80</v>
      </c>
      <c r="B4" t="s">
        <v>117</v>
      </c>
      <c r="C4" t="s">
        <v>153</v>
      </c>
      <c r="D4" t="s">
        <v>341</v>
      </c>
      <c r="E4" t="s">
        <v>188</v>
      </c>
      <c r="F4" t="s">
        <v>183</v>
      </c>
      <c r="G4" t="s">
        <v>570</v>
      </c>
      <c r="H4" t="s">
        <v>191</v>
      </c>
    </row>
    <row r="5" spans="1:8" x14ac:dyDescent="0.3">
      <c r="A5" t="s">
        <v>86</v>
      </c>
      <c r="B5" t="s">
        <v>117</v>
      </c>
      <c r="C5" t="s">
        <v>157</v>
      </c>
      <c r="D5" t="s">
        <v>349</v>
      </c>
      <c r="E5" t="s">
        <v>193</v>
      </c>
      <c r="F5" t="s">
        <v>183</v>
      </c>
      <c r="G5" t="s">
        <v>195</v>
      </c>
      <c r="H5" t="s">
        <v>191</v>
      </c>
    </row>
    <row r="6" spans="1:8" x14ac:dyDescent="0.3">
      <c r="A6" t="s">
        <v>86</v>
      </c>
      <c r="B6" t="s">
        <v>121</v>
      </c>
      <c r="C6" t="s">
        <v>161</v>
      </c>
      <c r="D6" t="s">
        <v>464</v>
      </c>
      <c r="E6" t="s">
        <v>197</v>
      </c>
      <c r="F6" t="s">
        <v>183</v>
      </c>
      <c r="G6" t="s">
        <v>199</v>
      </c>
      <c r="H6" t="s">
        <v>571</v>
      </c>
    </row>
    <row r="7" spans="1:8" x14ac:dyDescent="0.3">
      <c r="A7" t="s">
        <v>86</v>
      </c>
      <c r="B7" t="s">
        <v>121</v>
      </c>
      <c r="C7" t="s">
        <v>165</v>
      </c>
      <c r="D7" t="s">
        <v>338</v>
      </c>
      <c r="E7" t="s">
        <v>202</v>
      </c>
      <c r="F7" t="s">
        <v>183</v>
      </c>
      <c r="G7" t="s">
        <v>572</v>
      </c>
      <c r="H7" t="s">
        <v>191</v>
      </c>
    </row>
    <row r="8" spans="1:8" x14ac:dyDescent="0.3">
      <c r="A8" t="s">
        <v>86</v>
      </c>
      <c r="B8" t="s">
        <v>125</v>
      </c>
      <c r="C8" t="s">
        <v>169</v>
      </c>
      <c r="D8" t="s">
        <v>469</v>
      </c>
      <c r="E8" t="s">
        <v>202</v>
      </c>
      <c r="F8" t="s">
        <v>183</v>
      </c>
      <c r="G8" t="s">
        <v>572</v>
      </c>
      <c r="H8" t="s">
        <v>191</v>
      </c>
    </row>
    <row r="9" spans="1:8" x14ac:dyDescent="0.3">
      <c r="A9" t="s">
        <v>90</v>
      </c>
      <c r="B9" t="s">
        <v>125</v>
      </c>
      <c r="C9" t="s">
        <v>173</v>
      </c>
      <c r="E9" t="s">
        <v>206</v>
      </c>
      <c r="F9" t="s">
        <v>183</v>
      </c>
      <c r="G9" t="s">
        <v>573</v>
      </c>
      <c r="H9" t="s">
        <v>191</v>
      </c>
    </row>
    <row r="10" spans="1:8" x14ac:dyDescent="0.3">
      <c r="A10" t="s">
        <v>90</v>
      </c>
      <c r="B10" t="s">
        <v>129</v>
      </c>
      <c r="C10" t="s">
        <v>177</v>
      </c>
      <c r="E10" t="s">
        <v>209</v>
      </c>
      <c r="F10" t="s">
        <v>183</v>
      </c>
      <c r="G10" t="s">
        <v>210</v>
      </c>
      <c r="H10" t="s">
        <v>211</v>
      </c>
    </row>
    <row r="11" spans="1:8" x14ac:dyDescent="0.3">
      <c r="A11" t="s">
        <v>90</v>
      </c>
      <c r="B11" t="s">
        <v>129</v>
      </c>
      <c r="E11" t="s">
        <v>574</v>
      </c>
      <c r="F11" t="s">
        <v>183</v>
      </c>
      <c r="G11" t="s">
        <v>575</v>
      </c>
      <c r="H11" t="s">
        <v>191</v>
      </c>
    </row>
    <row r="12" spans="1:8" x14ac:dyDescent="0.3">
      <c r="A12" t="s">
        <v>94</v>
      </c>
      <c r="B12" t="s">
        <v>138</v>
      </c>
      <c r="E12" t="s">
        <v>214</v>
      </c>
      <c r="F12" t="s">
        <v>215</v>
      </c>
      <c r="G12" t="s">
        <v>217</v>
      </c>
      <c r="H12" t="s">
        <v>576</v>
      </c>
    </row>
    <row r="13" spans="1:8" x14ac:dyDescent="0.3">
      <c r="A13" t="s">
        <v>94</v>
      </c>
      <c r="B13" t="s">
        <v>133</v>
      </c>
      <c r="E13" t="s">
        <v>214</v>
      </c>
      <c r="F13" t="s">
        <v>215</v>
      </c>
      <c r="G13" t="s">
        <v>217</v>
      </c>
      <c r="H13" t="s">
        <v>576</v>
      </c>
    </row>
    <row r="14" spans="1:8" x14ac:dyDescent="0.3">
      <c r="A14" t="s">
        <v>94</v>
      </c>
      <c r="E14" t="s">
        <v>220</v>
      </c>
      <c r="F14" t="s">
        <v>215</v>
      </c>
      <c r="G14" t="s">
        <v>222</v>
      </c>
      <c r="H14" t="s">
        <v>223</v>
      </c>
    </row>
    <row r="15" spans="1:8" x14ac:dyDescent="0.3">
      <c r="A15" t="s">
        <v>98</v>
      </c>
      <c r="E15" t="s">
        <v>220</v>
      </c>
      <c r="F15" t="s">
        <v>215</v>
      </c>
      <c r="G15" t="s">
        <v>222</v>
      </c>
      <c r="H15" t="s">
        <v>223</v>
      </c>
    </row>
    <row r="16" spans="1:8" x14ac:dyDescent="0.3">
      <c r="A16" t="s">
        <v>98</v>
      </c>
      <c r="E16" t="s">
        <v>225</v>
      </c>
      <c r="F16" t="s">
        <v>215</v>
      </c>
      <c r="G16" t="s">
        <v>227</v>
      </c>
      <c r="H16" t="s">
        <v>228</v>
      </c>
    </row>
    <row r="17" spans="1:8" x14ac:dyDescent="0.3">
      <c r="A17" t="s">
        <v>102</v>
      </c>
      <c r="E17" t="s">
        <v>230</v>
      </c>
      <c r="F17" t="s">
        <v>215</v>
      </c>
      <c r="G17" t="s">
        <v>232</v>
      </c>
      <c r="H17" t="s">
        <v>577</v>
      </c>
    </row>
    <row r="18" spans="1:8" x14ac:dyDescent="0.3">
      <c r="A18" t="s">
        <v>106</v>
      </c>
      <c r="E18" t="s">
        <v>236</v>
      </c>
      <c r="F18" t="s">
        <v>237</v>
      </c>
      <c r="G18" t="s">
        <v>578</v>
      </c>
      <c r="H18" t="s">
        <v>579</v>
      </c>
    </row>
    <row r="19" spans="1:8" x14ac:dyDescent="0.3">
      <c r="E19" t="s">
        <v>236</v>
      </c>
      <c r="F19" t="s">
        <v>237</v>
      </c>
      <c r="G19" t="s">
        <v>578</v>
      </c>
      <c r="H19" t="s">
        <v>579</v>
      </c>
    </row>
    <row r="20" spans="1:8" x14ac:dyDescent="0.3">
      <c r="E20" t="s">
        <v>240</v>
      </c>
      <c r="F20" t="s">
        <v>237</v>
      </c>
      <c r="G20" t="s">
        <v>580</v>
      </c>
      <c r="H20" t="s">
        <v>581</v>
      </c>
    </row>
    <row r="21" spans="1:8" x14ac:dyDescent="0.3">
      <c r="E21" t="s">
        <v>240</v>
      </c>
      <c r="F21" t="s">
        <v>237</v>
      </c>
      <c r="G21" t="s">
        <v>580</v>
      </c>
      <c r="H21" t="s">
        <v>581</v>
      </c>
    </row>
    <row r="22" spans="1:8" x14ac:dyDescent="0.3">
      <c r="E22" t="s">
        <v>245</v>
      </c>
      <c r="F22" t="s">
        <v>237</v>
      </c>
      <c r="G22" t="s">
        <v>582</v>
      </c>
      <c r="H22" t="s">
        <v>191</v>
      </c>
    </row>
    <row r="23" spans="1:8" x14ac:dyDescent="0.3">
      <c r="E23" t="s">
        <v>248</v>
      </c>
      <c r="F23" t="s">
        <v>237</v>
      </c>
      <c r="G23" t="s">
        <v>583</v>
      </c>
      <c r="H23" t="s">
        <v>191</v>
      </c>
    </row>
    <row r="24" spans="1:8" x14ac:dyDescent="0.3">
      <c r="E24" t="s">
        <v>251</v>
      </c>
      <c r="F24" t="s">
        <v>237</v>
      </c>
      <c r="G24" t="s">
        <v>584</v>
      </c>
      <c r="H24" t="s">
        <v>585</v>
      </c>
    </row>
    <row r="25" spans="1:8" x14ac:dyDescent="0.3">
      <c r="E25" t="s">
        <v>256</v>
      </c>
      <c r="F25" t="s">
        <v>237</v>
      </c>
      <c r="G25" t="s">
        <v>586</v>
      </c>
      <c r="H25" t="s">
        <v>587</v>
      </c>
    </row>
    <row r="26" spans="1:8" x14ac:dyDescent="0.3">
      <c r="E26" t="s">
        <v>262</v>
      </c>
      <c r="F26" t="s">
        <v>263</v>
      </c>
      <c r="G26" t="s">
        <v>265</v>
      </c>
      <c r="H26" t="s">
        <v>191</v>
      </c>
    </row>
    <row r="27" spans="1:8" x14ac:dyDescent="0.3">
      <c r="E27" t="s">
        <v>262</v>
      </c>
      <c r="F27" t="s">
        <v>263</v>
      </c>
      <c r="G27" t="s">
        <v>265</v>
      </c>
      <c r="H27" t="s">
        <v>191</v>
      </c>
    </row>
    <row r="28" spans="1:8" x14ac:dyDescent="0.3">
      <c r="E28" t="s">
        <v>267</v>
      </c>
      <c r="F28" t="s">
        <v>263</v>
      </c>
      <c r="G28" t="s">
        <v>588</v>
      </c>
      <c r="H28" t="s">
        <v>191</v>
      </c>
    </row>
    <row r="29" spans="1:8" x14ac:dyDescent="0.3">
      <c r="E29" t="s">
        <v>267</v>
      </c>
      <c r="F29" t="s">
        <v>263</v>
      </c>
      <c r="G29" t="s">
        <v>588</v>
      </c>
      <c r="H29" t="s">
        <v>191</v>
      </c>
    </row>
    <row r="30" spans="1:8" x14ac:dyDescent="0.3">
      <c r="E30" t="s">
        <v>271</v>
      </c>
      <c r="F30" t="s">
        <v>263</v>
      </c>
      <c r="G30" t="s">
        <v>589</v>
      </c>
      <c r="H30" t="s">
        <v>590</v>
      </c>
    </row>
    <row r="31" spans="1:8" x14ac:dyDescent="0.3">
      <c r="E31" t="s">
        <v>271</v>
      </c>
      <c r="F31" t="s">
        <v>263</v>
      </c>
      <c r="G31" t="s">
        <v>589</v>
      </c>
      <c r="H31" t="s">
        <v>590</v>
      </c>
    </row>
    <row r="32" spans="1:8" x14ac:dyDescent="0.3">
      <c r="E32" t="s">
        <v>277</v>
      </c>
      <c r="F32" t="s">
        <v>278</v>
      </c>
      <c r="G32" t="s">
        <v>280</v>
      </c>
      <c r="H32" t="s">
        <v>591</v>
      </c>
    </row>
    <row r="33" spans="5:8" x14ac:dyDescent="0.3">
      <c r="E33" t="s">
        <v>282</v>
      </c>
      <c r="F33" t="s">
        <v>278</v>
      </c>
      <c r="G33" t="s">
        <v>592</v>
      </c>
      <c r="H33" t="s">
        <v>593</v>
      </c>
    </row>
    <row r="34" spans="5:8" x14ac:dyDescent="0.3">
      <c r="E34" t="s">
        <v>287</v>
      </c>
      <c r="F34" t="s">
        <v>278</v>
      </c>
      <c r="G34" t="s">
        <v>594</v>
      </c>
      <c r="H34" t="s">
        <v>191</v>
      </c>
    </row>
    <row r="35" spans="5:8" x14ac:dyDescent="0.3">
      <c r="E35" t="s">
        <v>290</v>
      </c>
      <c r="F35" t="s">
        <v>278</v>
      </c>
      <c r="G35" t="s">
        <v>595</v>
      </c>
      <c r="H35" t="s">
        <v>596</v>
      </c>
    </row>
    <row r="36" spans="5:8" x14ac:dyDescent="0.3">
      <c r="E36" t="s">
        <v>294</v>
      </c>
      <c r="F36" t="s">
        <v>278</v>
      </c>
      <c r="G36" t="s">
        <v>597</v>
      </c>
      <c r="H36" t="s">
        <v>297</v>
      </c>
    </row>
    <row r="37" spans="5:8" x14ac:dyDescent="0.3">
      <c r="E37" t="s">
        <v>299</v>
      </c>
      <c r="F37" t="s">
        <v>278</v>
      </c>
      <c r="G37" t="s">
        <v>598</v>
      </c>
      <c r="H37" t="s">
        <v>599</v>
      </c>
    </row>
    <row r="38" spans="5:8" x14ac:dyDescent="0.3">
      <c r="E38" t="s">
        <v>600</v>
      </c>
      <c r="F38" t="s">
        <v>601</v>
      </c>
      <c r="G38" t="s">
        <v>602</v>
      </c>
      <c r="H38" t="s">
        <v>603</v>
      </c>
    </row>
    <row r="39" spans="5:8" x14ac:dyDescent="0.3">
      <c r="E39" t="s">
        <v>604</v>
      </c>
      <c r="F39" t="s">
        <v>601</v>
      </c>
      <c r="G39" t="s">
        <v>605</v>
      </c>
      <c r="H39" t="s">
        <v>606</v>
      </c>
    </row>
    <row r="40" spans="5:8" x14ac:dyDescent="0.3">
      <c r="E40" t="s">
        <v>607</v>
      </c>
      <c r="F40" t="s">
        <v>601</v>
      </c>
      <c r="G40" t="s">
        <v>608</v>
      </c>
      <c r="H40" t="s">
        <v>609</v>
      </c>
    </row>
    <row r="41" spans="5:8" x14ac:dyDescent="0.3">
      <c r="E41" t="s">
        <v>610</v>
      </c>
      <c r="F41" t="s">
        <v>601</v>
      </c>
      <c r="G41" t="s">
        <v>611</v>
      </c>
      <c r="H41" t="s">
        <v>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949B-7DAE-4589-9635-27A6DA2C10D7}">
  <dimension ref="A1:A405"/>
  <sheetViews>
    <sheetView tabSelected="1" workbookViewId="0">
      <selection activeCell="A6" sqref="A6"/>
    </sheetView>
  </sheetViews>
  <sheetFormatPr defaultRowHeight="14.4" x14ac:dyDescent="0.3"/>
  <cols>
    <col min="1" max="1" width="138.88671875" customWidth="1"/>
  </cols>
  <sheetData>
    <row r="1" spans="1:1" ht="15.6" x14ac:dyDescent="0.3">
      <c r="A1" s="57" t="s">
        <v>1020</v>
      </c>
    </row>
    <row r="2" spans="1:1" x14ac:dyDescent="0.3">
      <c r="A2" s="2" t="s">
        <v>701</v>
      </c>
    </row>
    <row r="3" spans="1:1" x14ac:dyDescent="0.3">
      <c r="A3" t="s">
        <v>702</v>
      </c>
    </row>
    <row r="4" spans="1:1" x14ac:dyDescent="0.3">
      <c r="A4" s="51" t="s">
        <v>703</v>
      </c>
    </row>
    <row r="5" spans="1:1" x14ac:dyDescent="0.3">
      <c r="A5" s="51" t="s">
        <v>704</v>
      </c>
    </row>
    <row r="6" spans="1:1" x14ac:dyDescent="0.3">
      <c r="A6" s="51" t="s">
        <v>703</v>
      </c>
    </row>
    <row r="8" spans="1:1" x14ac:dyDescent="0.3">
      <c r="A8" s="51" t="s">
        <v>705</v>
      </c>
    </row>
    <row r="9" spans="1:1" x14ac:dyDescent="0.3">
      <c r="A9" t="s">
        <v>706</v>
      </c>
    </row>
    <row r="10" spans="1:1" x14ac:dyDescent="0.3">
      <c r="A10" t="s">
        <v>707</v>
      </c>
    </row>
    <row r="11" spans="1:1" x14ac:dyDescent="0.3">
      <c r="A11" t="s">
        <v>708</v>
      </c>
    </row>
    <row r="12" spans="1:1" x14ac:dyDescent="0.3">
      <c r="A12" t="s">
        <v>709</v>
      </c>
    </row>
    <row r="13" spans="1:1" x14ac:dyDescent="0.3">
      <c r="A13" t="s">
        <v>710</v>
      </c>
    </row>
    <row r="14" spans="1:1" x14ac:dyDescent="0.3">
      <c r="A14" t="s">
        <v>711</v>
      </c>
    </row>
    <row r="15" spans="1:1" x14ac:dyDescent="0.3">
      <c r="A15" t="s">
        <v>712</v>
      </c>
    </row>
    <row r="17" spans="1:1" x14ac:dyDescent="0.3">
      <c r="A17" t="s">
        <v>713</v>
      </c>
    </row>
    <row r="19" spans="1:1" x14ac:dyDescent="0.3">
      <c r="A19" t="s">
        <v>714</v>
      </c>
    </row>
    <row r="20" spans="1:1" x14ac:dyDescent="0.3">
      <c r="A20" t="s">
        <v>715</v>
      </c>
    </row>
    <row r="21" spans="1:1" x14ac:dyDescent="0.3">
      <c r="A21" t="s">
        <v>716</v>
      </c>
    </row>
    <row r="22" spans="1:1" x14ac:dyDescent="0.3">
      <c r="A22" t="s">
        <v>717</v>
      </c>
    </row>
    <row r="23" spans="1:1" x14ac:dyDescent="0.3">
      <c r="A23" t="s">
        <v>718</v>
      </c>
    </row>
    <row r="24" spans="1:1" x14ac:dyDescent="0.3">
      <c r="A24" t="s">
        <v>719</v>
      </c>
    </row>
    <row r="25" spans="1:1" x14ac:dyDescent="0.3">
      <c r="A25" t="s">
        <v>720</v>
      </c>
    </row>
    <row r="27" spans="1:1" x14ac:dyDescent="0.3">
      <c r="A27" t="s">
        <v>721</v>
      </c>
    </row>
    <row r="28" spans="1:1" x14ac:dyDescent="0.3">
      <c r="A28" t="s">
        <v>722</v>
      </c>
    </row>
    <row r="29" spans="1:1" x14ac:dyDescent="0.3">
      <c r="A29" t="s">
        <v>723</v>
      </c>
    </row>
    <row r="30" spans="1:1" x14ac:dyDescent="0.3">
      <c r="A30" t="s">
        <v>724</v>
      </c>
    </row>
    <row r="31" spans="1:1" x14ac:dyDescent="0.3">
      <c r="A31" t="s">
        <v>719</v>
      </c>
    </row>
    <row r="32" spans="1:1" x14ac:dyDescent="0.3">
      <c r="A32" t="s">
        <v>725</v>
      </c>
    </row>
    <row r="34" spans="1:1" x14ac:dyDescent="0.3">
      <c r="A34" t="s">
        <v>726</v>
      </c>
    </row>
    <row r="35" spans="1:1" x14ac:dyDescent="0.3">
      <c r="A35" t="s">
        <v>727</v>
      </c>
    </row>
    <row r="36" spans="1:1" x14ac:dyDescent="0.3">
      <c r="A36" t="s">
        <v>728</v>
      </c>
    </row>
    <row r="37" spans="1:1" x14ac:dyDescent="0.3">
      <c r="A37" t="s">
        <v>729</v>
      </c>
    </row>
    <row r="38" spans="1:1" x14ac:dyDescent="0.3">
      <c r="A38" t="s">
        <v>719</v>
      </c>
    </row>
    <row r="39" spans="1:1" x14ac:dyDescent="0.3">
      <c r="A39" t="s">
        <v>730</v>
      </c>
    </row>
    <row r="41" spans="1:1" x14ac:dyDescent="0.3">
      <c r="A41" t="s">
        <v>731</v>
      </c>
    </row>
    <row r="42" spans="1:1" x14ac:dyDescent="0.3">
      <c r="A42" t="s">
        <v>732</v>
      </c>
    </row>
    <row r="43" spans="1:1" x14ac:dyDescent="0.3">
      <c r="A43" t="s">
        <v>733</v>
      </c>
    </row>
    <row r="44" spans="1:1" x14ac:dyDescent="0.3">
      <c r="A44" t="s">
        <v>734</v>
      </c>
    </row>
    <row r="45" spans="1:1" x14ac:dyDescent="0.3">
      <c r="A45" t="s">
        <v>735</v>
      </c>
    </row>
    <row r="46" spans="1:1" x14ac:dyDescent="0.3">
      <c r="A46" t="s">
        <v>736</v>
      </c>
    </row>
    <row r="47" spans="1:1" x14ac:dyDescent="0.3">
      <c r="A47" t="s">
        <v>737</v>
      </c>
    </row>
    <row r="48" spans="1:1" x14ac:dyDescent="0.3">
      <c r="A48" t="s">
        <v>738</v>
      </c>
    </row>
    <row r="49" spans="1:1" x14ac:dyDescent="0.3">
      <c r="A49" t="s">
        <v>739</v>
      </c>
    </row>
    <row r="50" spans="1:1" x14ac:dyDescent="0.3">
      <c r="A50" t="s">
        <v>740</v>
      </c>
    </row>
    <row r="51" spans="1:1" x14ac:dyDescent="0.3">
      <c r="A51" t="s">
        <v>741</v>
      </c>
    </row>
    <row r="52" spans="1:1" x14ac:dyDescent="0.3">
      <c r="A52" t="s">
        <v>742</v>
      </c>
    </row>
    <row r="53" spans="1:1" x14ac:dyDescent="0.3">
      <c r="A53" t="s">
        <v>743</v>
      </c>
    </row>
    <row r="54" spans="1:1" x14ac:dyDescent="0.3">
      <c r="A54" t="s">
        <v>744</v>
      </c>
    </row>
    <row r="55" spans="1:1" x14ac:dyDescent="0.3">
      <c r="A55" t="s">
        <v>745</v>
      </c>
    </row>
    <row r="56" spans="1:1" x14ac:dyDescent="0.3">
      <c r="A56" t="s">
        <v>746</v>
      </c>
    </row>
    <row r="57" spans="1:1" x14ac:dyDescent="0.3">
      <c r="A57" t="s">
        <v>747</v>
      </c>
    </row>
    <row r="58" spans="1:1" x14ac:dyDescent="0.3">
      <c r="A58" t="s">
        <v>748</v>
      </c>
    </row>
    <row r="59" spans="1:1" x14ac:dyDescent="0.3">
      <c r="A59" t="s">
        <v>749</v>
      </c>
    </row>
    <row r="60" spans="1:1" x14ac:dyDescent="0.3">
      <c r="A60" t="s">
        <v>750</v>
      </c>
    </row>
    <row r="61" spans="1:1" x14ac:dyDescent="0.3">
      <c r="A61" t="s">
        <v>751</v>
      </c>
    </row>
    <row r="63" spans="1:1" x14ac:dyDescent="0.3">
      <c r="A63" t="s">
        <v>752</v>
      </c>
    </row>
    <row r="64" spans="1:1" x14ac:dyDescent="0.3">
      <c r="A64" t="s">
        <v>753</v>
      </c>
    </row>
    <row r="65" spans="1:1" x14ac:dyDescent="0.3">
      <c r="A65" t="s">
        <v>754</v>
      </c>
    </row>
    <row r="66" spans="1:1" x14ac:dyDescent="0.3">
      <c r="A66" t="s">
        <v>755</v>
      </c>
    </row>
    <row r="67" spans="1:1" x14ac:dyDescent="0.3">
      <c r="A67" t="s">
        <v>756</v>
      </c>
    </row>
    <row r="69" spans="1:1" x14ac:dyDescent="0.3">
      <c r="A69" t="s">
        <v>757</v>
      </c>
    </row>
    <row r="70" spans="1:1" x14ac:dyDescent="0.3">
      <c r="A70" t="s">
        <v>758</v>
      </c>
    </row>
    <row r="71" spans="1:1" x14ac:dyDescent="0.3">
      <c r="A71" t="s">
        <v>759</v>
      </c>
    </row>
    <row r="72" spans="1:1" x14ac:dyDescent="0.3">
      <c r="A72" t="s">
        <v>760</v>
      </c>
    </row>
    <row r="73" spans="1:1" x14ac:dyDescent="0.3">
      <c r="A73" t="s">
        <v>761</v>
      </c>
    </row>
    <row r="74" spans="1:1" x14ac:dyDescent="0.3">
      <c r="A74" t="s">
        <v>762</v>
      </c>
    </row>
    <row r="75" spans="1:1" x14ac:dyDescent="0.3">
      <c r="A75" t="s">
        <v>763</v>
      </c>
    </row>
    <row r="76" spans="1:1" x14ac:dyDescent="0.3">
      <c r="A76" t="s">
        <v>764</v>
      </c>
    </row>
    <row r="78" spans="1:1" x14ac:dyDescent="0.3">
      <c r="A78" t="s">
        <v>765</v>
      </c>
    </row>
    <row r="79" spans="1:1" x14ac:dyDescent="0.3">
      <c r="A79" t="s">
        <v>766</v>
      </c>
    </row>
    <row r="80" spans="1:1" x14ac:dyDescent="0.3">
      <c r="A80" t="s">
        <v>767</v>
      </c>
    </row>
    <row r="81" spans="1:1" x14ac:dyDescent="0.3">
      <c r="A81" t="s">
        <v>768</v>
      </c>
    </row>
    <row r="82" spans="1:1" x14ac:dyDescent="0.3">
      <c r="A82" t="s">
        <v>769</v>
      </c>
    </row>
    <row r="83" spans="1:1" x14ac:dyDescent="0.3">
      <c r="A83" t="s">
        <v>770</v>
      </c>
    </row>
    <row r="84" spans="1:1" x14ac:dyDescent="0.3">
      <c r="A84" t="s">
        <v>771</v>
      </c>
    </row>
    <row r="85" spans="1:1" x14ac:dyDescent="0.3">
      <c r="A85" t="s">
        <v>772</v>
      </c>
    </row>
    <row r="87" spans="1:1" x14ac:dyDescent="0.3">
      <c r="A87" t="s">
        <v>773</v>
      </c>
    </row>
    <row r="88" spans="1:1" x14ac:dyDescent="0.3">
      <c r="A88" t="s">
        <v>774</v>
      </c>
    </row>
    <row r="90" spans="1:1" x14ac:dyDescent="0.3">
      <c r="A90" t="s">
        <v>775</v>
      </c>
    </row>
    <row r="91" spans="1:1" x14ac:dyDescent="0.3">
      <c r="A91" t="s">
        <v>776</v>
      </c>
    </row>
    <row r="93" spans="1:1" x14ac:dyDescent="0.3">
      <c r="A93" s="51" t="s">
        <v>777</v>
      </c>
    </row>
    <row r="94" spans="1:1" x14ac:dyDescent="0.3">
      <c r="A94" t="s">
        <v>778</v>
      </c>
    </row>
    <row r="95" spans="1:1" x14ac:dyDescent="0.3">
      <c r="A95" t="s">
        <v>779</v>
      </c>
    </row>
    <row r="96" spans="1:1" x14ac:dyDescent="0.3">
      <c r="A96" t="s">
        <v>780</v>
      </c>
    </row>
    <row r="97" spans="1:1" x14ac:dyDescent="0.3">
      <c r="A97" t="s">
        <v>781</v>
      </c>
    </row>
    <row r="98" spans="1:1" x14ac:dyDescent="0.3">
      <c r="A98" t="s">
        <v>782</v>
      </c>
    </row>
    <row r="99" spans="1:1" x14ac:dyDescent="0.3">
      <c r="A99" t="s">
        <v>783</v>
      </c>
    </row>
    <row r="100" spans="1:1" x14ac:dyDescent="0.3">
      <c r="A100" t="s">
        <v>784</v>
      </c>
    </row>
    <row r="101" spans="1:1" x14ac:dyDescent="0.3">
      <c r="A101" t="s">
        <v>785</v>
      </c>
    </row>
    <row r="103" spans="1:1" x14ac:dyDescent="0.3">
      <c r="A103" t="s">
        <v>786</v>
      </c>
    </row>
    <row r="104" spans="1:1" x14ac:dyDescent="0.3">
      <c r="A104" t="s">
        <v>787</v>
      </c>
    </row>
    <row r="105" spans="1:1" x14ac:dyDescent="0.3">
      <c r="A105" t="s">
        <v>788</v>
      </c>
    </row>
    <row r="106" spans="1:1" x14ac:dyDescent="0.3">
      <c r="A106" t="s">
        <v>789</v>
      </c>
    </row>
    <row r="107" spans="1:1" x14ac:dyDescent="0.3">
      <c r="A107" t="s">
        <v>790</v>
      </c>
    </row>
    <row r="109" spans="1:1" x14ac:dyDescent="0.3">
      <c r="A109" t="s">
        <v>791</v>
      </c>
    </row>
    <row r="110" spans="1:1" x14ac:dyDescent="0.3">
      <c r="A110" t="s">
        <v>792</v>
      </c>
    </row>
    <row r="111" spans="1:1" x14ac:dyDescent="0.3">
      <c r="A111" t="s">
        <v>793</v>
      </c>
    </row>
    <row r="112" spans="1:1" x14ac:dyDescent="0.3">
      <c r="A112" t="s">
        <v>794</v>
      </c>
    </row>
    <row r="113" spans="1:1" x14ac:dyDescent="0.3">
      <c r="A113" t="s">
        <v>795</v>
      </c>
    </row>
    <row r="115" spans="1:1" x14ac:dyDescent="0.3">
      <c r="A115" t="s">
        <v>796</v>
      </c>
    </row>
    <row r="116" spans="1:1" x14ac:dyDescent="0.3">
      <c r="A116" t="s">
        <v>797</v>
      </c>
    </row>
    <row r="117" spans="1:1" x14ac:dyDescent="0.3">
      <c r="A117" t="s">
        <v>798</v>
      </c>
    </row>
    <row r="118" spans="1:1" x14ac:dyDescent="0.3">
      <c r="A118" t="s">
        <v>799</v>
      </c>
    </row>
    <row r="119" spans="1:1" x14ac:dyDescent="0.3">
      <c r="A119" t="s">
        <v>800</v>
      </c>
    </row>
    <row r="120" spans="1:1" x14ac:dyDescent="0.3">
      <c r="A120" t="s">
        <v>776</v>
      </c>
    </row>
    <row r="122" spans="1:1" x14ac:dyDescent="0.3">
      <c r="A122" s="51" t="s">
        <v>801</v>
      </c>
    </row>
    <row r="123" spans="1:1" x14ac:dyDescent="0.3">
      <c r="A123" t="s">
        <v>802</v>
      </c>
    </row>
    <row r="124" spans="1:1" x14ac:dyDescent="0.3">
      <c r="A124" t="s">
        <v>803</v>
      </c>
    </row>
    <row r="125" spans="1:1" x14ac:dyDescent="0.3">
      <c r="A125" t="s">
        <v>804</v>
      </c>
    </row>
    <row r="126" spans="1:1" x14ac:dyDescent="0.3">
      <c r="A126" t="s">
        <v>805</v>
      </c>
    </row>
    <row r="127" spans="1:1" x14ac:dyDescent="0.3">
      <c r="A127" t="s">
        <v>806</v>
      </c>
    </row>
    <row r="128" spans="1:1" x14ac:dyDescent="0.3">
      <c r="A128" t="s">
        <v>719</v>
      </c>
    </row>
    <row r="129" spans="1:1" x14ac:dyDescent="0.3">
      <c r="A129" t="s">
        <v>776</v>
      </c>
    </row>
    <row r="131" spans="1:1" x14ac:dyDescent="0.3">
      <c r="A131" s="51" t="s">
        <v>807</v>
      </c>
    </row>
    <row r="132" spans="1:1" x14ac:dyDescent="0.3">
      <c r="A132" t="s">
        <v>808</v>
      </c>
    </row>
    <row r="133" spans="1:1" x14ac:dyDescent="0.3">
      <c r="A133" t="s">
        <v>809</v>
      </c>
    </row>
    <row r="134" spans="1:1" x14ac:dyDescent="0.3">
      <c r="A134" t="s">
        <v>810</v>
      </c>
    </row>
    <row r="135" spans="1:1" x14ac:dyDescent="0.3">
      <c r="A135" t="s">
        <v>811</v>
      </c>
    </row>
    <row r="136" spans="1:1" x14ac:dyDescent="0.3">
      <c r="A136" t="s">
        <v>812</v>
      </c>
    </row>
    <row r="137" spans="1:1" x14ac:dyDescent="0.3">
      <c r="A137" t="s">
        <v>713</v>
      </c>
    </row>
    <row r="139" spans="1:1" x14ac:dyDescent="0.3">
      <c r="A139" t="s">
        <v>813</v>
      </c>
    </row>
    <row r="140" spans="1:1" x14ac:dyDescent="0.3">
      <c r="A140" t="s">
        <v>814</v>
      </c>
    </row>
    <row r="141" spans="1:1" x14ac:dyDescent="0.3">
      <c r="A141" t="s">
        <v>815</v>
      </c>
    </row>
    <row r="142" spans="1:1" x14ac:dyDescent="0.3">
      <c r="A142" t="s">
        <v>816</v>
      </c>
    </row>
    <row r="143" spans="1:1" x14ac:dyDescent="0.3">
      <c r="A143" t="s">
        <v>817</v>
      </c>
    </row>
    <row r="144" spans="1:1" x14ac:dyDescent="0.3">
      <c r="A144" t="s">
        <v>818</v>
      </c>
    </row>
    <row r="145" spans="1:1" x14ac:dyDescent="0.3">
      <c r="A145" t="s">
        <v>819</v>
      </c>
    </row>
    <row r="147" spans="1:1" x14ac:dyDescent="0.3">
      <c r="A147" t="s">
        <v>820</v>
      </c>
    </row>
    <row r="148" spans="1:1" x14ac:dyDescent="0.3">
      <c r="A148" t="s">
        <v>821</v>
      </c>
    </row>
    <row r="149" spans="1:1" x14ac:dyDescent="0.3">
      <c r="A149" t="s">
        <v>822</v>
      </c>
    </row>
    <row r="150" spans="1:1" x14ac:dyDescent="0.3">
      <c r="A150" t="s">
        <v>823</v>
      </c>
    </row>
    <row r="151" spans="1:1" x14ac:dyDescent="0.3">
      <c r="A151" t="s">
        <v>824</v>
      </c>
    </row>
    <row r="153" spans="1:1" x14ac:dyDescent="0.3">
      <c r="A153" t="s">
        <v>825</v>
      </c>
    </row>
    <row r="154" spans="1:1" x14ac:dyDescent="0.3">
      <c r="A154" t="s">
        <v>826</v>
      </c>
    </row>
    <row r="156" spans="1:1" x14ac:dyDescent="0.3">
      <c r="A156" t="s">
        <v>827</v>
      </c>
    </row>
    <row r="157" spans="1:1" x14ac:dyDescent="0.3">
      <c r="A157" t="s">
        <v>828</v>
      </c>
    </row>
    <row r="158" spans="1:1" x14ac:dyDescent="0.3">
      <c r="A158" t="s">
        <v>829</v>
      </c>
    </row>
    <row r="159" spans="1:1" x14ac:dyDescent="0.3">
      <c r="A159" t="s">
        <v>830</v>
      </c>
    </row>
    <row r="160" spans="1:1" x14ac:dyDescent="0.3">
      <c r="A160" t="s">
        <v>831</v>
      </c>
    </row>
    <row r="161" spans="1:1" x14ac:dyDescent="0.3">
      <c r="A161" t="s">
        <v>832</v>
      </c>
    </row>
    <row r="162" spans="1:1" x14ac:dyDescent="0.3">
      <c r="A162" t="s">
        <v>833</v>
      </c>
    </row>
    <row r="163" spans="1:1" x14ac:dyDescent="0.3">
      <c r="A163" t="s">
        <v>834</v>
      </c>
    </row>
    <row r="165" spans="1:1" x14ac:dyDescent="0.3">
      <c r="A165" t="s">
        <v>835</v>
      </c>
    </row>
    <row r="166" spans="1:1" x14ac:dyDescent="0.3">
      <c r="A166" t="s">
        <v>836</v>
      </c>
    </row>
    <row r="167" spans="1:1" x14ac:dyDescent="0.3">
      <c r="A167" t="s">
        <v>837</v>
      </c>
    </row>
    <row r="168" spans="1:1" x14ac:dyDescent="0.3">
      <c r="A168" t="s">
        <v>776</v>
      </c>
    </row>
    <row r="170" spans="1:1" x14ac:dyDescent="0.3">
      <c r="A170" s="51" t="s">
        <v>838</v>
      </c>
    </row>
    <row r="171" spans="1:1" x14ac:dyDescent="0.3">
      <c r="A171" t="s">
        <v>839</v>
      </c>
    </row>
    <row r="172" spans="1:1" x14ac:dyDescent="0.3">
      <c r="A172" t="s">
        <v>809</v>
      </c>
    </row>
    <row r="173" spans="1:1" x14ac:dyDescent="0.3">
      <c r="A173" t="s">
        <v>810</v>
      </c>
    </row>
    <row r="174" spans="1:1" x14ac:dyDescent="0.3">
      <c r="A174" t="s">
        <v>811</v>
      </c>
    </row>
    <row r="175" spans="1:1" x14ac:dyDescent="0.3">
      <c r="A175" t="s">
        <v>812</v>
      </c>
    </row>
    <row r="176" spans="1:1" x14ac:dyDescent="0.3">
      <c r="A176" t="s">
        <v>713</v>
      </c>
    </row>
    <row r="178" spans="1:1" x14ac:dyDescent="0.3">
      <c r="A178" t="s">
        <v>840</v>
      </c>
    </row>
    <row r="179" spans="1:1" x14ac:dyDescent="0.3">
      <c r="A179" t="s">
        <v>814</v>
      </c>
    </row>
    <row r="180" spans="1:1" x14ac:dyDescent="0.3">
      <c r="A180" t="s">
        <v>841</v>
      </c>
    </row>
    <row r="181" spans="1:1" x14ac:dyDescent="0.3">
      <c r="A181" t="s">
        <v>842</v>
      </c>
    </row>
    <row r="182" spans="1:1" x14ac:dyDescent="0.3">
      <c r="A182" t="s">
        <v>817</v>
      </c>
    </row>
    <row r="183" spans="1:1" x14ac:dyDescent="0.3">
      <c r="A183" t="s">
        <v>818</v>
      </c>
    </row>
    <row r="185" spans="1:1" x14ac:dyDescent="0.3">
      <c r="A185" t="s">
        <v>843</v>
      </c>
    </row>
    <row r="186" spans="1:1" x14ac:dyDescent="0.3">
      <c r="A186" t="s">
        <v>844</v>
      </c>
    </row>
    <row r="188" spans="1:1" x14ac:dyDescent="0.3">
      <c r="A188" t="s">
        <v>845</v>
      </c>
    </row>
    <row r="189" spans="1:1" x14ac:dyDescent="0.3">
      <c r="A189" t="s">
        <v>846</v>
      </c>
    </row>
    <row r="190" spans="1:1" x14ac:dyDescent="0.3">
      <c r="A190" t="s">
        <v>847</v>
      </c>
    </row>
    <row r="191" spans="1:1" x14ac:dyDescent="0.3">
      <c r="A191" t="s">
        <v>848</v>
      </c>
    </row>
    <row r="192" spans="1:1" x14ac:dyDescent="0.3">
      <c r="A192" t="s">
        <v>849</v>
      </c>
    </row>
    <row r="193" spans="1:1" x14ac:dyDescent="0.3">
      <c r="A193" t="s">
        <v>776</v>
      </c>
    </row>
    <row r="195" spans="1:1" x14ac:dyDescent="0.3">
      <c r="A195" s="51" t="s">
        <v>850</v>
      </c>
    </row>
    <row r="196" spans="1:1" x14ac:dyDescent="0.3">
      <c r="A196" t="s">
        <v>851</v>
      </c>
    </row>
    <row r="197" spans="1:1" x14ac:dyDescent="0.3">
      <c r="A197" t="s">
        <v>852</v>
      </c>
    </row>
    <row r="198" spans="1:1" x14ac:dyDescent="0.3">
      <c r="A198" t="s">
        <v>810</v>
      </c>
    </row>
    <row r="199" spans="1:1" x14ac:dyDescent="0.3">
      <c r="A199" t="s">
        <v>811</v>
      </c>
    </row>
    <row r="200" spans="1:1" x14ac:dyDescent="0.3">
      <c r="A200" t="s">
        <v>713</v>
      </c>
    </row>
    <row r="202" spans="1:1" x14ac:dyDescent="0.3">
      <c r="A202" t="s">
        <v>853</v>
      </c>
    </row>
    <row r="203" spans="1:1" x14ac:dyDescent="0.3">
      <c r="A203" t="s">
        <v>854</v>
      </c>
    </row>
    <row r="204" spans="1:1" x14ac:dyDescent="0.3">
      <c r="A204" t="s">
        <v>855</v>
      </c>
    </row>
    <row r="205" spans="1:1" x14ac:dyDescent="0.3">
      <c r="A205" t="s">
        <v>856</v>
      </c>
    </row>
    <row r="207" spans="1:1" x14ac:dyDescent="0.3">
      <c r="A207" t="s">
        <v>857</v>
      </c>
    </row>
    <row r="208" spans="1:1" x14ac:dyDescent="0.3">
      <c r="A208" t="s">
        <v>858</v>
      </c>
    </row>
    <row r="209" spans="1:1" x14ac:dyDescent="0.3">
      <c r="A209" t="s">
        <v>859</v>
      </c>
    </row>
    <row r="211" spans="1:1" x14ac:dyDescent="0.3">
      <c r="A211" t="s">
        <v>860</v>
      </c>
    </row>
    <row r="212" spans="1:1" x14ac:dyDescent="0.3">
      <c r="A212" t="s">
        <v>861</v>
      </c>
    </row>
    <row r="213" spans="1:1" x14ac:dyDescent="0.3">
      <c r="A213" t="s">
        <v>862</v>
      </c>
    </row>
    <row r="214" spans="1:1" x14ac:dyDescent="0.3">
      <c r="A214" t="s">
        <v>863</v>
      </c>
    </row>
    <row r="215" spans="1:1" x14ac:dyDescent="0.3">
      <c r="A215" t="s">
        <v>864</v>
      </c>
    </row>
    <row r="216" spans="1:1" x14ac:dyDescent="0.3">
      <c r="A216" t="s">
        <v>865</v>
      </c>
    </row>
    <row r="217" spans="1:1" x14ac:dyDescent="0.3">
      <c r="A217" t="s">
        <v>866</v>
      </c>
    </row>
    <row r="218" spans="1:1" x14ac:dyDescent="0.3">
      <c r="A218" t="s">
        <v>785</v>
      </c>
    </row>
    <row r="220" spans="1:1" x14ac:dyDescent="0.3">
      <c r="A220" t="s">
        <v>817</v>
      </c>
    </row>
    <row r="221" spans="1:1" x14ac:dyDescent="0.3">
      <c r="A221" t="s">
        <v>818</v>
      </c>
    </row>
    <row r="222" spans="1:1" x14ac:dyDescent="0.3">
      <c r="A222" t="s">
        <v>819</v>
      </c>
    </row>
    <row r="224" spans="1:1" x14ac:dyDescent="0.3">
      <c r="A224" t="s">
        <v>867</v>
      </c>
    </row>
    <row r="225" spans="1:1" x14ac:dyDescent="0.3">
      <c r="A225" t="s">
        <v>868</v>
      </c>
    </row>
    <row r="226" spans="1:1" x14ac:dyDescent="0.3">
      <c r="A226" t="s">
        <v>869</v>
      </c>
    </row>
    <row r="227" spans="1:1" x14ac:dyDescent="0.3">
      <c r="A227" t="s">
        <v>779</v>
      </c>
    </row>
    <row r="228" spans="1:1" x14ac:dyDescent="0.3">
      <c r="A228" t="s">
        <v>870</v>
      </c>
    </row>
    <row r="229" spans="1:1" x14ac:dyDescent="0.3">
      <c r="A229" t="s">
        <v>871</v>
      </c>
    </row>
    <row r="230" spans="1:1" x14ac:dyDescent="0.3">
      <c r="A230" t="s">
        <v>872</v>
      </c>
    </row>
    <row r="231" spans="1:1" x14ac:dyDescent="0.3">
      <c r="A231" t="s">
        <v>873</v>
      </c>
    </row>
    <row r="232" spans="1:1" x14ac:dyDescent="0.3">
      <c r="A232" t="s">
        <v>874</v>
      </c>
    </row>
    <row r="233" spans="1:1" x14ac:dyDescent="0.3">
      <c r="A233" t="s">
        <v>785</v>
      </c>
    </row>
    <row r="235" spans="1:1" x14ac:dyDescent="0.3">
      <c r="A235" t="s">
        <v>875</v>
      </c>
    </row>
    <row r="236" spans="1:1" x14ac:dyDescent="0.3">
      <c r="A236" t="s">
        <v>876</v>
      </c>
    </row>
    <row r="237" spans="1:1" x14ac:dyDescent="0.3">
      <c r="A237" t="s">
        <v>877</v>
      </c>
    </row>
    <row r="238" spans="1:1" x14ac:dyDescent="0.3">
      <c r="A238" t="s">
        <v>878</v>
      </c>
    </row>
    <row r="239" spans="1:1" x14ac:dyDescent="0.3">
      <c r="A239" t="s">
        <v>879</v>
      </c>
    </row>
    <row r="240" spans="1:1" x14ac:dyDescent="0.3">
      <c r="A240" t="s">
        <v>880</v>
      </c>
    </row>
    <row r="241" spans="1:1" x14ac:dyDescent="0.3">
      <c r="A241" t="s">
        <v>881</v>
      </c>
    </row>
    <row r="242" spans="1:1" x14ac:dyDescent="0.3">
      <c r="A242" t="s">
        <v>882</v>
      </c>
    </row>
    <row r="243" spans="1:1" x14ac:dyDescent="0.3">
      <c r="A243" t="s">
        <v>883</v>
      </c>
    </row>
    <row r="244" spans="1:1" x14ac:dyDescent="0.3">
      <c r="A244" t="s">
        <v>834</v>
      </c>
    </row>
    <row r="246" spans="1:1" x14ac:dyDescent="0.3">
      <c r="A246" t="s">
        <v>884</v>
      </c>
    </row>
    <row r="247" spans="1:1" x14ac:dyDescent="0.3">
      <c r="A247" t="s">
        <v>776</v>
      </c>
    </row>
    <row r="249" spans="1:1" x14ac:dyDescent="0.3">
      <c r="A249" s="51" t="s">
        <v>885</v>
      </c>
    </row>
    <row r="250" spans="1:1" x14ac:dyDescent="0.3">
      <c r="A250" t="s">
        <v>886</v>
      </c>
    </row>
    <row r="251" spans="1:1" x14ac:dyDescent="0.3">
      <c r="A251" t="s">
        <v>887</v>
      </c>
    </row>
    <row r="252" spans="1:1" x14ac:dyDescent="0.3">
      <c r="A252" t="s">
        <v>812</v>
      </c>
    </row>
    <row r="253" spans="1:1" x14ac:dyDescent="0.3">
      <c r="A253" t="s">
        <v>811</v>
      </c>
    </row>
    <row r="255" spans="1:1" x14ac:dyDescent="0.3">
      <c r="A255" t="s">
        <v>847</v>
      </c>
    </row>
    <row r="256" spans="1:1" x14ac:dyDescent="0.3">
      <c r="A256" t="s">
        <v>888</v>
      </c>
    </row>
    <row r="258" spans="1:1" x14ac:dyDescent="0.3">
      <c r="A258" t="s">
        <v>889</v>
      </c>
    </row>
    <row r="259" spans="1:1" x14ac:dyDescent="0.3">
      <c r="A259" t="s">
        <v>890</v>
      </c>
    </row>
    <row r="260" spans="1:1" x14ac:dyDescent="0.3">
      <c r="A260" t="s">
        <v>891</v>
      </c>
    </row>
    <row r="261" spans="1:1" x14ac:dyDescent="0.3">
      <c r="A261" t="s">
        <v>892</v>
      </c>
    </row>
    <row r="262" spans="1:1" x14ac:dyDescent="0.3">
      <c r="A262" t="s">
        <v>893</v>
      </c>
    </row>
    <row r="263" spans="1:1" x14ac:dyDescent="0.3">
      <c r="A263" t="s">
        <v>834</v>
      </c>
    </row>
    <row r="265" spans="1:1" x14ac:dyDescent="0.3">
      <c r="A265" t="s">
        <v>894</v>
      </c>
    </row>
    <row r="266" spans="1:1" x14ac:dyDescent="0.3">
      <c r="A266" t="s">
        <v>895</v>
      </c>
    </row>
    <row r="267" spans="1:1" x14ac:dyDescent="0.3">
      <c r="A267" t="s">
        <v>896</v>
      </c>
    </row>
    <row r="269" spans="1:1" x14ac:dyDescent="0.3">
      <c r="A269" t="s">
        <v>897</v>
      </c>
    </row>
    <row r="270" spans="1:1" x14ac:dyDescent="0.3">
      <c r="A270" t="s">
        <v>898</v>
      </c>
    </row>
    <row r="271" spans="1:1" x14ac:dyDescent="0.3">
      <c r="A271" t="s">
        <v>899</v>
      </c>
    </row>
    <row r="272" spans="1:1" x14ac:dyDescent="0.3">
      <c r="A272" t="s">
        <v>900</v>
      </c>
    </row>
    <row r="273" spans="1:1" x14ac:dyDescent="0.3">
      <c r="A273" t="s">
        <v>901</v>
      </c>
    </row>
    <row r="274" spans="1:1" x14ac:dyDescent="0.3">
      <c r="A274" t="s">
        <v>902</v>
      </c>
    </row>
    <row r="275" spans="1:1" x14ac:dyDescent="0.3">
      <c r="A275" t="s">
        <v>903</v>
      </c>
    </row>
    <row r="276" spans="1:1" x14ac:dyDescent="0.3">
      <c r="A276" t="s">
        <v>904</v>
      </c>
    </row>
    <row r="277" spans="1:1" x14ac:dyDescent="0.3">
      <c r="A277" t="s">
        <v>905</v>
      </c>
    </row>
    <row r="278" spans="1:1" x14ac:dyDescent="0.3">
      <c r="A278" t="s">
        <v>906</v>
      </c>
    </row>
    <row r="279" spans="1:1" x14ac:dyDescent="0.3">
      <c r="A279" t="s">
        <v>907</v>
      </c>
    </row>
    <row r="280" spans="1:1" x14ac:dyDescent="0.3">
      <c r="A280" t="s">
        <v>908</v>
      </c>
    </row>
    <row r="281" spans="1:1" x14ac:dyDescent="0.3">
      <c r="A281" t="s">
        <v>909</v>
      </c>
    </row>
    <row r="282" spans="1:1" x14ac:dyDescent="0.3">
      <c r="A282" t="s">
        <v>910</v>
      </c>
    </row>
    <row r="283" spans="1:1" x14ac:dyDescent="0.3">
      <c r="A283" t="s">
        <v>911</v>
      </c>
    </row>
    <row r="284" spans="1:1" x14ac:dyDescent="0.3">
      <c r="A284" t="s">
        <v>882</v>
      </c>
    </row>
    <row r="285" spans="1:1" x14ac:dyDescent="0.3">
      <c r="A285" t="s">
        <v>912</v>
      </c>
    </row>
    <row r="286" spans="1:1" x14ac:dyDescent="0.3">
      <c r="A286" t="s">
        <v>913</v>
      </c>
    </row>
    <row r="287" spans="1:1" x14ac:dyDescent="0.3">
      <c r="A287" t="s">
        <v>834</v>
      </c>
    </row>
    <row r="289" spans="1:1" x14ac:dyDescent="0.3">
      <c r="A289" t="s">
        <v>914</v>
      </c>
    </row>
    <row r="290" spans="1:1" x14ac:dyDescent="0.3">
      <c r="A290" t="s">
        <v>915</v>
      </c>
    </row>
    <row r="292" spans="1:1" x14ac:dyDescent="0.3">
      <c r="A292" t="s">
        <v>916</v>
      </c>
    </row>
    <row r="293" spans="1:1" x14ac:dyDescent="0.3">
      <c r="A293" t="s">
        <v>917</v>
      </c>
    </row>
    <row r="294" spans="1:1" x14ac:dyDescent="0.3">
      <c r="A294" t="s">
        <v>776</v>
      </c>
    </row>
    <row r="296" spans="1:1" x14ac:dyDescent="0.3">
      <c r="A296" s="51" t="s">
        <v>918</v>
      </c>
    </row>
    <row r="297" spans="1:1" x14ac:dyDescent="0.3">
      <c r="A297" t="s">
        <v>919</v>
      </c>
    </row>
    <row r="298" spans="1:1" x14ac:dyDescent="0.3">
      <c r="A298" t="s">
        <v>887</v>
      </c>
    </row>
    <row r="299" spans="1:1" x14ac:dyDescent="0.3">
      <c r="A299" t="s">
        <v>812</v>
      </c>
    </row>
    <row r="300" spans="1:1" x14ac:dyDescent="0.3">
      <c r="A300" t="s">
        <v>811</v>
      </c>
    </row>
    <row r="302" spans="1:1" x14ac:dyDescent="0.3">
      <c r="A302" t="s">
        <v>920</v>
      </c>
    </row>
    <row r="303" spans="1:1" x14ac:dyDescent="0.3">
      <c r="A303" t="s">
        <v>921</v>
      </c>
    </row>
    <row r="304" spans="1:1" x14ac:dyDescent="0.3">
      <c r="A304" t="s">
        <v>922</v>
      </c>
    </row>
    <row r="305" spans="1:1" x14ac:dyDescent="0.3">
      <c r="A305" t="s">
        <v>923</v>
      </c>
    </row>
    <row r="306" spans="1:1" x14ac:dyDescent="0.3">
      <c r="A306" t="s">
        <v>924</v>
      </c>
    </row>
    <row r="307" spans="1:1" x14ac:dyDescent="0.3">
      <c r="A307" t="s">
        <v>925</v>
      </c>
    </row>
    <row r="308" spans="1:1" x14ac:dyDescent="0.3">
      <c r="A308" t="s">
        <v>926</v>
      </c>
    </row>
    <row r="309" spans="1:1" x14ac:dyDescent="0.3">
      <c r="A309" t="s">
        <v>927</v>
      </c>
    </row>
    <row r="310" spans="1:1" x14ac:dyDescent="0.3">
      <c r="A310" t="s">
        <v>928</v>
      </c>
    </row>
    <row r="311" spans="1:1" x14ac:dyDescent="0.3">
      <c r="A311" t="s">
        <v>929</v>
      </c>
    </row>
    <row r="312" spans="1:1" x14ac:dyDescent="0.3">
      <c r="A312" t="s">
        <v>930</v>
      </c>
    </row>
    <row r="313" spans="1:1" x14ac:dyDescent="0.3">
      <c r="A313" t="s">
        <v>931</v>
      </c>
    </row>
    <row r="314" spans="1:1" x14ac:dyDescent="0.3">
      <c r="A314" t="s">
        <v>932</v>
      </c>
    </row>
    <row r="315" spans="1:1" x14ac:dyDescent="0.3">
      <c r="A315" t="s">
        <v>933</v>
      </c>
    </row>
    <row r="316" spans="1:1" x14ac:dyDescent="0.3">
      <c r="A316" t="s">
        <v>934</v>
      </c>
    </row>
    <row r="317" spans="1:1" x14ac:dyDescent="0.3">
      <c r="A317" t="s">
        <v>935</v>
      </c>
    </row>
    <row r="318" spans="1:1" x14ac:dyDescent="0.3">
      <c r="A318" t="s">
        <v>936</v>
      </c>
    </row>
    <row r="319" spans="1:1" x14ac:dyDescent="0.3">
      <c r="A319" t="s">
        <v>937</v>
      </c>
    </row>
    <row r="320" spans="1:1" x14ac:dyDescent="0.3">
      <c r="A320" t="s">
        <v>938</v>
      </c>
    </row>
    <row r="321" spans="1:1" x14ac:dyDescent="0.3">
      <c r="A321" t="s">
        <v>939</v>
      </c>
    </row>
    <row r="322" spans="1:1" x14ac:dyDescent="0.3">
      <c r="A322" t="s">
        <v>940</v>
      </c>
    </row>
    <row r="323" spans="1:1" x14ac:dyDescent="0.3">
      <c r="A323" t="s">
        <v>941</v>
      </c>
    </row>
    <row r="324" spans="1:1" x14ac:dyDescent="0.3">
      <c r="A324" t="s">
        <v>785</v>
      </c>
    </row>
    <row r="326" spans="1:1" x14ac:dyDescent="0.3">
      <c r="A326" t="s">
        <v>942</v>
      </c>
    </row>
    <row r="327" spans="1:1" x14ac:dyDescent="0.3">
      <c r="A327" t="s">
        <v>943</v>
      </c>
    </row>
    <row r="328" spans="1:1" x14ac:dyDescent="0.3">
      <c r="A328" t="s">
        <v>944</v>
      </c>
    </row>
    <row r="329" spans="1:1" x14ac:dyDescent="0.3">
      <c r="A329" t="s">
        <v>945</v>
      </c>
    </row>
    <row r="330" spans="1:1" x14ac:dyDescent="0.3">
      <c r="A330" t="s">
        <v>946</v>
      </c>
    </row>
    <row r="331" spans="1:1" x14ac:dyDescent="0.3">
      <c r="A331" t="s">
        <v>947</v>
      </c>
    </row>
    <row r="332" spans="1:1" x14ac:dyDescent="0.3">
      <c r="A332" t="s">
        <v>948</v>
      </c>
    </row>
    <row r="333" spans="1:1" x14ac:dyDescent="0.3">
      <c r="A333" t="s">
        <v>949</v>
      </c>
    </row>
    <row r="334" spans="1:1" x14ac:dyDescent="0.3">
      <c r="A334" t="s">
        <v>776</v>
      </c>
    </row>
    <row r="336" spans="1:1" x14ac:dyDescent="0.3">
      <c r="A336" s="51" t="s">
        <v>950</v>
      </c>
    </row>
    <row r="337" spans="1:1" x14ac:dyDescent="0.3">
      <c r="A337" t="s">
        <v>951</v>
      </c>
    </row>
    <row r="338" spans="1:1" x14ac:dyDescent="0.3">
      <c r="A338" t="s">
        <v>952</v>
      </c>
    </row>
    <row r="339" spans="1:1" x14ac:dyDescent="0.3">
      <c r="A339" t="s">
        <v>953</v>
      </c>
    </row>
    <row r="340" spans="1:1" x14ac:dyDescent="0.3">
      <c r="A340" t="s">
        <v>776</v>
      </c>
    </row>
    <row r="342" spans="1:1" x14ac:dyDescent="0.3">
      <c r="A342" s="51" t="s">
        <v>954</v>
      </c>
    </row>
    <row r="343" spans="1:1" x14ac:dyDescent="0.3">
      <c r="A343" t="s">
        <v>955</v>
      </c>
    </row>
    <row r="344" spans="1:1" x14ac:dyDescent="0.3">
      <c r="A344" t="s">
        <v>956</v>
      </c>
    </row>
    <row r="345" spans="1:1" x14ac:dyDescent="0.3">
      <c r="A345" t="s">
        <v>869</v>
      </c>
    </row>
    <row r="346" spans="1:1" x14ac:dyDescent="0.3">
      <c r="A346" t="s">
        <v>812</v>
      </c>
    </row>
    <row r="348" spans="1:1" x14ac:dyDescent="0.3">
      <c r="A348" t="s">
        <v>957</v>
      </c>
    </row>
    <row r="349" spans="1:1" x14ac:dyDescent="0.3">
      <c r="A349" t="s">
        <v>958</v>
      </c>
    </row>
    <row r="350" spans="1:1" x14ac:dyDescent="0.3">
      <c r="A350" t="s">
        <v>959</v>
      </c>
    </row>
    <row r="352" spans="1:1" x14ac:dyDescent="0.3">
      <c r="A352" t="s">
        <v>960</v>
      </c>
    </row>
    <row r="353" spans="1:1" x14ac:dyDescent="0.3">
      <c r="A353" t="s">
        <v>961</v>
      </c>
    </row>
    <row r="354" spans="1:1" x14ac:dyDescent="0.3">
      <c r="A354" t="s">
        <v>962</v>
      </c>
    </row>
    <row r="355" spans="1:1" x14ac:dyDescent="0.3">
      <c r="A355" t="s">
        <v>963</v>
      </c>
    </row>
    <row r="356" spans="1:1" x14ac:dyDescent="0.3">
      <c r="A356" t="s">
        <v>964</v>
      </c>
    </row>
    <row r="357" spans="1:1" x14ac:dyDescent="0.3">
      <c r="A357" t="s">
        <v>965</v>
      </c>
    </row>
    <row r="359" spans="1:1" x14ac:dyDescent="0.3">
      <c r="A359" t="s">
        <v>716</v>
      </c>
    </row>
    <row r="360" spans="1:1" x14ac:dyDescent="0.3">
      <c r="A360" t="s">
        <v>966</v>
      </c>
    </row>
    <row r="361" spans="1:1" x14ac:dyDescent="0.3">
      <c r="A361" t="s">
        <v>967</v>
      </c>
    </row>
    <row r="362" spans="1:1" x14ac:dyDescent="0.3">
      <c r="A362" t="s">
        <v>968</v>
      </c>
    </row>
    <row r="363" spans="1:1" x14ac:dyDescent="0.3">
      <c r="A363" t="s">
        <v>969</v>
      </c>
    </row>
    <row r="364" spans="1:1" x14ac:dyDescent="0.3">
      <c r="A364" t="s">
        <v>970</v>
      </c>
    </row>
    <row r="365" spans="1:1" x14ac:dyDescent="0.3">
      <c r="A365" t="s">
        <v>971</v>
      </c>
    </row>
    <row r="366" spans="1:1" x14ac:dyDescent="0.3">
      <c r="A366" t="s">
        <v>972</v>
      </c>
    </row>
    <row r="367" spans="1:1" x14ac:dyDescent="0.3">
      <c r="A367" t="s">
        <v>973</v>
      </c>
    </row>
    <row r="368" spans="1:1" x14ac:dyDescent="0.3">
      <c r="A368" t="s">
        <v>974</v>
      </c>
    </row>
    <row r="369" spans="1:1" x14ac:dyDescent="0.3">
      <c r="A369" t="s">
        <v>975</v>
      </c>
    </row>
    <row r="370" spans="1:1" x14ac:dyDescent="0.3">
      <c r="A370" t="s">
        <v>976</v>
      </c>
    </row>
    <row r="371" spans="1:1" x14ac:dyDescent="0.3">
      <c r="A371" t="s">
        <v>977</v>
      </c>
    </row>
    <row r="372" spans="1:1" x14ac:dyDescent="0.3">
      <c r="A372" t="s">
        <v>978</v>
      </c>
    </row>
    <row r="373" spans="1:1" x14ac:dyDescent="0.3">
      <c r="A373" t="s">
        <v>719</v>
      </c>
    </row>
    <row r="375" spans="1:1" x14ac:dyDescent="0.3">
      <c r="A375" t="s">
        <v>979</v>
      </c>
    </row>
    <row r="376" spans="1:1" x14ac:dyDescent="0.3">
      <c r="A376" t="s">
        <v>980</v>
      </c>
    </row>
    <row r="377" spans="1:1" x14ac:dyDescent="0.3">
      <c r="A377" t="s">
        <v>981</v>
      </c>
    </row>
    <row r="378" spans="1:1" x14ac:dyDescent="0.3">
      <c r="A378" t="s">
        <v>776</v>
      </c>
    </row>
    <row r="380" spans="1:1" x14ac:dyDescent="0.3">
      <c r="A380" s="51" t="s">
        <v>982</v>
      </c>
    </row>
    <row r="381" spans="1:1" x14ac:dyDescent="0.3">
      <c r="A381" t="s">
        <v>983</v>
      </c>
    </row>
    <row r="382" spans="1:1" x14ac:dyDescent="0.3">
      <c r="A382" t="s">
        <v>984</v>
      </c>
    </row>
    <row r="383" spans="1:1" x14ac:dyDescent="0.3">
      <c r="A383" t="s">
        <v>812</v>
      </c>
    </row>
    <row r="384" spans="1:1" x14ac:dyDescent="0.3">
      <c r="A384" t="s">
        <v>985</v>
      </c>
    </row>
    <row r="385" spans="1:1" x14ac:dyDescent="0.3">
      <c r="A385" t="s">
        <v>986</v>
      </c>
    </row>
    <row r="386" spans="1:1" x14ac:dyDescent="0.3">
      <c r="A386" t="s">
        <v>987</v>
      </c>
    </row>
    <row r="387" spans="1:1" x14ac:dyDescent="0.3">
      <c r="A387" t="s">
        <v>988</v>
      </c>
    </row>
    <row r="388" spans="1:1" x14ac:dyDescent="0.3">
      <c r="A388" t="s">
        <v>989</v>
      </c>
    </row>
    <row r="389" spans="1:1" x14ac:dyDescent="0.3">
      <c r="A389" t="s">
        <v>990</v>
      </c>
    </row>
    <row r="390" spans="1:1" x14ac:dyDescent="0.3">
      <c r="A390" t="s">
        <v>991</v>
      </c>
    </row>
    <row r="391" spans="1:1" x14ac:dyDescent="0.3">
      <c r="A391" t="s">
        <v>992</v>
      </c>
    </row>
    <row r="392" spans="1:1" x14ac:dyDescent="0.3">
      <c r="A392" t="s">
        <v>993</v>
      </c>
    </row>
    <row r="393" spans="1:1" x14ac:dyDescent="0.3">
      <c r="A393" t="s">
        <v>994</v>
      </c>
    </row>
    <row r="394" spans="1:1" x14ac:dyDescent="0.3">
      <c r="A394" t="s">
        <v>995</v>
      </c>
    </row>
    <row r="395" spans="1:1" x14ac:dyDescent="0.3">
      <c r="A395" t="s">
        <v>776</v>
      </c>
    </row>
    <row r="397" spans="1:1" x14ac:dyDescent="0.3">
      <c r="A397" s="51" t="s">
        <v>703</v>
      </c>
    </row>
    <row r="398" spans="1:1" x14ac:dyDescent="0.3">
      <c r="A398" s="51" t="s">
        <v>996</v>
      </c>
    </row>
    <row r="399" spans="1:1" x14ac:dyDescent="0.3">
      <c r="A399" s="51" t="s">
        <v>997</v>
      </c>
    </row>
    <row r="400" spans="1:1" x14ac:dyDescent="0.3">
      <c r="A400" s="51" t="s">
        <v>998</v>
      </c>
    </row>
    <row r="401" spans="1:1" x14ac:dyDescent="0.3">
      <c r="A401" s="51" t="s">
        <v>999</v>
      </c>
    </row>
    <row r="402" spans="1:1" x14ac:dyDescent="0.3">
      <c r="A402" s="51" t="s">
        <v>1000</v>
      </c>
    </row>
    <row r="403" spans="1:1" x14ac:dyDescent="0.3">
      <c r="A403" s="51" t="s">
        <v>1001</v>
      </c>
    </row>
    <row r="404" spans="1:1" x14ac:dyDescent="0.3">
      <c r="A404" s="51" t="s">
        <v>1002</v>
      </c>
    </row>
    <row r="405" spans="1:1" x14ac:dyDescent="0.3">
      <c r="A405" s="51" t="s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Card Database</vt:lpstr>
      <vt:lpstr>Player Setup</vt:lpstr>
      <vt:lpstr>Round Tracker</vt:lpstr>
      <vt:lpstr>Burden-Location Map</vt:lpstr>
      <vt:lpstr>GAME BOARD</vt:lpstr>
      <vt:lpstr>PLAYER DASHBOARD</vt:lpstr>
      <vt:lpstr>PLAY TABLE</vt:lpstr>
      <vt:lpstr>CARD DATA</vt:lpstr>
      <vt:lpstr>VBA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Lowe</dc:creator>
  <cp:lastModifiedBy>David Lowe</cp:lastModifiedBy>
  <dcterms:created xsi:type="dcterms:W3CDTF">2026-04-24T20:29:57Z</dcterms:created>
  <dcterms:modified xsi:type="dcterms:W3CDTF">2026-04-25T02:41:03Z</dcterms:modified>
</cp:coreProperties>
</file>