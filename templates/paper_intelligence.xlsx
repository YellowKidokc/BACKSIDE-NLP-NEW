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X:\"/>
    </mc:Choice>
  </mc:AlternateContent>
  <xr:revisionPtr revIDLastSave="0" documentId="8_{02564CE6-5ECF-4820-BC87-748C0EC67863}" xr6:coauthVersionLast="47" xr6:coauthVersionMax="47" xr10:uidLastSave="{00000000-0000-0000-0000-000000000000}"/>
  <bookViews>
    <workbookView xWindow="3564" yWindow="2832" windowWidth="31560" windowHeight="18048" xr2:uid="{00000000-000D-0000-FFFF-FFFF00000000}"/>
  </bookViews>
  <sheets>
    <sheet name="PAPER_VIEW" sheetId="8" r:id="rId1"/>
    <sheet name="CHANGELOG" sheetId="4" r:id="rId2"/>
    <sheet name="SCORES" sheetId="9" r:id="rId3"/>
    <sheet name="DASHBOARD" sheetId="5" r:id="rId4"/>
    <sheet name="ALL_METRICS" sheetId="1" r:id="rId5"/>
  </sheets>
  <definedNames>
    <definedName name="_xlnm._FilterDatabase" localSheetId="4" hidden="1">ALL_METRICS!$A$1:$ME$62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9" l="1"/>
  <c r="G65" i="9"/>
  <c r="F65" i="9"/>
  <c r="E65" i="9"/>
  <c r="D65" i="9"/>
  <c r="C65" i="9"/>
  <c r="B65" i="9"/>
  <c r="I64" i="9"/>
  <c r="H64" i="9"/>
  <c r="G64" i="9"/>
  <c r="F64" i="9"/>
  <c r="E64" i="9"/>
  <c r="D64" i="9"/>
  <c r="C64" i="9"/>
  <c r="B64" i="9"/>
  <c r="A64" i="9"/>
  <c r="I63" i="9"/>
  <c r="H63" i="9"/>
  <c r="G63" i="9"/>
  <c r="F63" i="9"/>
  <c r="E63" i="9"/>
  <c r="D63" i="9"/>
  <c r="C63" i="9"/>
  <c r="B63" i="9"/>
  <c r="A63" i="9"/>
  <c r="I62" i="9"/>
  <c r="H62" i="9"/>
  <c r="G62" i="9"/>
  <c r="F62" i="9"/>
  <c r="E62" i="9"/>
  <c r="D62" i="9"/>
  <c r="C62" i="9"/>
  <c r="B62" i="9"/>
  <c r="A62" i="9"/>
  <c r="I61" i="9"/>
  <c r="H61" i="9"/>
  <c r="G61" i="9"/>
  <c r="F61" i="9"/>
  <c r="E61" i="9"/>
  <c r="D61" i="9"/>
  <c r="C61" i="9"/>
  <c r="B61" i="9"/>
  <c r="A61" i="9"/>
  <c r="I60" i="9"/>
  <c r="H60" i="9"/>
  <c r="G60" i="9"/>
  <c r="F60" i="9"/>
  <c r="E60" i="9"/>
  <c r="D60" i="9"/>
  <c r="C60" i="9"/>
  <c r="B60" i="9"/>
  <c r="A60" i="9"/>
  <c r="I59" i="9"/>
  <c r="H59" i="9"/>
  <c r="G59" i="9"/>
  <c r="F59" i="9"/>
  <c r="E59" i="9"/>
  <c r="D59" i="9"/>
  <c r="C59" i="9"/>
  <c r="B59" i="9"/>
  <c r="A59" i="9"/>
  <c r="I58" i="9"/>
  <c r="H58" i="9"/>
  <c r="G58" i="9"/>
  <c r="F58" i="9"/>
  <c r="E58" i="9"/>
  <c r="D58" i="9"/>
  <c r="C58" i="9"/>
  <c r="B58" i="9"/>
  <c r="A58" i="9"/>
  <c r="I57" i="9"/>
  <c r="H57" i="9"/>
  <c r="G57" i="9"/>
  <c r="F57" i="9"/>
  <c r="E57" i="9"/>
  <c r="D57" i="9"/>
  <c r="C57" i="9"/>
  <c r="B57" i="9"/>
  <c r="A57" i="9"/>
  <c r="I56" i="9"/>
  <c r="H56" i="9"/>
  <c r="G56" i="9"/>
  <c r="F56" i="9"/>
  <c r="E56" i="9"/>
  <c r="D56" i="9"/>
  <c r="C56" i="9"/>
  <c r="B56" i="9"/>
  <c r="A56" i="9"/>
  <c r="I55" i="9"/>
  <c r="H55" i="9"/>
  <c r="G55" i="9"/>
  <c r="F55" i="9"/>
  <c r="E55" i="9"/>
  <c r="D55" i="9"/>
  <c r="C55" i="9"/>
  <c r="B55" i="9"/>
  <c r="A55" i="9"/>
  <c r="I54" i="9"/>
  <c r="H54" i="9"/>
  <c r="G54" i="9"/>
  <c r="F54" i="9"/>
  <c r="E54" i="9"/>
  <c r="D54" i="9"/>
  <c r="C54" i="9"/>
  <c r="B54" i="9"/>
  <c r="A54" i="9"/>
  <c r="I53" i="9"/>
  <c r="H53" i="9"/>
  <c r="G53" i="9"/>
  <c r="F53" i="9"/>
  <c r="E53" i="9"/>
  <c r="D53" i="9"/>
  <c r="C53" i="9"/>
  <c r="B53" i="9"/>
  <c r="A53" i="9"/>
  <c r="I52" i="9"/>
  <c r="H52" i="9"/>
  <c r="G52" i="9"/>
  <c r="F52" i="9"/>
  <c r="E52" i="9"/>
  <c r="D52" i="9"/>
  <c r="C52" i="9"/>
  <c r="B52" i="9"/>
  <c r="A52" i="9"/>
  <c r="I51" i="9"/>
  <c r="H51" i="9"/>
  <c r="G51" i="9"/>
  <c r="F51" i="9"/>
  <c r="E51" i="9"/>
  <c r="D51" i="9"/>
  <c r="C51" i="9"/>
  <c r="B51" i="9"/>
  <c r="A51" i="9"/>
  <c r="I50" i="9"/>
  <c r="H50" i="9"/>
  <c r="G50" i="9"/>
  <c r="F50" i="9"/>
  <c r="E50" i="9"/>
  <c r="D50" i="9"/>
  <c r="C50" i="9"/>
  <c r="B50" i="9"/>
  <c r="A50" i="9"/>
  <c r="I49" i="9"/>
  <c r="H49" i="9"/>
  <c r="G49" i="9"/>
  <c r="F49" i="9"/>
  <c r="E49" i="9"/>
  <c r="D49" i="9"/>
  <c r="C49" i="9"/>
  <c r="B49" i="9"/>
  <c r="A49" i="9"/>
  <c r="I48" i="9"/>
  <c r="H48" i="9"/>
  <c r="G48" i="9"/>
  <c r="F48" i="9"/>
  <c r="E48" i="9"/>
  <c r="D48" i="9"/>
  <c r="C48" i="9"/>
  <c r="B48" i="9"/>
  <c r="A48" i="9"/>
  <c r="I47" i="9"/>
  <c r="H47" i="9"/>
  <c r="G47" i="9"/>
  <c r="F47" i="9"/>
  <c r="E47" i="9"/>
  <c r="D47" i="9"/>
  <c r="C47" i="9"/>
  <c r="B47" i="9"/>
  <c r="A47" i="9"/>
  <c r="I46" i="9"/>
  <c r="H46" i="9"/>
  <c r="G46" i="9"/>
  <c r="F46" i="9"/>
  <c r="E46" i="9"/>
  <c r="D46" i="9"/>
  <c r="C46" i="9"/>
  <c r="B46" i="9"/>
  <c r="A46" i="9"/>
  <c r="I45" i="9"/>
  <c r="H45" i="9"/>
  <c r="G45" i="9"/>
  <c r="F45" i="9"/>
  <c r="E45" i="9"/>
  <c r="D45" i="9"/>
  <c r="C45" i="9"/>
  <c r="B45" i="9"/>
  <c r="A45" i="9"/>
  <c r="I44" i="9"/>
  <c r="H44" i="9"/>
  <c r="G44" i="9"/>
  <c r="F44" i="9"/>
  <c r="E44" i="9"/>
  <c r="D44" i="9"/>
  <c r="C44" i="9"/>
  <c r="B44" i="9"/>
  <c r="A44" i="9"/>
  <c r="I43" i="9"/>
  <c r="H43" i="9"/>
  <c r="G43" i="9"/>
  <c r="F43" i="9"/>
  <c r="E43" i="9"/>
  <c r="D43" i="9"/>
  <c r="C43" i="9"/>
  <c r="B43" i="9"/>
  <c r="A43" i="9"/>
  <c r="I42" i="9"/>
  <c r="H42" i="9"/>
  <c r="G42" i="9"/>
  <c r="F42" i="9"/>
  <c r="E42" i="9"/>
  <c r="D42" i="9"/>
  <c r="C42" i="9"/>
  <c r="B42" i="9"/>
  <c r="A42" i="9"/>
  <c r="I41" i="9"/>
  <c r="H41" i="9"/>
  <c r="G41" i="9"/>
  <c r="F41" i="9"/>
  <c r="E41" i="9"/>
  <c r="D41" i="9"/>
  <c r="C41" i="9"/>
  <c r="B41" i="9"/>
  <c r="A41" i="9"/>
  <c r="I40" i="9"/>
  <c r="H40" i="9"/>
  <c r="G40" i="9"/>
  <c r="F40" i="9"/>
  <c r="E40" i="9"/>
  <c r="D40" i="9"/>
  <c r="C40" i="9"/>
  <c r="B40" i="9"/>
  <c r="A40" i="9"/>
  <c r="I39" i="9"/>
  <c r="H39" i="9"/>
  <c r="G39" i="9"/>
  <c r="F39" i="9"/>
  <c r="E39" i="9"/>
  <c r="D39" i="9"/>
  <c r="C39" i="9"/>
  <c r="B39" i="9"/>
  <c r="A39" i="9"/>
  <c r="I38" i="9"/>
  <c r="H38" i="9"/>
  <c r="G38" i="9"/>
  <c r="F38" i="9"/>
  <c r="E38" i="9"/>
  <c r="D38" i="9"/>
  <c r="C38" i="9"/>
  <c r="B38" i="9"/>
  <c r="A38" i="9"/>
  <c r="I37" i="9"/>
  <c r="H37" i="9"/>
  <c r="G37" i="9"/>
  <c r="F37" i="9"/>
  <c r="E37" i="9"/>
  <c r="D37" i="9"/>
  <c r="C37" i="9"/>
  <c r="B37" i="9"/>
  <c r="A37" i="9"/>
  <c r="I36" i="9"/>
  <c r="H36" i="9"/>
  <c r="G36" i="9"/>
  <c r="F36" i="9"/>
  <c r="E36" i="9"/>
  <c r="D36" i="9"/>
  <c r="C36" i="9"/>
  <c r="B36" i="9"/>
  <c r="A36" i="9"/>
  <c r="I35" i="9"/>
  <c r="H35" i="9"/>
  <c r="G35" i="9"/>
  <c r="F35" i="9"/>
  <c r="E35" i="9"/>
  <c r="D35" i="9"/>
  <c r="C35" i="9"/>
  <c r="B35" i="9"/>
  <c r="A35" i="9"/>
  <c r="I34" i="9"/>
  <c r="H34" i="9"/>
  <c r="G34" i="9"/>
  <c r="F34" i="9"/>
  <c r="E34" i="9"/>
  <c r="D34" i="9"/>
  <c r="C34" i="9"/>
  <c r="B34" i="9"/>
  <c r="A34" i="9"/>
  <c r="I33" i="9"/>
  <c r="H33" i="9"/>
  <c r="G33" i="9"/>
  <c r="F33" i="9"/>
  <c r="E33" i="9"/>
  <c r="D33" i="9"/>
  <c r="C33" i="9"/>
  <c r="B33" i="9"/>
  <c r="A33" i="9"/>
  <c r="I32" i="9"/>
  <c r="H32" i="9"/>
  <c r="G32" i="9"/>
  <c r="F32" i="9"/>
  <c r="E32" i="9"/>
  <c r="D32" i="9"/>
  <c r="C32" i="9"/>
  <c r="B32" i="9"/>
  <c r="A32" i="9"/>
  <c r="I31" i="9"/>
  <c r="H31" i="9"/>
  <c r="G31" i="9"/>
  <c r="F31" i="9"/>
  <c r="E31" i="9"/>
  <c r="D31" i="9"/>
  <c r="C31" i="9"/>
  <c r="B31" i="9"/>
  <c r="A31" i="9"/>
  <c r="I30" i="9"/>
  <c r="H30" i="9"/>
  <c r="G30" i="9"/>
  <c r="F30" i="9"/>
  <c r="E30" i="9"/>
  <c r="D30" i="9"/>
  <c r="C30" i="9"/>
  <c r="B30" i="9"/>
  <c r="A30" i="9"/>
  <c r="I29" i="9"/>
  <c r="H29" i="9"/>
  <c r="G29" i="9"/>
  <c r="F29" i="9"/>
  <c r="E29" i="9"/>
  <c r="D29" i="9"/>
  <c r="C29" i="9"/>
  <c r="B29" i="9"/>
  <c r="A29" i="9"/>
  <c r="I28" i="9"/>
  <c r="H28" i="9"/>
  <c r="G28" i="9"/>
  <c r="F28" i="9"/>
  <c r="E28" i="9"/>
  <c r="D28" i="9"/>
  <c r="C28" i="9"/>
  <c r="B28" i="9"/>
  <c r="A28" i="9"/>
  <c r="I27" i="9"/>
  <c r="H27" i="9"/>
  <c r="G27" i="9"/>
  <c r="F27" i="9"/>
  <c r="E27" i="9"/>
  <c r="D27" i="9"/>
  <c r="C27" i="9"/>
  <c r="B27" i="9"/>
  <c r="A27" i="9"/>
  <c r="I26" i="9"/>
  <c r="H26" i="9"/>
  <c r="G26" i="9"/>
  <c r="F26" i="9"/>
  <c r="E26" i="9"/>
  <c r="D26" i="9"/>
  <c r="C26" i="9"/>
  <c r="B26" i="9"/>
  <c r="A26" i="9"/>
  <c r="I25" i="9"/>
  <c r="H25" i="9"/>
  <c r="G25" i="9"/>
  <c r="F25" i="9"/>
  <c r="E25" i="9"/>
  <c r="D25" i="9"/>
  <c r="C25" i="9"/>
  <c r="B25" i="9"/>
  <c r="A25" i="9"/>
  <c r="I24" i="9"/>
  <c r="H24" i="9"/>
  <c r="G24" i="9"/>
  <c r="F24" i="9"/>
  <c r="E24" i="9"/>
  <c r="D24" i="9"/>
  <c r="C24" i="9"/>
  <c r="B24" i="9"/>
  <c r="A24" i="9"/>
  <c r="I23" i="9"/>
  <c r="H23" i="9"/>
  <c r="G23" i="9"/>
  <c r="F23" i="9"/>
  <c r="E23" i="9"/>
  <c r="D23" i="9"/>
  <c r="C23" i="9"/>
  <c r="B23" i="9"/>
  <c r="A23" i="9"/>
  <c r="I22" i="9"/>
  <c r="H22" i="9"/>
  <c r="G22" i="9"/>
  <c r="F22" i="9"/>
  <c r="E22" i="9"/>
  <c r="D22" i="9"/>
  <c r="C22" i="9"/>
  <c r="B22" i="9"/>
  <c r="A22" i="9"/>
  <c r="I21" i="9"/>
  <c r="H21" i="9"/>
  <c r="G21" i="9"/>
  <c r="F21" i="9"/>
  <c r="E21" i="9"/>
  <c r="D21" i="9"/>
  <c r="C21" i="9"/>
  <c r="B21" i="9"/>
  <c r="A21" i="9"/>
  <c r="I20" i="9"/>
  <c r="H20" i="9"/>
  <c r="G20" i="9"/>
  <c r="F20" i="9"/>
  <c r="E20" i="9"/>
  <c r="D20" i="9"/>
  <c r="C20" i="9"/>
  <c r="B20" i="9"/>
  <c r="A20" i="9"/>
  <c r="I19" i="9"/>
  <c r="H19" i="9"/>
  <c r="G19" i="9"/>
  <c r="F19" i="9"/>
  <c r="E19" i="9"/>
  <c r="D19" i="9"/>
  <c r="C19" i="9"/>
  <c r="B19" i="9"/>
  <c r="A19" i="9"/>
  <c r="I18" i="9"/>
  <c r="H18" i="9"/>
  <c r="G18" i="9"/>
  <c r="F18" i="9"/>
  <c r="E18" i="9"/>
  <c r="D18" i="9"/>
  <c r="C18" i="9"/>
  <c r="B18" i="9"/>
  <c r="A18" i="9"/>
  <c r="I17" i="9"/>
  <c r="H17" i="9"/>
  <c r="G17" i="9"/>
  <c r="F17" i="9"/>
  <c r="E17" i="9"/>
  <c r="D17" i="9"/>
  <c r="C17" i="9"/>
  <c r="B17" i="9"/>
  <c r="A17" i="9"/>
  <c r="I16" i="9"/>
  <c r="H16" i="9"/>
  <c r="G16" i="9"/>
  <c r="F16" i="9"/>
  <c r="E16" i="9"/>
  <c r="D16" i="9"/>
  <c r="C16" i="9"/>
  <c r="B16" i="9"/>
  <c r="A16" i="9"/>
  <c r="I15" i="9"/>
  <c r="H15" i="9"/>
  <c r="G15" i="9"/>
  <c r="F15" i="9"/>
  <c r="E15" i="9"/>
  <c r="D15" i="9"/>
  <c r="C15" i="9"/>
  <c r="B15" i="9"/>
  <c r="A15" i="9"/>
  <c r="I14" i="9"/>
  <c r="H14" i="9"/>
  <c r="G14" i="9"/>
  <c r="F14" i="9"/>
  <c r="E14" i="9"/>
  <c r="D14" i="9"/>
  <c r="C14" i="9"/>
  <c r="B14" i="9"/>
  <c r="A14" i="9"/>
  <c r="I13" i="9"/>
  <c r="H13" i="9"/>
  <c r="G13" i="9"/>
  <c r="F13" i="9"/>
  <c r="E13" i="9"/>
  <c r="D13" i="9"/>
  <c r="C13" i="9"/>
  <c r="B13" i="9"/>
  <c r="A13" i="9"/>
  <c r="I12" i="9"/>
  <c r="H12" i="9"/>
  <c r="G12" i="9"/>
  <c r="F12" i="9"/>
  <c r="E12" i="9"/>
  <c r="D12" i="9"/>
  <c r="C12" i="9"/>
  <c r="B12" i="9"/>
  <c r="A12" i="9"/>
  <c r="I11" i="9"/>
  <c r="H11" i="9"/>
  <c r="G11" i="9"/>
  <c r="F11" i="9"/>
  <c r="E11" i="9"/>
  <c r="D11" i="9"/>
  <c r="C11" i="9"/>
  <c r="B11" i="9"/>
  <c r="A11" i="9"/>
  <c r="I10" i="9"/>
  <c r="H10" i="9"/>
  <c r="G10" i="9"/>
  <c r="F10" i="9"/>
  <c r="E10" i="9"/>
  <c r="D10" i="9"/>
  <c r="C10" i="9"/>
  <c r="B10" i="9"/>
  <c r="A10" i="9"/>
  <c r="I9" i="9"/>
  <c r="H9" i="9"/>
  <c r="G9" i="9"/>
  <c r="F9" i="9"/>
  <c r="E9" i="9"/>
  <c r="D9" i="9"/>
  <c r="C9" i="9"/>
  <c r="B9" i="9"/>
  <c r="A9" i="9"/>
  <c r="I8" i="9"/>
  <c r="H8" i="9"/>
  <c r="G8" i="9"/>
  <c r="F8" i="9"/>
  <c r="E8" i="9"/>
  <c r="D8" i="9"/>
  <c r="C8" i="9"/>
  <c r="B8" i="9"/>
  <c r="A8" i="9"/>
  <c r="I7" i="9"/>
  <c r="H7" i="9"/>
  <c r="G7" i="9"/>
  <c r="F7" i="9"/>
  <c r="E7" i="9"/>
  <c r="D7" i="9"/>
  <c r="C7" i="9"/>
  <c r="B7" i="9"/>
  <c r="A7" i="9"/>
  <c r="I6" i="9"/>
  <c r="H6" i="9"/>
  <c r="G6" i="9"/>
  <c r="F6" i="9"/>
  <c r="E6" i="9"/>
  <c r="D6" i="9"/>
  <c r="C6" i="9"/>
  <c r="B6" i="9"/>
  <c r="A6" i="9"/>
  <c r="I5" i="9"/>
  <c r="H5" i="9"/>
  <c r="G5" i="9"/>
  <c r="F5" i="9"/>
  <c r="E5" i="9"/>
  <c r="D5" i="9"/>
  <c r="C5" i="9"/>
  <c r="B5" i="9"/>
  <c r="A5" i="9"/>
  <c r="I4" i="9"/>
  <c r="H4" i="9"/>
  <c r="G4" i="9"/>
  <c r="F4" i="9"/>
  <c r="E4" i="9"/>
  <c r="D4" i="9"/>
  <c r="C4" i="9"/>
  <c r="B4" i="9"/>
  <c r="A4" i="9"/>
  <c r="I3" i="9"/>
  <c r="H3" i="9"/>
  <c r="G3" i="9"/>
  <c r="F3" i="9"/>
  <c r="E3" i="9"/>
  <c r="D3" i="9"/>
  <c r="C3" i="9"/>
  <c r="B3" i="9"/>
  <c r="A3" i="9"/>
  <c r="G7" i="8"/>
  <c r="F7" i="8"/>
  <c r="E7" i="8"/>
  <c r="D7" i="8"/>
  <c r="C7" i="8"/>
  <c r="B7" i="8"/>
  <c r="A7" i="8"/>
  <c r="G6" i="8"/>
  <c r="F6" i="8" a="1"/>
  <c r="F6" i="8" s="1"/>
  <c r="E6" i="8" a="1"/>
  <c r="E6" i="8" s="1"/>
  <c r="D6" i="8" a="1"/>
  <c r="D6" i="8" s="1"/>
  <c r="C6" i="8"/>
  <c r="B6" i="8" a="1"/>
  <c r="B6" i="8" s="1"/>
  <c r="A6" i="8" a="1"/>
  <c r="A6" i="8" s="1"/>
  <c r="C2" i="8"/>
  <c r="G69" i="8" s="1" a="1"/>
  <c r="G69" i="8" s="1"/>
  <c r="E69" i="8"/>
  <c r="E68" i="8"/>
  <c r="E66" i="8"/>
  <c r="E63" i="8"/>
  <c r="E62" i="8"/>
  <c r="E61" i="8"/>
  <c r="C61" i="8" a="1"/>
  <c r="C61" i="8" s="1"/>
  <c r="C60" i="8" a="1"/>
  <c r="C60" i="8" s="1"/>
  <c r="E59" i="8"/>
  <c r="C59" i="8" a="1"/>
  <c r="C59" i="8" s="1"/>
  <c r="G58" i="8" a="1"/>
  <c r="G58" i="8" s="1"/>
  <c r="E58" i="8"/>
  <c r="E57" i="8"/>
  <c r="E54" i="8"/>
  <c r="C54" i="8" a="1"/>
  <c r="C54" i="8" s="1"/>
  <c r="E53" i="8"/>
  <c r="C53" i="8" a="1"/>
  <c r="C53" i="8" s="1"/>
  <c r="G52" i="8" a="1"/>
  <c r="G52" i="8" s="1"/>
  <c r="E52" i="8"/>
  <c r="C52" i="8" a="1"/>
  <c r="C52" i="8" s="1"/>
  <c r="G51" i="8" a="1"/>
  <c r="G51" i="8" s="1"/>
  <c r="E51" i="8"/>
  <c r="E49" i="8"/>
  <c r="E48" i="8"/>
  <c r="C48" i="8" a="1"/>
  <c r="C48" i="8" s="1"/>
  <c r="E47" i="8"/>
  <c r="C47" i="8" a="1"/>
  <c r="C47" i="8" s="1"/>
  <c r="G46" i="8" a="1"/>
  <c r="G46" i="8" s="1"/>
  <c r="E46" i="8"/>
  <c r="C46" i="8" a="1"/>
  <c r="C46" i="8" s="1"/>
  <c r="G43" i="8" a="1"/>
  <c r="G43" i="8" s="1"/>
  <c r="E43" i="8"/>
  <c r="E42" i="8"/>
  <c r="E41" i="8"/>
  <c r="C40" i="8" a="1"/>
  <c r="C40" i="8" s="1"/>
  <c r="G39" i="8" a="1"/>
  <c r="G39" i="8" s="1"/>
  <c r="E39" i="8"/>
  <c r="C39" i="8" a="1"/>
  <c r="C39" i="8" s="1"/>
  <c r="G38" i="8" a="1"/>
  <c r="G38" i="8" s="1"/>
  <c r="E38" i="8"/>
  <c r="C38" i="8" a="1"/>
  <c r="C38" i="8" s="1"/>
  <c r="G37" i="8" a="1"/>
  <c r="G37" i="8" s="1"/>
  <c r="E37" i="8"/>
  <c r="C37" i="8" a="1"/>
  <c r="C37" i="8" s="1"/>
  <c r="E35" i="8"/>
  <c r="E32" i="8"/>
  <c r="G31" i="8" a="1"/>
  <c r="G31" i="8" s="1"/>
  <c r="E31" i="8"/>
  <c r="C31" i="8" a="1"/>
  <c r="C31" i="8" s="1"/>
  <c r="G30" i="8" a="1"/>
  <c r="G30" i="8" s="1"/>
  <c r="E30" i="8"/>
  <c r="C30" i="8" a="1"/>
  <c r="C30" i="8" s="1"/>
  <c r="G29" i="8" a="1"/>
  <c r="G29" i="8" s="1"/>
  <c r="E29" i="8"/>
  <c r="C29" i="8" a="1"/>
  <c r="C29" i="8" s="1"/>
  <c r="G28" i="8" a="1"/>
  <c r="G28" i="8" s="1"/>
  <c r="E28" i="8"/>
  <c r="G27" i="8" a="1"/>
  <c r="G27" i="8" s="1"/>
  <c r="E27" i="8"/>
  <c r="E26" i="8"/>
  <c r="C26" i="8" a="1"/>
  <c r="C26" i="8" s="1"/>
  <c r="C25" i="8" a="1"/>
  <c r="C25" i="8" s="1"/>
  <c r="G22" i="8" a="1"/>
  <c r="G22" i="8" s="1"/>
  <c r="E22" i="8"/>
  <c r="C22" i="8" a="1"/>
  <c r="C22" i="8" s="1"/>
  <c r="G21" i="8" a="1"/>
  <c r="G21" i="8" s="1"/>
  <c r="E21" i="8"/>
  <c r="C21" i="8" a="1"/>
  <c r="C21" i="8" s="1"/>
  <c r="C20" i="8" a="1"/>
  <c r="C20" i="8" s="1"/>
  <c r="E18" i="8"/>
  <c r="C18" i="8" a="1"/>
  <c r="C18" i="8" s="1"/>
  <c r="E17" i="8"/>
  <c r="C17" i="8" a="1"/>
  <c r="C17" i="8" s="1"/>
  <c r="G16" i="8" a="1"/>
  <c r="G16" i="8" s="1"/>
  <c r="E16" i="8"/>
  <c r="C16" i="8" a="1"/>
  <c r="C16" i="8" s="1"/>
  <c r="G15" i="8" a="1"/>
  <c r="G15" i="8" s="1"/>
  <c r="E15" i="8"/>
  <c r="C15" i="8" a="1"/>
  <c r="C15" i="8" s="1"/>
  <c r="L3" i="8" a="1"/>
  <c r="L3" i="8" s="1"/>
  <c r="J3" i="8" a="1"/>
  <c r="J3" i="8" s="1"/>
  <c r="G3" i="8" a="1"/>
  <c r="G3" i="8" s="1"/>
  <c r="A3" i="8" a="1"/>
  <c r="A3" i="8" s="1"/>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D6" i="5"/>
  <c r="AC6" i="5"/>
  <c r="AB6" i="5"/>
  <c r="AA6" i="5"/>
  <c r="Z6" i="5"/>
  <c r="Y6" i="5"/>
  <c r="X6" i="5"/>
  <c r="W6" i="5"/>
  <c r="V6" i="5"/>
  <c r="U6" i="5"/>
  <c r="T6" i="5"/>
  <c r="S6" i="5"/>
  <c r="R6" i="5"/>
  <c r="Q6" i="5"/>
  <c r="P6" i="5"/>
  <c r="O6" i="5"/>
  <c r="N6" i="5"/>
  <c r="M6" i="5"/>
  <c r="L6" i="5"/>
  <c r="K6" i="5"/>
  <c r="J6" i="5"/>
  <c r="I6" i="5"/>
  <c r="H6" i="5"/>
  <c r="G6" i="5"/>
  <c r="F6" i="5"/>
  <c r="E6" i="5"/>
  <c r="D6" i="5"/>
  <c r="C6" i="5"/>
  <c r="B6" i="5"/>
  <c r="A6" i="5"/>
  <c r="G47" i="8" l="1" a="1"/>
  <c r="G47" i="8" s="1"/>
  <c r="G53" i="8" a="1"/>
  <c r="G53" i="8" s="1"/>
  <c r="G62" i="8" a="1"/>
  <c r="G62" i="8" s="1"/>
  <c r="C63" i="8" a="1"/>
  <c r="C63" i="8" s="1"/>
  <c r="G26" i="8" a="1"/>
  <c r="G26" i="8" s="1"/>
  <c r="C32" i="8" a="1"/>
  <c r="C32" i="8" s="1"/>
  <c r="G48" i="8" a="1"/>
  <c r="G48" i="8" s="1"/>
  <c r="G54" i="8" a="1"/>
  <c r="G54" i="8" s="1"/>
  <c r="G63" i="8" a="1"/>
  <c r="G63" i="8" s="1"/>
  <c r="G17" i="8" a="1"/>
  <c r="G17" i="8" s="1"/>
  <c r="C27" i="8" a="1"/>
  <c r="C27" i="8" s="1"/>
  <c r="G41" i="8" a="1"/>
  <c r="G41" i="8" s="1"/>
  <c r="C49" i="8" a="1"/>
  <c r="C49" i="8" s="1"/>
  <c r="C57" i="8" a="1"/>
  <c r="C57" i="8" s="1"/>
  <c r="C66" i="8" a="1"/>
  <c r="C66" i="8" s="1"/>
  <c r="C35" i="8" a="1"/>
  <c r="C35" i="8" s="1"/>
  <c r="C42" i="8" a="1"/>
  <c r="C42" i="8" s="1"/>
  <c r="G49" i="8" a="1"/>
  <c r="G49" i="8" s="1"/>
  <c r="G57" i="8" a="1"/>
  <c r="G57" i="8" s="1"/>
  <c r="C67" i="8" a="1"/>
  <c r="C67" i="8" s="1"/>
  <c r="G18" i="8" a="1"/>
  <c r="G18" i="8" s="1"/>
  <c r="C28" i="8" a="1"/>
  <c r="C28" i="8" s="1"/>
  <c r="G35" i="8" a="1"/>
  <c r="G35" i="8" s="1"/>
  <c r="G42" i="8" a="1"/>
  <c r="G42" i="8" s="1"/>
  <c r="C50" i="8" a="1"/>
  <c r="C50" i="8" s="1"/>
  <c r="C58" i="8" a="1"/>
  <c r="C58" i="8" s="1"/>
  <c r="C19" i="8" a="1"/>
  <c r="C19" i="8" s="1"/>
  <c r="C36" i="8" a="1"/>
  <c r="C36" i="8" s="1"/>
  <c r="C43" i="8" a="1"/>
  <c r="C43" i="8" s="1"/>
  <c r="C51" i="8" a="1"/>
  <c r="C51" i="8" s="1"/>
  <c r="G66" i="8" a="1"/>
  <c r="G66" i="8" s="1"/>
  <c r="C68" i="8" a="1"/>
  <c r="C68" i="8" s="1"/>
  <c r="G59" i="8" a="1"/>
  <c r="G59" i="8" s="1"/>
  <c r="G68" i="8" a="1"/>
  <c r="G68" i="8" s="1"/>
  <c r="C69" i="8" a="1"/>
  <c r="C69" i="8" s="1"/>
  <c r="G61" i="8" a="1"/>
  <c r="G61" i="8" s="1"/>
  <c r="G32" i="8" a="1"/>
  <c r="G32" i="8" s="1"/>
  <c r="C41" i="8" a="1"/>
  <c r="C41" i="8" s="1"/>
  <c r="C62" i="8" a="1"/>
  <c r="C6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<sst xmlns="http://schemas.openxmlformats.org/spreadsheetml/2006/main" count="4666" uniqueCount="2241">
  <si>
    <t>paper_id</t>
  </si>
  <si>
    <t>file</t>
  </si>
  <si>
    <t>series_id</t>
  </si>
  <si>
    <t>run_id</t>
  </si>
  <si>
    <t>schema_version</t>
  </si>
  <si>
    <t>source_path</t>
  </si>
  <si>
    <t>analyzed_at</t>
  </si>
  <si>
    <t>snapshot_path</t>
  </si>
  <si>
    <t>layer_status</t>
  </si>
  <si>
    <t>PA_s_word_count</t>
  </si>
  <si>
    <t>PA_s_unique_word_count</t>
  </si>
  <si>
    <t>PA_s_ttr</t>
  </si>
  <si>
    <t>PA_s_sentence_count</t>
  </si>
  <si>
    <t>PA_s_paragraph_count</t>
  </si>
  <si>
    <t>PA_s_header_count</t>
  </si>
  <si>
    <t>PA_s_avg_words_per_sentence</t>
  </si>
  <si>
    <t>PA_s_avg_sentences_per_paragraph</t>
  </si>
  <si>
    <t>PA_g_noun_pct</t>
  </si>
  <si>
    <t>PA_g_verb_pct</t>
  </si>
  <si>
    <t>PA_g_adj_pct</t>
  </si>
  <si>
    <t>PA_g_adv_pct</t>
  </si>
  <si>
    <t>PA_g_prep_pct</t>
  </si>
  <si>
    <t>PA_g_passive_voice_count</t>
  </si>
  <si>
    <t>PA_g_passive_pct</t>
  </si>
  <si>
    <t>PA_g_modal_verb_count</t>
  </si>
  <si>
    <t>PA_g_assertive_verb_count</t>
  </si>
  <si>
    <t>PA_g_modal_vs_assertive_ratio</t>
  </si>
  <si>
    <t>PA_g_weight_signal</t>
  </si>
  <si>
    <t>PA_g_fluff_flag</t>
  </si>
  <si>
    <t>PA_sm_semantic_note</t>
  </si>
  <si>
    <t>PA_d_compression_ratio</t>
  </si>
  <si>
    <t>PA_d_density_label</t>
  </si>
  <si>
    <t>PA_d_stopword_ratio</t>
  </si>
  <si>
    <t>PA_d_trigram_redundancy</t>
  </si>
  <si>
    <t>PA_d_signal_noise_ratio</t>
  </si>
  <si>
    <t>PA_r_readability_note</t>
  </si>
  <si>
    <t>PA_r_avg_dependency_depth</t>
  </si>
  <si>
    <t>PA_r_max_dependency_depth</t>
  </si>
  <si>
    <t>PA_r_cognitive_load</t>
  </si>
  <si>
    <t>PA_a_claim_count</t>
  </si>
  <si>
    <t>PA_a_claim_density_per1k</t>
  </si>
  <si>
    <t>PA_a_evidence_count</t>
  </si>
  <si>
    <t>PA_a_evidence_density_per1k</t>
  </si>
  <si>
    <t>PA_a_evidence_to_claim_ratio</t>
  </si>
  <si>
    <t>PA_a_falsifiability_markers</t>
  </si>
  <si>
    <t>PA_a_argument_grade</t>
  </si>
  <si>
    <t>PA_f_transition_density_pct</t>
  </si>
  <si>
    <t>PA_f_transition_count</t>
  </si>
  <si>
    <t>PA_f_flow_label</t>
  </si>
  <si>
    <t>PA_lk_total_links</t>
  </si>
  <si>
    <t>PA_lk_link_density_per1k</t>
  </si>
  <si>
    <t>PA_lk_link_citation</t>
  </si>
  <si>
    <t>PA_lk_link_concept</t>
  </si>
  <si>
    <t>PA_lk_link_dependency</t>
  </si>
  <si>
    <t>PA_lk_link_evidence</t>
  </si>
  <si>
    <t>PA_lk_link_navigation</t>
  </si>
  <si>
    <t>PA_lk_internal_links</t>
  </si>
  <si>
    <t>PA_lk_external_links</t>
  </si>
  <si>
    <t>PA_lk_internal_external_ratio</t>
  </si>
  <si>
    <t>PA_lk_cross_domain_bridges</t>
  </si>
  <si>
    <t>PA_lk_link_quality_score</t>
  </si>
  <si>
    <t>PA_lk_underlink_flag</t>
  </si>
  <si>
    <t>PA_lk_overlink_flag</t>
  </si>
  <si>
    <t>PA_lk_concept_nodes</t>
  </si>
  <si>
    <t>PA_lk_concept_edges</t>
  </si>
  <si>
    <t>PA_lk_avg_degree</t>
  </si>
  <si>
    <t>PA_lk_clustering_coeff</t>
  </si>
  <si>
    <t>PA_lk_most_central_paragraph</t>
  </si>
  <si>
    <t>PA_lk_centralization</t>
  </si>
  <si>
    <t>PA_lk_isolated_nodes</t>
  </si>
  <si>
    <t>L1_word_count</t>
  </si>
  <si>
    <t>L1_unique_word_count</t>
  </si>
  <si>
    <t>L1_vocab_richness</t>
  </si>
  <si>
    <t>L1_paragraph_count</t>
  </si>
  <si>
    <t>L1_header_count</t>
  </si>
  <si>
    <t>L1_avg_paragraph_words</t>
  </si>
  <si>
    <t>L1_keybert_keywords</t>
  </si>
  <si>
    <t>L1_yake_keywords</t>
  </si>
  <si>
    <t>L1_top_bigrams</t>
  </si>
  <si>
    <t>L1_top_trigrams</t>
  </si>
  <si>
    <t>L2_title_detected</t>
  </si>
  <si>
    <t>L2_citation_count</t>
  </si>
  <si>
    <t>L2_author_year_citation_count</t>
  </si>
  <si>
    <t>L2_numeric_citation_count</t>
  </si>
  <si>
    <t>L2_citation_density_per1k</t>
  </si>
  <si>
    <t>L2_external_theory_count</t>
  </si>
  <si>
    <t>L2_external_theories</t>
  </si>
  <si>
    <t>L2_academic_signal_count</t>
  </si>
  <si>
    <t>L2_academic_signal_density</t>
  </si>
  <si>
    <t>L2_structure_score</t>
  </si>
  <si>
    <t>L2_heading_count</t>
  </si>
  <si>
    <t>L2_reference_entry_count</t>
  </si>
  <si>
    <t>L2_has_abstract</t>
  </si>
  <si>
    <t>L2_has_introduction</t>
  </si>
  <si>
    <t>L2_has_methodology</t>
  </si>
  <si>
    <t>L2_has_results</t>
  </si>
  <si>
    <t>L2_has_discussion</t>
  </si>
  <si>
    <t>L2_has_conclusion</t>
  </si>
  <si>
    <t>L2_has_references_section</t>
  </si>
  <si>
    <t>L2_footnote_count</t>
  </si>
  <si>
    <t>L2_url_references</t>
  </si>
  <si>
    <t>L2_doi_references</t>
  </si>
  <si>
    <t>L2_claim_marker_count</t>
  </si>
  <si>
    <t>L2_claim_density_per1k</t>
  </si>
  <si>
    <t>L2_evidence_marker_count</t>
  </si>
  <si>
    <t>L2_evidence_density_per1k</t>
  </si>
  <si>
    <t>L2_evidence_to_claim_ratio</t>
  </si>
  <si>
    <t>L2_falsifiability_marker_count</t>
  </si>
  <si>
    <t>L2_falsifiability_density_per1k</t>
  </si>
  <si>
    <t>L2_hedge_count</t>
  </si>
  <si>
    <t>L2_hedge_density_per1k</t>
  </si>
  <si>
    <t>L2_absolute_claim_count</t>
  </si>
  <si>
    <t>L2_absolute_density_per1k</t>
  </si>
  <si>
    <t>L2_hedge_to_absolute_ratio</t>
  </si>
  <si>
    <t>L2_counterargument_count</t>
  </si>
  <si>
    <t>L2_limitation_count</t>
  </si>
  <si>
    <t>L2_novelty_marker_count</t>
  </si>
  <si>
    <t>L2_definition_marker_count</t>
  </si>
  <si>
    <t>L2_quantitative_marker_count</t>
  </si>
  <si>
    <t>L2_equation_count</t>
  </si>
  <si>
    <t>L2_equation_density_per1k</t>
  </si>
  <si>
    <t>L2_claim_candidate_1</t>
  </si>
  <si>
    <t>L2_claim_candidate_2</t>
  </si>
  <si>
    <t>L2_claim_candidate_3</t>
  </si>
  <si>
    <t>L2_evidence_candidate_1</t>
  </si>
  <si>
    <t>L2_evidence_candidate_2</t>
  </si>
  <si>
    <t>L2_rubric_structure_points</t>
  </si>
  <si>
    <t>L2_rubric_grounding_points</t>
  </si>
  <si>
    <t>L2_rubric_claim_points</t>
  </si>
  <si>
    <t>L2_rubric_quantitative_points</t>
  </si>
  <si>
    <t>L2_rubric_falsifiability_points</t>
  </si>
  <si>
    <t>L2_academic_rubric_total</t>
  </si>
  <si>
    <t>L2_academic_rubric_grade</t>
  </si>
  <si>
    <t>L2_academic_grade</t>
  </si>
  <si>
    <t>L3_chi_score</t>
  </si>
  <si>
    <t>L3_chi_status</t>
  </si>
  <si>
    <t>L3_wisdom_score</t>
  </si>
  <si>
    <t>L3_knowledge_score</t>
  </si>
  <si>
    <t>L3_wk_ratio</t>
  </si>
  <si>
    <t>L3_wk_status</t>
  </si>
  <si>
    <t>L3_fruits_composite</t>
  </si>
  <si>
    <t>L3_dominant_fruit</t>
  </si>
  <si>
    <t>L3_fruits_detail</t>
  </si>
  <si>
    <t>L3_me_avg_score</t>
  </si>
  <si>
    <t>L3_me_dominant_variable</t>
  </si>
  <si>
    <t>L3_cross_domain_bridges</t>
  </si>
  <si>
    <t>L3_scripture_refs</t>
  </si>
  <si>
    <t>L3_ckg_raw</t>
  </si>
  <si>
    <t>L3_ckg_tier</t>
  </si>
  <si>
    <t>L3_me_G_gravity_belonging</t>
  </si>
  <si>
    <t>L3_me_M_mass_meaning</t>
  </si>
  <si>
    <t>L3_me_E_entropy_engagement</t>
  </si>
  <si>
    <t>L3_me_S_spacetime_structure</t>
  </si>
  <si>
    <t>L3_me_T_time_eternity</t>
  </si>
  <si>
    <t>L3_me_K_knowledge_logos</t>
  </si>
  <si>
    <t>L3_me_R_relationship</t>
  </si>
  <si>
    <t>L3_me_Q_quantum_observer</t>
  </si>
  <si>
    <t>L3_me_F_faith_coupling</t>
  </si>
  <si>
    <t>L3_me_C_christ_coherence</t>
  </si>
  <si>
    <t>L4_7q_verdict</t>
  </si>
  <si>
    <t>L5_entity_count</t>
  </si>
  <si>
    <t>L5_entity_people</t>
  </si>
  <si>
    <t>L5_entity_orgs</t>
  </si>
  <si>
    <t>L5_entity_concepts</t>
  </si>
  <si>
    <t>L5_entity_types_found</t>
  </si>
  <si>
    <t>L5_key_sentence_1</t>
  </si>
  <si>
    <t>L5_key_sentence_2</t>
  </si>
  <si>
    <t>L5_key_sentence_3</t>
  </si>
  <si>
    <t>L5_topic_count</t>
  </si>
  <si>
    <t>L6_truth_score</t>
  </si>
  <si>
    <t>L6_coherence_score</t>
  </si>
  <si>
    <t>L6_combined_score</t>
  </si>
  <si>
    <t>L6_evidence_density</t>
  </si>
  <si>
    <t>L6_falsifiability_density</t>
  </si>
  <si>
    <t>L6_hedge_density</t>
  </si>
  <si>
    <t>L6_contradiction_flags</t>
  </si>
  <si>
    <t>L6_absolute_pressure</t>
  </si>
  <si>
    <t>L6_rhetorical_force</t>
  </si>
  <si>
    <t>L6_warmth_score</t>
  </si>
  <si>
    <t>L6_discipline_score</t>
  </si>
  <si>
    <t>L6_fruit_integrity_score</t>
  </si>
  <si>
    <t>L6_anti_fruit_pressure</t>
  </si>
  <si>
    <t>L6_sentence_count</t>
  </si>
  <si>
    <t>L6_paragraph_count</t>
  </si>
  <si>
    <t>L6_section_count</t>
  </si>
  <si>
    <t>L6_claim_count</t>
  </si>
  <si>
    <t>L6_anchored_claims</t>
  </si>
  <si>
    <t>L6_under_supported_claims</t>
  </si>
  <si>
    <t>L6_overstated_claims</t>
  </si>
  <si>
    <t>L6_speculative_claims</t>
  </si>
  <si>
    <t>L6_contradictory_claims</t>
  </si>
  <si>
    <t>L6_falsifiable_claims</t>
  </si>
  <si>
    <t>L6_fruit_love</t>
  </si>
  <si>
    <t>L6_fruit_joy</t>
  </si>
  <si>
    <t>L6_fruit_peace</t>
  </si>
  <si>
    <t>L6_fruit_patience</t>
  </si>
  <si>
    <t>L6_fruit_kindness</t>
  </si>
  <si>
    <t>L6_fruit_goodness</t>
  </si>
  <si>
    <t>L6_fruit_faithfulness</t>
  </si>
  <si>
    <t>L6_fruit_gentleness</t>
  </si>
  <si>
    <t>L6_fruit_self_control</t>
  </si>
  <si>
    <t>L6_anti_love</t>
  </si>
  <si>
    <t>L6_anti_joy</t>
  </si>
  <si>
    <t>L6_anti_peace</t>
  </si>
  <si>
    <t>L6_anti_patience</t>
  </si>
  <si>
    <t>L6_anti_kindness</t>
  </si>
  <si>
    <t>L6_anti_goodness</t>
  </si>
  <si>
    <t>L6_anti_faithfulness</t>
  </si>
  <si>
    <t>L6_anti_gentleness</t>
  </si>
  <si>
    <t>L6_anti_self_control</t>
  </si>
  <si>
    <t>L6_attr_spiritual_coherence_kind</t>
  </si>
  <si>
    <t>L6_attr_spiritual_coherence_pos_hits</t>
  </si>
  <si>
    <t>L6_attr_spiritual_coherence_neg_hits</t>
  </si>
  <si>
    <t>L6_attr_spiritual_coherence_strength</t>
  </si>
  <si>
    <t>L6_attr_spiritual_coherence_counter_pressure</t>
  </si>
  <si>
    <t>L6_attr_spiritual_coherence_net_score</t>
  </si>
  <si>
    <t>L6_attr_humility_index_kind</t>
  </si>
  <si>
    <t>L6_attr_humility_index_pos_hits</t>
  </si>
  <si>
    <t>L6_attr_humility_index_neg_hits</t>
  </si>
  <si>
    <t>L6_attr_humility_index_strength</t>
  </si>
  <si>
    <t>L6_attr_humility_index_counter_pressure</t>
  </si>
  <si>
    <t>L6_attr_humility_index_net_score</t>
  </si>
  <si>
    <t>L6_attr_spiritual_discernment_kind</t>
  </si>
  <si>
    <t>L6_attr_spiritual_discernment_pos_hits</t>
  </si>
  <si>
    <t>L6_attr_spiritual_discernment_neg_hits</t>
  </si>
  <si>
    <t>L6_attr_spiritual_discernment_strength</t>
  </si>
  <si>
    <t>L6_attr_spiritual_discernment_counter_pressure</t>
  </si>
  <si>
    <t>L6_attr_spiritual_discernment_net_score</t>
  </si>
  <si>
    <t>L6_attr_moral_courage_kind</t>
  </si>
  <si>
    <t>L6_attr_moral_courage_pos_hits</t>
  </si>
  <si>
    <t>L6_attr_moral_courage_neg_hits</t>
  </si>
  <si>
    <t>L6_attr_moral_courage_strength</t>
  </si>
  <si>
    <t>L6_attr_moral_courage_counter_pressure</t>
  </si>
  <si>
    <t>L6_attr_moral_courage_net_score</t>
  </si>
  <si>
    <t>L6_attr_deception_mastery_kind</t>
  </si>
  <si>
    <t>L6_attr_deception_mastery_pos_hits</t>
  </si>
  <si>
    <t>L6_attr_deception_mastery_neg_hits</t>
  </si>
  <si>
    <t>L6_attr_deception_mastery_strength</t>
  </si>
  <si>
    <t>L6_attr_deception_mastery_counter_pressure</t>
  </si>
  <si>
    <t>L6_attr_deception_mastery_net_score</t>
  </si>
  <si>
    <t>L6_attr_charismatic_manipulation_kind</t>
  </si>
  <si>
    <t>L6_attr_charismatic_manipulation_pos_hits</t>
  </si>
  <si>
    <t>L6_attr_charismatic_manipulation_neg_hits</t>
  </si>
  <si>
    <t>L6_attr_charismatic_manipulation_strength</t>
  </si>
  <si>
    <t>L6_attr_charismatic_manipulation_counter_pressure</t>
  </si>
  <si>
    <t>L6_attr_charismatic_manipulation_net_score</t>
  </si>
  <si>
    <t>L6_attr_authority_usurpation_kind</t>
  </si>
  <si>
    <t>L6_attr_authority_usurpation_pos_hits</t>
  </si>
  <si>
    <t>L6_attr_authority_usurpation_neg_hits</t>
  </si>
  <si>
    <t>L6_attr_authority_usurpation_strength</t>
  </si>
  <si>
    <t>L6_attr_authority_usurpation_counter_pressure</t>
  </si>
  <si>
    <t>L6_attr_authority_usurpation_net_score</t>
  </si>
  <si>
    <t>L6_attr_global_solution_complex_kind</t>
  </si>
  <si>
    <t>L6_attr_global_solution_complex_pos_hits</t>
  </si>
  <si>
    <t>L6_attr_global_solution_complex_neg_hits</t>
  </si>
  <si>
    <t>L6_attr_global_solution_complex_strength</t>
  </si>
  <si>
    <t>L6_attr_global_solution_complex_counter_pressure</t>
  </si>
  <si>
    <t>L6_attr_global_solution_complex_net_score</t>
  </si>
  <si>
    <t>L6_threat_score</t>
  </si>
  <si>
    <t>L6_protection_score</t>
  </si>
  <si>
    <t>L6_balance_score</t>
  </si>
  <si>
    <t>L6_primary_threats</t>
  </si>
  <si>
    <t>L6_primary_protections</t>
  </si>
  <si>
    <t>L6_character_posture</t>
  </si>
  <si>
    <t>L6_integrity_profiles</t>
  </si>
  <si>
    <t>L6_top_supported_1</t>
  </si>
  <si>
    <t>L6_top_supported_2</t>
  </si>
  <si>
    <t>L6_top_risky_1</t>
  </si>
  <si>
    <t>L6_top_risky_2</t>
  </si>
  <si>
    <t>L7_centrality_within_series</t>
  </si>
  <si>
    <t>L7_cluster</t>
  </si>
  <si>
    <t>L8_nrc_status</t>
  </si>
  <si>
    <t>L8_nrc_fear</t>
  </si>
  <si>
    <t>L8_nrc_anger</t>
  </si>
  <si>
    <t>L8_nrc_anticipation</t>
  </si>
  <si>
    <t>L8_nrc_trust</t>
  </si>
  <si>
    <t>L8_nrc_surprise</t>
  </si>
  <si>
    <t>L8_nrc_positive</t>
  </si>
  <si>
    <t>L8_nrc_negative</t>
  </si>
  <si>
    <t>L8_nrc_sadness</t>
  </si>
  <si>
    <t>L8_nrc_disgust</t>
  </si>
  <si>
    <t>L8_nrc_joy</t>
  </si>
  <si>
    <t>L8_nrc_top_emotions</t>
  </si>
  <si>
    <t>L8_goemotions_status</t>
  </si>
  <si>
    <t>L8_fruit_emo_love</t>
  </si>
  <si>
    <t>L8_fruit_emo_love_pos</t>
  </si>
  <si>
    <t>L8_fruit_emo_love_neg</t>
  </si>
  <si>
    <t>L8_fruit_emo_joy</t>
  </si>
  <si>
    <t>L8_fruit_emo_joy_pos</t>
  </si>
  <si>
    <t>L8_fruit_emo_joy_neg</t>
  </si>
  <si>
    <t>L8_fruit_emo_peace</t>
  </si>
  <si>
    <t>L8_fruit_emo_peace_pos</t>
  </si>
  <si>
    <t>L8_fruit_emo_peace_neg</t>
  </si>
  <si>
    <t>L8_fruit_emo_patience</t>
  </si>
  <si>
    <t>L8_fruit_emo_patience_pos</t>
  </si>
  <si>
    <t>L8_fruit_emo_patience_neg</t>
  </si>
  <si>
    <t>L8_fruit_emo_kindness</t>
  </si>
  <si>
    <t>L8_fruit_emo_kindness_pos</t>
  </si>
  <si>
    <t>L8_fruit_emo_kindness_neg</t>
  </si>
  <si>
    <t>L8_fruit_emo_goodness</t>
  </si>
  <si>
    <t>L8_fruit_emo_goodness_pos</t>
  </si>
  <si>
    <t>L8_fruit_emo_goodness_neg</t>
  </si>
  <si>
    <t>L8_fruit_emo_faithfulness</t>
  </si>
  <si>
    <t>L8_fruit_emo_faithfulness_pos</t>
  </si>
  <si>
    <t>L8_fruit_emo_faithfulness_neg</t>
  </si>
  <si>
    <t>L8_fruit_emo_gentleness</t>
  </si>
  <si>
    <t>L8_fruit_emo_gentleness_pos</t>
  </si>
  <si>
    <t>L8_fruit_emo_gentleness_neg</t>
  </si>
  <si>
    <t>L8_fruit_emo_self_control</t>
  </si>
  <si>
    <t>L8_fruit_emo_self_control_pos</t>
  </si>
  <si>
    <t>L8_fruit_emo_self_control_neg</t>
  </si>
  <si>
    <t>L8_anti_emo_hatred</t>
  </si>
  <si>
    <t>L8_anti_emo_despair</t>
  </si>
  <si>
    <t>L8_anti_emo_conflict</t>
  </si>
  <si>
    <t>L8_anti_emo_impatience</t>
  </si>
  <si>
    <t>L8_anti_emo_cruelty</t>
  </si>
  <si>
    <t>L8_anti_emo_corruption</t>
  </si>
  <si>
    <t>L8_anti_emo_betrayal</t>
  </si>
  <si>
    <t>L8_anti_emo_harshness</t>
  </si>
  <si>
    <t>L8_anti_emo_indulgence</t>
  </si>
  <si>
    <t>L8_fruit_emo_composite</t>
  </si>
  <si>
    <t>L8_anti_emo_composite</t>
  </si>
  <si>
    <t>L8_fruit_emo_net</t>
  </si>
  <si>
    <t>L8_emo_dominant</t>
  </si>
  <si>
    <t>L8_emo_top_5</t>
  </si>
  <si>
    <t>L8_fruit_emo_strongest</t>
  </si>
  <si>
    <t>L8_fruit_emo_weakest</t>
  </si>
  <si>
    <t>L9_textdescriptives_status</t>
  </si>
  <si>
    <t>L9_lr_ttr</t>
  </si>
  <si>
    <t>L9_lr_rttr</t>
  </si>
  <si>
    <t>L9_lr_cttr</t>
  </si>
  <si>
    <t>L9_lr_words</t>
  </si>
  <si>
    <t>L9_lr_terms</t>
  </si>
  <si>
    <t>L9_lr_mtld</t>
  </si>
  <si>
    <t>L9_lr_mattr</t>
  </si>
  <si>
    <t>L10_idea_density_mean</t>
  </si>
  <si>
    <t>L10_idea_density_min</t>
  </si>
  <si>
    <t>L10_idea_density_max</t>
  </si>
  <si>
    <t>L10_idea_density_std</t>
  </si>
  <si>
    <t>L10_idea_total_propositions</t>
  </si>
  <si>
    <t>L10_idea_paragraphs_analyzed</t>
  </si>
  <si>
    <t>L10_idea_density_status</t>
  </si>
  <si>
    <t>L10_idea_density_level</t>
  </si>
  <si>
    <t>P-ad6fd537b9df</t>
  </si>
  <si>
    <t>MDA-000-series-map.md</t>
  </si>
  <si>
    <t>BA-733478a8bf</t>
  </si>
  <si>
    <t>20260530_220100</t>
  </si>
  <si>
    <t>2026.04.07-B</t>
  </si>
  <si>
    <t>C:\Users\lowes\Documents\Codex\2026-05-30\okay-let-find-the-open-ai\work\deploy_ready_extracted_md_20260530_220012\MDA-000-series-map.md</t>
  </si>
  <si>
    <t>2026-05-30T22:01:00.860876</t>
  </si>
  <si>
    <t>C:\Users\lowes\Documents\Codex\2026-05-30\okay-let-find-the-open-ai\outputs\deploy_ready_full_pipeline_20260530\paper_intelligence\snapshots\P-ad6fd537b9df_snapshot.json</t>
  </si>
  <si>
    <t>L1:ok,L10:ok,L13:skipped,L2:ok,L3:ok,L4:skipped,L5:ok,L6:ok,L7:ok,L8:ok,L9:ok,PA:ok</t>
  </si>
  <si>
    <t>MIXED</t>
  </si>
  <si>
    <t>sentence-transformers not available</t>
  </si>
  <si>
    <t>MODERATE</t>
  </si>
  <si>
    <t>textstat not available</t>
  </si>
  <si>
    <t>HIGH</t>
  </si>
  <si>
    <t>A — Evidence-Rich</t>
  </si>
  <si>
    <t>Series Map(0.0009) | Home Home(0.0019) | Home Previous(0.0027) | Main Index(0.0043) | Series Home(0.0056) | Master HTMl(0.0071) | Map(0.0073) | Moral Decline(0.0086) | Home Back(0.0093) | America Home(0.0099) | Series(0.0214) | Decline(0.0249)</t>
  </si>
  <si>
    <t>series map | moral decline | decline america | map moral | entry and | and series</t>
  </si>
  <si>
    <t>moral decline america | series map moral | map moral decline | entry and series</t>
  </si>
  <si>
    <t>Series Map | Moral Decline of America</t>
  </si>
  <si>
    <t>entropy</t>
  </si>
  <si>
    <t>3/7</t>
  </si>
  <si>
    <t>Ring 3 â€” Broader Context Related topics across the framework No connections mapped yet.</t>
  </si>
  <si>
    <t>Ring 2 â€” Supporting Evidence Deeper dives and formal treatments No connections mapped yet.</t>
  </si>
  <si>
    <t>the Modern State Research Method Human-led research with AI as collaborator, not authority The Trinity-Wave Collapse Mechanism How Father, Son, and Spirit actualize every quantum moment Deep Dives Supplementary analysis and academic papers.</t>
  </si>
  <si>
    <t>Introduction: The Lowe Family 1900 Samuel, 1900 1926 Henry, 1926 1950 William, 1950 1974 Thomas, 1974 1998 Jacob, 1998 2025 Jacob, 2025 Core Papers &amp; Domain Analysis The theoretical framework, empirical evidence, and domain-level deep resea</t>
  </si>
  <si>
    <t>The Complete Analysis Trans-domain analysis of American moral decline FACTS: The Academic Case The formal academic framework and methodology Technology &amp; Entropy How technological acceleration drives moral entropy Historical Timeline: 1900-</t>
  </si>
  <si>
    <t>D (Light)</t>
  </si>
  <si>
    <t>KNOWLEDGE-DOMINANT</t>
  </si>
  <si>
    <t>goodness</t>
  </si>
  <si>
    <t>goodness:3, love:0, joy:0, peace:0, patience:0</t>
  </si>
  <si>
    <t>E_entropy_engagement</t>
  </si>
  <si>
    <t>C — Moderate</t>
  </si>
  <si>
    <t>not run (use --openai flag)</t>
  </si>
  <si>
    <t>Samuel, William, Thomas, Jacob, Founders</t>
  </si>
  <si>
    <t>HTMl\K-Production-Ready\03-moral-decline\DEPLOY-READY\00-entry-and-series-map\MDA-000-series-map.html, Semantic Collapse, Core Papers &amp; Domain Analysis, American Christianity, The Entropic Society
Technology</t>
  </si>
  <si>
    <t>American</t>
  </si>
  <si>
    <t>ORG, CARDINAL, DATE, WORK_OF_ART, PERSON, FAC, NORP, GPE</t>
  </si>
  <si>
    <t>---
source_html: "\\dlowenas\HPWorkstation\Desktop\Master HTMl\K-Production-Ready\03-moral-decline\DEPLOY-READY\00-entry-and-series-map\MDA-000-series-map</t>
  </si>
  <si>
    <t>html"
deploy_relative: "00-entry-and-series-map\MDA-000-series-map</t>
  </si>
  <si>
    <t>html"
title: "Series Map | Moral Decline of America"
---
Series Map | Moral Decline of America
﻿
Series Map | Moral Decline of America
Home Home
Previous
|
Next
Series Home
Back to Main Index
A Ten-</t>
  </si>
  <si>
    <t>protective</t>
  </si>
  <si>
    <t>threat</t>
  </si>
  <si>
    <t>disciplined; spiritually ordered; technically strong, spiritually ordered</t>
  </si>
  <si>
    <t>coherent but cold; forceful and disciplined; precise but lifeless; technically strong, morally vacant; publication-ready but adversarially incomplete</t>
  </si>
  <si>
    <t>Why the Bad Is Easier Than the Good
The asymmetry problem — entropy, shortcuts, and the structural cost of virtue
The Coherence Metric
A physics-based framework for measuring structural integrity across domains
The Empirical Evidence
Four predictions, four tests, all confirmed — R̄ = 0.986, p &lt; 10⁻⁸
The Great Reconfiguration
A century of structural change in American Christianity (1900–2024)
The Entropic Society
Technology, obsolescence, and the devaluation of American moral capital (1950–2025)
The Regulatory Impulse (1900–1910)
Defining America’s moral foundation in the Progressive Era
The Biaxiosum Audit
Name your bias — the Founders vs.</t>
  </si>
  <si>
    <t>The Complete Analysis
Trans-domain analysis of American moral decline
FACTS: The Academic Case
The formal academic framework and methodology
Technology &amp; Entropy
How technological acceleration drives moral entropy
Historical Timeline: 1900-2025
125 years of inflection points mapped chronologically
The Moral Decline of America — A Genesis-to-Quantum Investigation
Related Work
Core article, supporting evidence, and broader context
Ring 1 â€” This Article
The core argument
You are here.</t>
  </si>
  <si>
    <t>The Ï‡-field measured across a civilization.</t>
  </si>
  <si>
    <t>The decline made personal.</t>
  </si>
  <si>
    <t>fallback: NRCLex not installed</t>
  </si>
  <si>
    <t>fallback: PreTrainedTokenizerFast._batch_encode_plus() got an unexpected keyword argument 'local_files_only'</t>
  </si>
  <si>
    <t>love</t>
  </si>
  <si>
    <t>self_control</t>
  </si>
  <si>
    <t>fallback: textdescriptives not installed</t>
  </si>
  <si>
    <t>fallback: lexical proposition estimate</t>
  </si>
  <si>
    <t>HIGH (academic)</t>
  </si>
  <si>
    <t>P-77064a67c17b</t>
  </si>
  <si>
    <t>MDA-001-story-introduction.md</t>
  </si>
  <si>
    <t>C:\Users\lowes\Documents\Codex\2026-05-30\okay-let-find-the-open-ai\work\deploy_ready_extracted_md_20260530_220012\MDA-001-story-introduction.md</t>
  </si>
  <si>
    <t>2026-05-30T22:01:51.444135</t>
  </si>
  <si>
    <t>C:\Users\lowes\Documents\Codex\2026-05-30\okay-let-find-the-open-ai\outputs\deploy_ready_full_pipeline_20260530\paper_intelligence\snapshots\P-77064a67c17b_snapshot.json</t>
  </si>
  <si>
    <t>Moral Decline(0.0003) | Decline Introduction(0.0021) | Mode Standard(0.0028) | Standard Current(0.0028) | Academic Method(0.0077) | American Story(0.0077) | Decline(0.008) | Moral(0.0083) | Master HTMl(0.0084) | Standard active(0.0092) | bridge Standard(0.0092) | pressure Standard(0.0106)</t>
  </si>
  <si>
    <t>moral decline | the father | american story | the son | the truth | truth and</t>
  </si>
  <si>
    <t>the truth and | mda story introduction | american story moral | story moral decline</t>
  </si>
  <si>
    <t>An American Story | Moral Decline of America</t>
  </si>
  <si>
    <t>2/7</t>
  </si>
  <si>
    <t>Each of these requires time and structure to develop.</t>
  </si>
  <si>
    <t>Part IV: Thomas (1974) - The Breaking 5.</t>
  </si>
  <si>
    <t>What was once imposed can now be chosen.</t>
  </si>
  <si>
    <t>Ring 2 — Supporting Evidence Deeper dives and formal treatments No connections mapped yet.</t>
  </si>
  <si>
    <t>Series Start Series Home Next Theophysics Home MDA-001 of 54 Related Work Core article, supporting evidence, and broader context Ring 1 — This Article The core argument You are here.</t>
  </si>
  <si>
    <t>F (Needs Citations)</t>
  </si>
  <si>
    <t>WEAK</t>
  </si>
  <si>
    <t>BALANCED</t>
  </si>
  <si>
    <t>goodness:6, love:2, peace:2, patience:2, kindness:2</t>
  </si>
  <si>
    <t>T_time_eternity</t>
  </si>
  <si>
    <t>D — Developing</t>
  </si>
  <si>
    <t>Reader Mode
Standard, Standard, Samuel, Henry, Bill</t>
  </si>
  <si>
    <t>HTMl\K-Production-Ready\03-moral-decline\DEPLOY-READY\01-story-thread\MDA-001, Delta, The Thesis
Behavior, apps7, Matrix - Domain &amp; Virtue Audit
Series</t>
  </si>
  <si>
    <t>ORG, CARDINAL, NORP, PERSON, WORK_OF_ART, PRODUCT, DATE, GPE, ORDINAL, LOC, QUANTITY, TIME</t>
  </si>
  <si>
    <t>---
source_html: "\\dlowenas\HPWorkstation\Desktop\Master HTMl\K-Production-Ready\03-moral-decline\DEPLOY-READY\01-story-thread\MDA-001-story-introduction</t>
  </si>
  <si>
    <t>html"
deploy_relative: "01-story-thread\MDA-001-story-introduction</t>
  </si>
  <si>
    <t>html"
title: "An American Story | Moral Decline of America"
---
An American Story | Moral Decline of America
﻿
An American Story | Moral Decline of America
Home Home
Previous
|
Next
Series Home
THEO</t>
  </si>
  <si>
    <t>agitated or reactionary; charitable; disciplined; spiritually ordered; technically strong, spiritually ordered</t>
  </si>
  <si>
    <t>forceful and disciplined; narrow but rigorous; publication-ready but adversarially incomplete</t>
  </si>
  <si>
    <t>The Technology Thread
Each generation lives inside a different technological environment:
EraTechnologyPaceSilence
1900NoneWalk pace; 6-mile journey to see a girlTotal; stars and crickets
1926Radio, Model TShrinking distance; voices from far awayInvaded 1hr/night
1950Television4hrs/day; images of strangersFamily gathers around one screen
1974TV everywhere, The Pill6hrs/day; chaos in living roomCan't remember last silence
1998Internet, early phonesAlways on; infinite scroll beginsNotifications interrupt thought
2025Smartphone, AI, dating apps7+ hours screen timeMust be *chosen*
Technology is not the villain.</t>
  </si>
  <si>
    <t>﻿
An American Story | Moral Decline of America
Home Home
Previous
|
Next
Series Home
THEOPHYSICS
Moral Decline
Introduction
Reader Mode
Standard active
Easy
Plain-language bridge
Standard
Current article
Academic
Method + caveats
Proof
Proof pressure
Standard is the live article.</t>
  </si>
  <si>
    <t>But optional is not impossible.</t>
  </si>
  <si>
    <t>Each man facing the same fundamental questions: Who will I marry?</t>
  </si>
  <si>
    <t>P-fae02a8699be</t>
  </si>
  <si>
    <t>MDA-002-samuel-1900.md</t>
  </si>
  <si>
    <t>C:\Users\lowes\Documents\Codex\2026-05-30\okay-let-find-the-open-ai\work\deploy_ready_extracted_md_20260530_220012\MDA-002-samuel-1900.md</t>
  </si>
  <si>
    <t>2026-05-30T22:01:52.389328</t>
  </si>
  <si>
    <t>C:\Users\lowes\Documents\Codex\2026-05-30\okay-let-find-the-open-ai\outputs\deploy_ready_full_pipeline_20260530\paper_intelligence\snapshots\P-fae02a8699be_snapshot.json</t>
  </si>
  <si>
    <t>Moral Decline(0.0014) | Mode Standard(0.0036) | Standard Current(0.0036) | Moral Weight(0.0047) | Reader Mode(0.0049) | Master HTMl(0.0079) | Academic Method(0.0084) | Standard active(0.0107) | bridge Standard(0.0107) | Easy Plain-language(0.0123) | Decline(0.0131) | pressure Standard(0.0135)</t>
  </si>
  <si>
    <t>moral decline | distance still | still had | had moral | moral weight | mda samuel</t>
  </si>
  <si>
    <t>distance still had | still had moral | had moral weight | moral weight moral</t>
  </si>
  <si>
    <t>When Distance Still Had Moral Weight | Moral Decline of America</t>
  </si>
  <si>
    <t>1/7</t>
  </si>
  <si>
    <t>Sixty percent of Americans live in rural areas.</t>
  </si>
  <si>
    <t>You learn to wait, because waiting is what life is.</t>
  </si>
  <si>
    <t>Previous Series Home Next Theophysics Home MDA-002 of 54 Related Work Core article, supporting evidence, and broader context Ring 1 — This Article The core argument You are here.</t>
  </si>
  <si>
    <t>patience</t>
  </si>
  <si>
    <t>patience:3, love:0, joy:0, peace:0, kindness:0</t>
  </si>
  <si>
    <t>Samuel
Reader Mode
Standard, Standard, Samuel, Samuel Lowe, David Lowe</t>
  </si>
  <si>
    <t>HTMl\K-Production-Ready\03-moral-decline\DEPLOY-READY\01-story-thread\MDA-002-, Coherence, Information Pace3</t>
  </si>
  <si>
    <t>Americans, American</t>
  </si>
  <si>
    <t>ORG, CARDINAL, PERSON, WORK_OF_ART, DATE, PRODUCT, GPE, QUANTITY, PERCENT, NORP, MONEY, TIME</t>
  </si>
  <si>
    <t>---
source_html: "\\dlowenas\HPWorkstation\Desktop\Master HTMl\K-Production-Ready\03-moral-decline\DEPLOY-READY\01-story-thread\MDA-002-samuel-1900</t>
  </si>
  <si>
    <t>html"
title: "When Distance Still Had Moral Weight | Moral Decline of America"
---
When Distance Still Had Moral Weight | Moral Decline of America
﻿
When Distance Still Had Moral Weight | Moral Decl</t>
  </si>
  <si>
    <t>Proof Pressure Layer
Vetted Claims for MDA-002-samuel-1900
No promoted claim
No claim from this article survived the deterministic Axiom + 7Q gate strongly enough for the proof layer yet</t>
  </si>
  <si>
    <t>technically strong, spiritually ordered</t>
  </si>
  <si>
    <t>﻿
When Distance Still Had Moral Weight | Moral Decline of America
Home Home
Previous
|
Next
Series Home
THEOPHYSICS
Story 01: Samuel
Reader Mode
Standard active
Easy
Plain-language bridge
Standard
Current article
Academic
Method + caveats
Proof
Proof pressure
Standard is the live article.</t>
  </si>
  <si>
    <t>The Numbers of the Baseline
Divorce Rate0.7 per 1,000
Fertility Rate3.5 children/woman
Information Pace3 days / 50 miles
Church AttendanceFunctionally Universal
The silence is vast.</t>
  </si>
  <si>
    <t>A world small enough to be whole.</t>
  </si>
  <si>
    <t>Just darkness, stars, and the sound of your own breathing.</t>
  </si>
  <si>
    <t>MODERATE (accessible)</t>
  </si>
  <si>
    <t>P-85382786a23d</t>
  </si>
  <si>
    <t>MDA-003-measuring-moral-health.md</t>
  </si>
  <si>
    <t>C:\Users\lowes\Documents\Codex\2026-05-30\okay-let-find-the-open-ai\work\deploy_ready_extracted_md_20260530_220012\MDA-003-measuring-moral-health.md</t>
  </si>
  <si>
    <t>2026-05-30T22:01:52.855202</t>
  </si>
  <si>
    <t>C:\Users\lowes\Documents\Codex\2026-05-30\okay-let-find-the-open-ai\outputs\deploy_ready_full_pipeline_20260530\paper_intelligence\snapshots\P-85382786a23d_snapshot.json</t>
  </si>
  <si>
    <t>Moral Health(0.0041) | Moral Decline(0.0059) | Measure Moral(0.0083) | Coherence Factor(0.01) | Master HTMl(0.0105) | Coherence(0.0133) | Moral(0.0141) | Health(0.0319) | Decline(0.0363) | America(0.0386) | Factor(0.0392) | PART(0.0415)</t>
  </si>
  <si>
    <t>moral health | the coherence | coherence factor | moral decline | can measure | measure moral</t>
  </si>
  <si>
    <t>the coherence factor | can measure moral | measure moral health | moral decline america</t>
  </si>
  <si>
    <t>Can We Measure Moral Health? | Moral Decline of America</t>
  </si>
  <si>
    <t xml:space="preserve">Here's the trajectory: YearÏ‡Status 19000.85Highly coherent 19500.78Stable 19650.72Cracks forming 19730.55Critical drop 20000.40Below warning level 20240.24Below threshold The critical threshold—the point below which societies historically </t>
  </si>
  <si>
    <t>GDP tells us how much money moves around.</t>
  </si>
  <si>
    <t>You can have high GDP with low coherence.</t>
  </si>
  <si>
    <t>If you're willing to follow the data wherever it leads, keep reading.</t>
  </si>
  <si>
    <t>peace</t>
  </si>
  <si>
    <t>peace:3, love:1, faithfulness:1, hope:1, joy:0</t>
  </si>
  <si>
    <t>C_christ_coherence</t>
  </si>
  <si>
    <t>B — Strong</t>
  </si>
  <si>
    <t>Reader Mode
Standard, Standard, David Lowe • Theophysics Institute, Ring 1 â€, Ring 2 â€</t>
  </si>
  <si>
    <t>HTMl\K-Production-Ready\03-moral-decline\DEPLOY-READY\02-method, Coherence</t>
  </si>
  <si>
    <t>Amish, Democrats, Republicans</t>
  </si>
  <si>
    <t>ORG, CARDINAL, WORK_OF_ART, PERSON, PRODUCT, GPE, DATE, NORP, FAC</t>
  </si>
  <si>
    <t>---
source_html: "\\dlowenas\HPWorkstation\Desktop\Master HTMl\K-Production-Ready\03-moral-decline\DEPLOY-READY\02-method-and-metrics\MDA-003-measuring-moral-health</t>
  </si>
  <si>
    <t>html"
deploy_relative: "02-method-and-metrics\MDA-003-measuring-moral-health</t>
  </si>
  <si>
    <t>| Moral Decline of America
Home Home
Previous
|
Next
Series Home
Reader Mode
Standard active
Easy
Plain-language bridge
Standard
Current article
Academic
Method + caveats
Proof
Proof pressure
Standard</t>
  </si>
  <si>
    <t>mixed spiritual posture</t>
  </si>
  <si>
    <t>coherent but cold; forceful and disciplined; precise but lifeless; technically strong, morally vacant; narrow but rigorous</t>
  </si>
  <si>
    <t>What This Series Will Show You
Over the next nine articles, we're going to:
Define exactly what Ï‡ measures (Part 2)
Show you what Ï‡ = 0.85 looked like (Part 3)
Trace the decline year by year (Parts 4-6)
Prove it didn't have to happen (Part 7: The Amish)
Show cases where Ï‡ was restored (Parts 8-9)
Ask the question that matters (Part 10)
By the end, you'll understand:
Why everything feels like it's falling apart (it is)
Why it happened (we did it to ourselves)
Why it didn't have to happen (the Amish prove it)
Whether recovery is possible (historically, yes—but only one way)
A Warning
This series is not about politics.</t>
  </si>
  <si>
    <t>Moral Decline of America • Theophysics Institute
David Lowe • Theophysics Institute • 2024-2026
Previous
Series Home
Next 
Theophysics Home
MDA-003 of 54
Related Work
Core article, supporting evidence, and broader context
Ring 1 â€” This Article
The core argument
You are here.</t>
  </si>
  <si>
    <t>﻿
Can We Measure Moral Health?</t>
  </si>
  <si>
    <t>P-5115499be213</t>
  </si>
  <si>
    <t>MDA-005-empirical-evidence.md</t>
  </si>
  <si>
    <t>C:\Users\lowes\Documents\Codex\2026-05-30\okay-let-find-the-open-ai\work\deploy_ready_extracted_md_20260530_220012\MDA-005-empirical-evidence.md</t>
  </si>
  <si>
    <t>2026-05-30T22:01:53.785228</t>
  </si>
  <si>
    <t>C:\Users\lowes\Documents\Codex\2026-05-30\okay-let-find-the-open-ai\outputs\deploy_ready_full_pipeline_20260530\paper_intelligence\snapshots\P-5115499be213_snapshot.json</t>
  </si>
  <si>
    <t>CONCEPTUAL</t>
  </si>
  <si>
    <t>Mode Standard(0.0036) | Standard Current(0.0036) | Reader Mode(0.0055) | Empirical Evidence(0.0116) | Master HTMl(0.0132) | Easy Plain-language(0.0143) | Standard active(0.0149) | bridge Standard(0.0149) | Standard(0.0164) | Decline(0.0165) | pressure Standard(0.0197) | Plain-language bridge(0.0225)</t>
  </si>
  <si>
    <t>empirical evidence | phase transition | seven domains | maximum decline | moral decline | the empirical</t>
  </si>
  <si>
    <t>the empirical evidence | did not adopt | mda empirical evidence | empirical evidence moral</t>
  </si>
  <si>
    <t>The Empirical Evidence | Moral Decline of America</t>
  </si>
  <si>
    <t>Across all 21 domain pairs Fisher z-Test z = 7.44 What this equation says in English This is a statistical check.</t>
  </si>
  <si>
    <t>p &lt;&lt; 0.0001 Threshold Exceeded 21 / 21 All pairs exceed critical r = 0.602 What this equation says in English This is a statistical check.</t>
  </si>
  <si>
    <t>Method: Compute pairwise Pearson correlations across all seven domain indices for the full measurement period (1940–2024, n = 11 time points).</t>
  </si>
  <si>
    <t>Summary of Evidence Test Prediction Result Significance Cross-domain correlation R̄ ≫ 0 R̄ = 0.986 p &lt;&lt; 0.0001 Structural synchronization Breaks in same window 6/7 in 1968–1973 p &lt; 10−8 Threshold behavior Discontinuous decline 2.5x faster a</t>
  </si>
  <si>
    <t>It reports whether the measured pattern is strong enough to treat as evidence rather than as a loose impression.</t>
  </si>
  <si>
    <t>C (Developing)</t>
  </si>
  <si>
    <t>peace:7, self_control:1, love:0, joy:0, patience:0</t>
  </si>
  <si>
    <t>Reader Mode
Standard, Standard, David Lowe • Theophysics Institute, Domains, Maximum Decline</t>
  </si>
  <si>
    <t>HTMl\K-Production-Ready\03-moral-decline\DEPLOY-READY\02-method-and-metrics\MDA-005, Collapse, Pairwise Pearson Correlation Matrix, Media, Fisher z-Test</t>
  </si>
  <si>
    <t>American, Amish, Roe v. Wade
Reproductive</t>
  </si>
  <si>
    <t>ORG, CARDINAL, WORK_OF_ART, PERSON, PRODUCT, NORP, DATE, LANGUAGE, GPE, QUANTITY, PERCENT, MONEY, LAW, EVENT</t>
  </si>
  <si>
    <t>---
source_html: "\\dlowenas\HPWorkstation\Desktop\Master HTMl\K-Production-Ready\03-moral-decline\DEPLOY-READY\02-method-and-metrics\MDA-005-empirical-evidence</t>
  </si>
  <si>
    <t>html"
deploy_relative: "02-method-and-metrics\MDA-005-empirical-evidence</t>
  </si>
  <si>
    <t>html"
title: "The Empirical Evidence | Moral Decline of America"
---
The Empirical Evidence | Moral Decline of America
﻿
The Empirical Evidence | Moral Decline of America
Home Home
Previous
|
Next
S</t>
  </si>
  <si>
    <t>disciplined; technically strong, spiritually ordered</t>
  </si>
  <si>
    <t>If maximum declines were uniformly distributed across 84 years (1940–2024), the probability of 6 or more domains peaking within the same 5-year window is:
Probability of Coincidence
p &lt; 10-8
This is not coincidence.</t>
  </si>
  <si>
    <t>American data, 1900–2025
David Lowe • Theophysics Institute
If social coherence (Ï‡) is a real order parameter governed by constraint pressure (P), it makes specific, falsifiable predictions.</t>
  </si>
  <si>
    <t>Not vague directional claims.</t>
  </si>
  <si>
    <t>Social coherence (Ï‡) behaves as a real order parameter.</t>
  </si>
  <si>
    <t>VERY HIGH (dense academic)</t>
  </si>
  <si>
    <t>P-d67cbfce1ec4</t>
  </si>
  <si>
    <t>MDA-006-research-method.md</t>
  </si>
  <si>
    <t>C:\Users\lowes\Documents\Codex\2026-05-30\okay-let-find-the-open-ai\work\deploy_ready_extracted_md_20260530_220012\MDA-006-research-method.md</t>
  </si>
  <si>
    <t>2026-05-30T22:01:54.981274</t>
  </si>
  <si>
    <t>C:\Users\lowes\Documents\Codex\2026-05-30\okay-let-find-the-open-ai\outputs\deploy_ready_full_pipeline_20260530\paper_intelligence\snapshots\P-d67cbfce1ec4_snapshot.json</t>
  </si>
  <si>
    <t>Mode Standard(0.0032) | Standard Current(0.0032) | Reader Mode(0.005) | Measure Decline(0.0056) | Master HTMl(0.0104) | Standard active(0.0116) | bridge Standard(0.0116) | Moral Decline(0.012) | pressure Standard(0.0124) | Easy Plain-language(0.0124) | Standard(0.015) | Question(0.0162)</t>
  </si>
  <si>
    <t>moral decline | the research | file question | how measure | measure decline | decline america</t>
  </si>
  <si>
    <t>how measure decline | moral decline america | mda research method | measure decline moral</t>
  </si>
  <si>
    <t>How We Measure Decline | Moral Decline of America</t>
  </si>
  <si>
    <t>complexity</t>
  </si>
  <si>
    <t>It requires a method that can hold that complexity without collapsing it.</t>
  </si>
  <si>
    <t>15 + 15 = 100 David Lowe • Theophysics Institute Previous Series Home Next Theophysics Home MDA-006 of 54 Related Work Core article, supporting evidence, and broader context Ring 1 â€” This Article The core argument You are here.</t>
  </si>
  <si>
    <t>Do not judge it yet â€” just collect it.</t>
  </si>
  <si>
    <t>Primary sources, data links, study citations, statistics with dates and sourcing.</t>
  </si>
  <si>
    <t>File: Quotes_Domains_Links_[Question].md What AI Does â€” and Does Not Do AI Is Used To Map intellectual terrain quickly across multiple disciplines Surface contradictions between competing interpretations Organize competing frameworks side</t>
  </si>
  <si>
    <t>self_control:2, kindness:1, love:0, joy:0, peace:0</t>
  </si>
  <si>
    <t>S_spacetime_structure</t>
  </si>
  <si>
    <t>Reader Mode
Standard, Standard, David Lowe • Theophysics Institute, David Lowe, Captures</t>
  </si>
  <si>
    <t>HTMl\K-Production-Ready\03-moral-decline\DEPLOY-READY\02-method, AI, Research Workspace
Evidence &amp; Links, Contradictions &amp; Resolution
Sense-Making, Domains, &amp; Links
Shared Library</t>
  </si>
  <si>
    <t>Contradictions</t>
  </si>
  <si>
    <t>ORG, CARDINAL, WORK_OF_ART, PERSON, PRODUCT, GPE, DATE, NORP</t>
  </si>
  <si>
    <t>---
source_html: "\\dlowenas\HPWorkstation\Desktop\Master HTMl\K-Production-Ready\03-moral-decline\DEPLOY-READY\02-method-and-metrics\MDA-006-research-method</t>
  </si>
  <si>
    <t>html"
deploy_relative: "02-method-and-metrics\MDA-006-research-method</t>
  </si>
  <si>
    <t>html"
title: "How We Measure Decline | Moral Decline of America"
---
How We Measure Decline | Moral Decline of America
﻿
How We Measure Decline | Moral Decline of America
Home Home
Previous
|
Next
S</t>
  </si>
  <si>
    <t>File: Quotes_Domains_Links_[Question].md
What AI Does â€” and Does Not Do
AI Is Used To
Map intellectual terrain quickly across multiple disciplines
Surface contradictions between competing interpretations
Organize competing frameworks side by side
Suggest where deeper primary-source study is needed
Stress-test early conclusions against counterarguments
AI Is Not Used To
Decide what is true
Replace primary-source verification
Frame the initial question before the researcher does
Select which evidence counts as significant
Resolve contradictions that require human judgment
Some AI outputs in this project are incomplete.</t>
  </si>
  <si>
    <t>15 + 15 = 100
David Lowe • Theophysics Institute
Previous
Series Home
Next 
Theophysics Home
MDA-006 of 54
Related Work
Core article, supporting evidence, and broader context
Ring 1 â€” This Article
The core argument
You are here.</t>
  </si>
  <si>
    <t>Some outputs may be incomplete or wrong.</t>
  </si>
  <si>
    <t>The research question isn't academic to me.</t>
  </si>
  <si>
    <t>P-c38c656b2b9b</t>
  </si>
  <si>
    <t>MDA-007-nine-domains.md</t>
  </si>
  <si>
    <t>C:\Users\lowes\Documents\Codex\2026-05-30\okay-let-find-the-open-ai\work\deploy_ready_extracted_md_20260530_220012\MDA-007-nine-domains.md</t>
  </si>
  <si>
    <t>2026-05-30T22:01:56.042056</t>
  </si>
  <si>
    <t>C:\Users\lowes\Documents\Codex\2026-05-30\okay-let-find-the-open-ai\outputs\deploy_ready_full_pipeline_20260530\paper_intelligence\snapshots\P-c38c656b2b9b_snapshot.json</t>
  </si>
  <si>
    <t>Mode Standard(0.0037) | Reader Mode(0.0054) | Academic Method(0.0094) | Master HTMl(0.0119) | Easy Plain-language(0.0141) | Standard active(0.0141) | bridge Standard(0.0141) | pressure Standard(0.0147) | Standard(0.0167) | America(0.0185) | Coherence Factor(0.02) | Plain-language bridge(0.0209)</t>
  </si>
  <si>
    <t>why matters | nine domains | moral decline | coherence factor | civic participation | shared meaning</t>
  </si>
  <si>
    <t>moral decline america | the coherence factor | mda nine domains | america made moral</t>
  </si>
  <si>
    <t>What America Is Made Of | Moral Decline of America</t>
  </si>
  <si>
    <t>When it disappears, everything must be argued.</t>
  </si>
  <si>
    <t>The Threshold Question Why do we say Ï‡ = 0.35 is the threshold?</t>
  </si>
  <si>
    <t>Without it, every transaction requires verification, every promise requires enforcement, and coordination becomes impossible.</t>
  </si>
  <si>
    <t>Moral Decline of America • Theophysics Institute David Lowe • Theophysics Institute • 2024-2026 Previous Series Home Next Theophysics Home MDA-007 of 54 Related Work Core article, supporting evidence, and broader context Ring 1 â€” This Art</t>
  </si>
  <si>
    <t>STRONG</t>
  </si>
  <si>
    <t>self_control:3, love:1, faithfulness:1, hope:1, joy:0</t>
  </si>
  <si>
    <t>Reader Mode
Standard, Standard, David Lowe • Theophysics Institute, Civic, Jumps</t>
  </si>
  <si>
    <t>HTMl\K-Production-Ready\03-moral-decline\DEPLOY-READY\02-method, Social Trust, Safety (S, Self-Control (C, STD</t>
  </si>
  <si>
    <t>Mental</t>
  </si>
  <si>
    <t>ORG, CARDINAL, WORK_OF_ART, GPE, PERSON, PRODUCT, DATE, EVENT, NORP, ORDINAL, PERCENT</t>
  </si>
  <si>
    <t>---
source_html: "\\dlowenas\HPWorkstation\Desktop\Master HTMl\K-Production-Ready\03-moral-decline\DEPLOY-READY\02-method-and-metrics\MDA-007-nine-domains</t>
  </si>
  <si>
    <t>html"
deploy_relative: "02-method-and-metrics\MDA-007-nine-domains</t>
  </si>
  <si>
    <t>html"
title: "What America Is Made Of | Moral Decline of America"
---
What America Is Made Of | Moral Decline of America
﻿
What America Is Made Of | Moral Decline of America
Home Home
Previous
|
Nex</t>
  </si>
  <si>
    <t>agitated or reactionary; disciplined</t>
  </si>
  <si>
    <t>1900 score0.92
2024 score0.20
The Coherence Factor Formula
Ï‡ is calculated as the weighted average of all nine domains:
Coherence Factor
Ï‡ = (F + T + S + C + M + E + P + Σ + I) / 9
Each domain is normalized to a 0–1 scale using historical benchmarks.</t>
  </si>
  <si>
    <t>﻿
What America Is Made Of | Moral Decline of America
Home Home
Previous
|
Next
Series Home
Reader Mode
Standard active
Easy
Plain-language bridge
Standard
Current article
Academic
Method + caveats
Proof
Proof pressure
Standard is the live article.</t>
  </si>
  <si>
    <t>When people fear each other, community becomes impossible.</t>
  </si>
  <si>
    <t>Now let's open the hood.</t>
  </si>
  <si>
    <t>P-5eaaaea5ccd2</t>
  </si>
  <si>
    <t>MDA-008-henry-1926.md</t>
  </si>
  <si>
    <t>C:\Users\lowes\Documents\Codex\2026-05-30\okay-let-find-the-open-ai\work\deploy_ready_extracted_md_20260530_220012\MDA-008-henry-1926.md</t>
  </si>
  <si>
    <t>2026-05-30T22:01:57.146552</t>
  </si>
  <si>
    <t>C:\Users\lowes\Documents\Codex\2026-05-30\okay-let-find-the-open-ai\outputs\deploy_ready_full_pipeline_20260530\paper_intelligence\snapshots\P-5eaaaea5ccd2_snapshot.json</t>
  </si>
  <si>
    <t>Henry(0.0028) | Mode Standard(0.0032) | Standard Current(0.0032) | Reader Mode(0.0053) | Academic Method(0.0091) | Henry Reader(0.0105) | Samuel(0.0111) | Voices Entered(0.0121) | Master HTMl(0.0133) | Easy Plain-language(0.0135) | Standard active(0.0139) | bridge Standard(0.0139)</t>
  </si>
  <si>
    <t>his father | the world | the radio | the same | the farm | doesn know</t>
  </si>
  <si>
    <t>voices entered the | entered the home | the home moral | home moral decline</t>
  </si>
  <si>
    <t>When Voices Entered the Home | Moral Decline of America</t>
  </si>
  <si>
    <t>He lives in a world where patience is required, where faithfulness is expected, where the costs of failure are high and visible.</t>
  </si>
  <si>
    <t>Samuel holds his gaze for a long moment.</t>
  </si>
  <si>
    <t>The radio says so, when they turn it on.</t>
  </si>
  <si>
    <t>Previous Series Home Next Theophysics Home MDA-008 of 54 Related Work Core article, supporting evidence, and broader context Ring 1 — This Article The core argument You are here.</t>
  </si>
  <si>
    <t>goodness:10, patience:7, faithfulness:5, love:3, kindness:3</t>
  </si>
  <si>
    <t>F — Needs Work</t>
  </si>
  <si>
    <t>Henry
Reader Mode
Standard, Standard, Samuel, Lowe, Henry</t>
  </si>
  <si>
    <t>HTMl\K-Production-Ready\03-moral-decline\DEPLOY-READY\01-story-thread\MDA-008-henry-1926.html, Radiola, Mercers, The Options
Henry's, Richland</t>
  </si>
  <si>
    <t>American, Americans</t>
  </si>
  <si>
    <t>ORG, CARDINAL, PERSON, WORK_OF_ART, PRODUCT, GPE, DATE, QUANTITY, NORP, TIME, ORDINAL, MONEY, PERCENT, EVENT, FAC</t>
  </si>
  <si>
    <t>---
source_html: "\\dlowenas\HPWorkstation\Desktop\Master HTMl\K-Production-Ready\03-moral-decline\DEPLOY-READY\01-story-thread\MDA-008-henry-1926</t>
  </si>
  <si>
    <t>html"
title: "When Voices Entered the Home | Moral Decline of America"
---
When Voices Entered the Home | Moral Decline of America
﻿
When Voices Entered the Home | Moral Decline of America
Home Home</t>
  </si>
  <si>
    <t>Proof Pressure Layer
Vetted Claims for MDA-008-henry-1926
No promoted claim
No claim from this article survived the deterministic Axiom + 7Q gate strongly enough for the proof layer yet</t>
  </si>
  <si>
    <t>He just knows it's 1945, and the war is over, and his son is thirteen, and the farm is still here, and that's enough.</t>
  </si>
  <si>
    <t>"This is when you find out who you are," Samuel tells Henry in the winter of 1931.</t>
  </si>
  <si>
    <t>Moments in the car when he could push further.</t>
  </si>
  <si>
    <t>Importantly, nothing appears broken.</t>
  </si>
  <si>
    <t>P-6174b3e6eed2</t>
  </si>
  <si>
    <t>MDA-009-the-1900-baseline.md</t>
  </si>
  <si>
    <t>C:\Users\lowes\Documents\Codex\2026-05-30\okay-let-find-the-open-ai\work\deploy_ready_extracted_md_20260530_220012\MDA-009-the-1900-baseline.md</t>
  </si>
  <si>
    <t>2026-05-30T22:02:00.087004</t>
  </si>
  <si>
    <t>C:\Users\lowes\Documents\Codex\2026-05-30\okay-let-find-the-open-ai\outputs\deploy_ready_full_pipeline_20260530\paper_intelligence\snapshots\P-6174b3e6eed2_snapshot.json</t>
  </si>
  <si>
    <t>Mode Standard(0.003) | Reader Mode(0.0048) | Master HTMl(0.0092) | Standard active(0.0103) | bridge Standard(0.0103) | pressure Standard(0.0115) | Easy Plain-language(0.0117) | Standard(0.0144) | Standard Current(0.0164) | Plain-language bridge(0.0166) | Home Reader(0.0231) | people(0.0241)</t>
  </si>
  <si>
    <t>the baseline | the numbers | meant practice | moral decline | decline america | the coherence</t>
  </si>
  <si>
    <t>moral decline america | mda the baseline | the baseline moral | baseline moral decline</t>
  </si>
  <si>
    <t>The 1900 Baseline | Moral Decline of America</t>
  </si>
  <si>
    <t>Overeating was physically difficult—food required preparation.</t>
  </si>
  <si>
    <t>What did America look like when Ï‡ = 0.85?</t>
  </si>
  <si>
    <t>Self-Control Ï‡C = 0.80 The numbers Obesity rate: ~5% (vs.</t>
  </si>
  <si>
    <t>Moral Decline of America • Theophysics Institute David Lowe • Theophysics Institute • 2024-2026 Previous Series Home Next Theophysics Home MDA-009 of 54 Related Work Core article, supporting evidence, and broader context Ring 1 â€” This Art</t>
  </si>
  <si>
    <t>self_control:3, love:2, peace:1, goodness:1, faithfulness:1</t>
  </si>
  <si>
    <t>Reader Mode
Standard, Standard, David Lowe • Theophysics Institute, Volunteer, Adam</t>
  </si>
  <si>
    <t>HTMl\K-Production-Ready\03-moral-decline\DEPLOY-READY\03-evidence-chronology\MDA-009-, MDA-009, Mental Health, Civic, Elks</t>
  </si>
  <si>
    <t>Christian</t>
  </si>
  <si>
    <t>ORG, DATE, CARDINAL, WORK_OF_ART, PERSON, PRODUCT, GPE, PERCENT, ORDINAL, NORP</t>
  </si>
  <si>
    <t>---
source_html: "\\dlowenas\HPWorkstation\Desktop\Master HTMl\K-Production-Ready\03-moral-decline\DEPLOY-READY\03-evidence-chronology\MDA-009-the-1900-baseline</t>
  </si>
  <si>
    <t>html"
deploy_relative: "03-evidence-chronology\MDA-009-the-1900-baseline</t>
  </si>
  <si>
    <t>html"
title: "The 1900 Baseline | Moral Decline of America"
---
The 1900 Baseline | Moral Decline of America
﻿
The 1900 Baseline | Moral Decline of America
Home Home
Previous
|
Next
Series Home
Read</t>
  </si>
  <si>
    <t>disciplined</t>
  </si>
  <si>
    <t>coherent but cold; technically strong, morally vacant; narrow but rigorous; publication-ready but adversarially incomplete</t>
  </si>
  <si>
    <t>Civic
Ï‡P = 0.88
The numbers
Civic organization membership: 60%+ of adults
Church attendance: 40% weekly
Voter participation: ~70% in major elections
Volunteer rates: Immeasurable (not tracked because it was assumed)
What it meant in practice
You belonged to things.</t>
  </si>
  <si>
    <t>Trust
Ï‡T = 0.85
The numbers
75%+ reported trusting "most people"
Handshake deals were legally and socially binding
Contracts were short—often one page
Neighbors left doors unlocked
What it meant in practice
If someone gave you their word, that meant something.</t>
  </si>
  <si>
    <t>They've never experienced it.</t>
  </si>
  <si>
    <t>Real problems existed.</t>
  </si>
  <si>
    <t>P-b16210a6fece</t>
  </si>
  <si>
    <t>MDA-010-pre-modern-baseline.md</t>
  </si>
  <si>
    <t>C:\Users\lowes\Documents\Codex\2026-05-30\okay-let-find-the-open-ai\work\deploy_ready_extracted_md_20260530_220012\MDA-010-pre-modern-baseline.md</t>
  </si>
  <si>
    <t>2026-05-30T22:02:01.419459</t>
  </si>
  <si>
    <t>C:\Users\lowes\Documents\Codex\2026-05-30\okay-let-find-the-open-ai\outputs\deploy_ready_full_pipeline_20260530\paper_intelligence\snapshots\P-b16210a6fece_snapshot.json</t>
  </si>
  <si>
    <t>Key Statistics(0.0058) | Statistics Metric(0.0058) | Moral(0.0069) | rate(0.0089) | divorce rate(0.0094) | social(0.0103) | federal(0.0105) | Master HTMl(0.0132) | Easy Plain-language(0.0134) | Illiteracy Rate(0.0154) | Pre-Modern Baseline(0.0167) | Child Labor(0.0172)</t>
  </si>
  <si>
    <t>and the | pre modern | modern baseline | key statistics | statistics metric | for the</t>
  </si>
  <si>
    <t>pre modern baseline | key statistics metric | statistics metric source | the pre modern</t>
  </si>
  <si>
    <t>The Pre-Modern Baseline | Moral Decline of America</t>
  </si>
  <si>
    <t>Prohibition itself, achieved through central state power, paradoxically established a moral standard that was instantly national and highly centralized â€” and therefore ripe for mass, organized evasion in the 1920s.</t>
  </si>
  <si>
    <t>A critical complexity in the South must be acknowledged: white Progressives viewed the disfranchisement of Black citizens and the codification of Jim Crow segregation as necessary reforms to ensure racial peace and clean up electoral corrup</t>
  </si>
  <si>
    <t>The draft and industrial mobilization required immediate, unprecedented federal intervention in daily life.</t>
  </si>
  <si>
    <t>15 + 15 = 100 David Lowe • Theophysics Institute Previous Series Home Next Theophysics Home MDA-010 of 54 Related Work Core article, supporting evidence, and broader context Ring 1 â€” This Article The core argument You are here.</t>
  </si>
  <si>
    <t>But the data underneath the facade tells a different story.</t>
  </si>
  <si>
    <t>peace:5, self_control:5, faithfulness:3, hope:3, gentleness:2</t>
  </si>
  <si>
    <t>M_mass_meaning</t>
  </si>
  <si>
    <t>Reader Mode
Standard, Standard, David Lowe • Theophysics Institute, Key Statistics
Metric
1900, Juvenile Delinquency</t>
  </si>
  <si>
    <t>HTMl\K-Production-Ready\03-moral-decline\DEPLOY-READY\03-evidence-chronology\MDA-010-pre, The Pre-Modern Baseline, the Comstock Acts, Black, the Pure Food and Drug Act</t>
  </si>
  <si>
    <t>Victorian, Progressive, Catholic, Jewish</t>
  </si>
  <si>
    <t>ORG, CARDINAL, WORK_OF_ART, PERSON, PRODUCT, FAC, DATE, NORP, GPE, EVENT, LOC, LAW, MONEY, PERCENT, QUANTITY, TIME, ORDINAL</t>
  </si>
  <si>
    <t>---
source_html: "\\dlowenas\HPWorkstation\Desktop\Master HTMl\K-Production-Ready\03-moral-decline\DEPLOY-READY\03-evidence-chronology\MDA-010-pre-modern-baseline</t>
  </si>
  <si>
    <t>html"
deploy_relative: "03-evidence-chronology\MDA-010-pre-modern-baseline</t>
  </si>
  <si>
    <t>html"
title: "The Pre-Modern Baseline | Moral Decline of America"
---
The Pre-Modern Baseline | Moral Decline of America
﻿
The Pre-Modern Baseline | Moral Decline of America
Home Home
Previous
|
Nex</t>
  </si>
  <si>
    <t>15 + 15 = 100
David Lowe • Theophysics Institute
Previous
Series Home
Next 
Theophysics Home
MDA-010 of 54
Related Work
Core article, supporting evidence, and broader context
Ring 1 â€” This Article
The core argument
You are here.</t>
  </si>
  <si>
    <t>Decade Deep-Dive • 1900â€“1919
The Pre-Modern Baseline
The Victorian End Game (1900â€“1919)
When stability was forced by constraint, not consensus
David Lowe • Theophysics Institute
The two decades from 1900 to 1919 are the final structural expression of Victorian moral standards in America â€” the last clean readout before mass media, the automobile, and two World Wars rewrote the operating system.</t>
  </si>
  <si>
    <t>Everything we measure later, we measure against this.</t>
  </si>
  <si>
    <t>On paper, it looked like consensus.</t>
  </si>
  <si>
    <t>P-5714a123d5b0</t>
  </si>
  <si>
    <t>MDA-011-collective-security-1930.md</t>
  </si>
  <si>
    <t>C:\Users\lowes\Documents\Codex\2026-05-30\okay-let-find-the-open-ai\work\deploy_ready_extracted_md_20260530_220012\MDA-011-collective-security-1930.md</t>
  </si>
  <si>
    <t>2026-05-30T22:02:04.314456</t>
  </si>
  <si>
    <t>C:\Users\lowes\Documents\Codex\2026-05-30\okay-let-find-the-open-ai\outputs\deploy_ready_full_pipeline_20260530\paper_intelligence\snapshots\P-5714a123d5b0_snapshot.json</t>
  </si>
  <si>
    <t>Moral Decline(0.0026) | Mode Standard(0.003) | Standard Current(0.003) | Reader Mode(0.0049) | Collective Security(0.0055) | Moral(0.006) | Academic Method(0.0083) | America Home(0.0085) | Social Security(0.0095) | Security(0.0098) | Master HTMl(0.0107) | Standard active(0.0112)</t>
  </si>
  <si>
    <t>collective security | was the | for the | the moral | the new | new deal</t>
  </si>
  <si>
    <t>the new deal | the most influential | development was the | the age collective</t>
  </si>
  <si>
    <t>The Age of Collective Security | Moral Decline of America</t>
  </si>
  <si>
    <t>The 1930s did not invent the welfare state.</t>
  </si>
  <si>
    <t>Sympathy for "crime, wrongdoing, evil, or sin" was prohibited.</t>
  </si>
  <si>
    <t>history, a majority of American youth completed secondary education.</t>
  </si>
  <si>
    <t>6) [19]EBSCO â€” Commercial Radio Broadcasting Begins [20]Congress.gov â€” A Brief Examination of Union Membership Data [26]Wyoming EAD â€” Historical Census of Housing: Homeownership Rates 1900 to 2020 [31]Wikipedia â€” Hays Code 15 + 15 =</t>
  </si>
  <si>
    <t>of Chicago Press â€” Marriage and Divorce Rates in Wisconsin, 1920â€“35 [6]Our World in Data â€” Marriages and Divorces [7]ASPE / HHS â€” Trends in Family Structure [8]PBS â€” The First Measured Century: Data Disruption Timeline [9]Sociolog</t>
  </si>
  <si>
    <t>C (Moderate)</t>
  </si>
  <si>
    <t>goodness:4, peace:2, hope:2, love:1, joy:0</t>
  </si>
  <si>
    <t>A — Publication Grade</t>
  </si>
  <si>
    <t>Reader Mode
Standard, Standard, David Lowe • Theophysics Institute, Syphilis prevalence1, Sympathy</t>
  </si>
  <si>
    <t>HTMl\K-Production-Ready\03-moral-decline\DEPLOY-READY\03-evidence-chronology\MDA-011, Social Security, the Progressive Era's, the Repeal of Prohibition, HS</t>
  </si>
  <si>
    <t>American, Americans, Progressive, National Labor Relations Act</t>
  </si>
  <si>
    <t>ORG, CARDINAL, WORK_OF_ART, PERSON, PRODUCT, GPE, DATE, EVENT, ORDINAL, PERCENT, NORP, TIME, LAW, LOC</t>
  </si>
  <si>
    <t>---
source_html: "\\dlowenas\HPWorkstation\Desktop\Master HTMl\K-Production-Ready\03-moral-decline\DEPLOY-READY\03-evidence-chronology\MDA-011-collective-security-1930</t>
  </si>
  <si>
    <t>html"
deploy_relative: "03-evidence-chronology\MDA-011-collective-security-1930</t>
  </si>
  <si>
    <t>html"
title: "The Age of Collective Security | Moral Decline of America"
---
The Age of Collective Security | Moral Decline of America
﻿
The Age of Collective Security | Moral Decline of America
Hom</t>
  </si>
  <si>
    <t>6)
[19]EBSCO â€” Commercial Radio Broadcasting Begins
[20]Congress.gov â€” A Brief Examination of Union Membership Data
[26]Wyoming EAD â€” Historical Census of Housing: Homeownership Rates 1900 to 2020
[31]Wikipedia â€” Hays Code
15 + 15 = 100
David Lowe • Theophysics Institute
Previous
Series Home
Next 
Theophysics Home
MDA-011 of 54
Related Work
Core article, supporting evidence, and broader context
Ring 1 â€” This Article
The core argument
You are here.</t>
  </si>
  <si>
    <t>Part 1 Â· Verified Statistical Data (1930â€“1940)
The statistics of the 1930s primarily reveal the consequences of economic hardship, which both suppressed the preceding decade's cultural rebellion and simultaneously forced deep institutional changes.</t>
  </si>
  <si>
    <t>This act was the formal, constitutional rejection of the core belief of the Progressive movement: that government could â€” or should â€” enforce personal moral virtue.</t>
  </si>
  <si>
    <t>Married couples appeared in separate beds.</t>
  </si>
  <si>
    <t>P-45de3640a23d</t>
  </si>
  <si>
    <t>MDA-012-william-1950.md</t>
  </si>
  <si>
    <t>C:\Users\lowes\Documents\Codex\2026-05-30\okay-let-find-the-open-ai\work\deploy_ready_extracted_md_20260530_220012\MDA-012-william-1950.md</t>
  </si>
  <si>
    <t>2026-05-30T22:02:05.881000</t>
  </si>
  <si>
    <t>C:\Users\lowes\Documents\Codex\2026-05-30\okay-let-find-the-open-ai\outputs\deploy_ready_full_pipeline_20260530\paper_intelligence\snapshots\P-45de3640a23d_snapshot.json</t>
  </si>
  <si>
    <t>Bill(0.0036) | Moral Decline(0.0036) | Reader Mode(0.0051) | Academic Method(0.0088) | Decline(0.0089) | Mary(0.0097) | Master HTMl(0.0123) | Comfort Replaced(0.0123) | Replaced Necessity(0.0125) | Easy Plain-language(0.013) | Mary Hendricks(0.0149) | Henry(0.0156)</t>
  </si>
  <si>
    <t>doesn know | the world | the first | for the | his father | first time</t>
  </si>
  <si>
    <t>for the first | the first time | comfort replaced necessity | doesn know the</t>
  </si>
  <si>
    <t>When Comfort Replaced Necessity | Moral Decline of America</t>
  </si>
  <si>
    <t>He doesn't know he's living in the peak.</t>
  </si>
  <si>
    <t>A comedian, a singer, a trained dog act.</t>
  </si>
  <si>
    <t>Have a nice life in Ohio." She hangs up.</t>
  </si>
  <si>
    <t>Previous Series Home Next Theophysics Home MDA-012 of 54 Related Work Core article, supporting evidence, and broader context Ring 1 — This Article The core argument You are here.</t>
  </si>
  <si>
    <t>goodness:13, peace:6, love:4, patience:3, gentleness:3</t>
  </si>
  <si>
    <t>William
Reader Mode
Standard, Standard, Milton Berle, Ed Sullivan, William Lowe</t>
  </si>
  <si>
    <t>HTMl\K-Production-Ready\03-moral-decline\DEPLOY-READY\01-story-thread\MDA-012-, Comfort Replaced Necessity, GI, The Federal Housing Administration, Park Forest</t>
  </si>
  <si>
    <t>American, Philco</t>
  </si>
  <si>
    <t>ORG, CARDINAL, PERSON, WORK_OF_ART, PRODUCT, DATE, GPE, PERCENT, NORP, ORDINAL, TIME, QUANTITY, MONEY, EVENT</t>
  </si>
  <si>
    <t>---
source_html: "\\dlowenas\HPWorkstation\Desktop\Master HTMl\K-Production-Ready\03-moral-decline\DEPLOY-READY\01-story-thread\MDA-012-william-1950</t>
  </si>
  <si>
    <t xml:space="preserve">html"
title: "When Comfort Replaced Necessity | Moral Decline of America"
---
When Comfort Replaced Necessity | Moral Decline of America
﻿
When Comfort Replaced Necessity | Moral Decline of America
</t>
  </si>
  <si>
    <t>Proof Pressure Layer
Vetted Claims for MDA-012-william-1950
No promoted claim
No claim from this article survived the deterministic Axiom + 7Q gate strongly enough for the proof layer yet</t>
  </si>
  <si>
    <t>Ohio, 1950
William Lowe - Bill, everyone calls him Bill - is eighteen years old, and for the first time in three generations, a Lowe boy is not thinking primarily about the farm.</t>
  </si>
  <si>
    <t>Communication is faster - long distance phone calls are common now, you can talk to someone across the country in real time.</t>
  </si>
  <si>
    <t>He could have chosen that.</t>
  </si>
  <si>
    <t>She looks at him like he might be worth looking at.</t>
  </si>
  <si>
    <t>P-b1721534cce8</t>
  </si>
  <si>
    <t>MDA-013-peak-coherence-1940.md</t>
  </si>
  <si>
    <t>C:\Users\lowes\Documents\Codex\2026-05-30\okay-let-find-the-open-ai\work\deploy_ready_extracted_md_20260530_220012\MDA-013-peak-coherence-1940.md</t>
  </si>
  <si>
    <t>2026-05-30T22:02:08.729023</t>
  </si>
  <si>
    <t>C:\Users\lowes\Documents\Codex\2026-05-30\okay-let-find-the-open-ai\outputs\deploy_ready_full_pipeline_20260530\paper_intelligence\snapshots\P-b1721534cce8_snapshot.json</t>
  </si>
  <si>
    <t>Mode Standard(0.0029) | Standard Current(0.0029) | Moral Decline(0.0031) | Reader Mode(0.0048) | Master HTMl(0.0103) | Standard active(0.0108) | Academic Method(0.0112) | Easy Plain-language(0.0118) | Moral(0.0126) | America Home(0.0133) | pressure Standard(0.0134) | Decline(0.0135)</t>
  </si>
  <si>
    <t>union density | post war | peak coherence | and the | the decade | hays code</t>
  </si>
  <si>
    <t>the crucible consensus | the hays code | the single income | mda peak coherence</t>
  </si>
  <si>
    <t>The Crucible of Consensus | Moral Decline of America</t>
  </si>
  <si>
    <t>That comfort gave the next generation the economic freedom to break free from family and institutional controls â€” rendering the single-income model unnecessary, and therefore negotiable.</t>
  </si>
  <si>
    <t>Marshall 1880â€“1959 · Chief of Staff → Secretary of State Marshall embodied the subordination of the individual to collective purpose.</t>
  </si>
  <si>
    <t>15 + 15 = 100 David Lowe • Theophysics Institute Previous Series Home Next Theophysics Home MDA-013 of 54 Related Work Core article, supporting evidence, and broader context Ring 1 â€” This Article The core argument You are here.</t>
  </si>
  <si>
    <t>When Kinsey’s data dropped, it didn’t create the deviance.</t>
  </si>
  <si>
    <t>peace:2, gentleness:2, humility:2, love:1, goodness:1</t>
  </si>
  <si>
    <t>Reader Mode
Standard, Standard, David Lowe • Theophysics Institute, Kinsey, Alfred Kinsey</t>
  </si>
  <si>
    <t>HTMl\K-Production-Ready\03-moral-decline\DEPLOY-READY\03-evidence-chronology\MDA-013, Theophysics, Men)24.3â€”22.7U.S. Census
Median, Women)21.5â€”20.3U.S. Census
Out-of-wedlock, Media</t>
  </si>
  <si>
    <t>American, Americans, the Marshall Plan</t>
  </si>
  <si>
    <t>ORG, CARDINAL, WORK_OF_ART, PERSON, PRODUCT, DATE, NORP, ORDINAL, PERCENT, EVENT, GPE, LAW, LOC</t>
  </si>
  <si>
    <t>---
source_html: "\\dlowenas\HPWorkstation\Desktop\Master HTMl\K-Production-Ready\03-moral-decline\DEPLOY-READY\03-evidence-chronology\MDA-013-peak-coherence-1940</t>
  </si>
  <si>
    <t>html"
deploy_relative: "03-evidence-chronology\MDA-013-peak-coherence-1940</t>
  </si>
  <si>
    <t>html"
title: "The Crucible of Consensus | Moral Decline of America"
---
The Crucible of Consensus | Moral Decline of America
﻿
The Crucible of Consensus | Moral Decline of America
Home Home
Previous</t>
  </si>
  <si>
    <t>That single institutional change is one of the six simultaneous structural breaks in the 1968â€“1973 decoupling that the framework predicts.</t>
  </si>
  <si>
    <t>But there is a number you have to look at squarely if you are going to be honest about this decade.</t>
  </si>
  <si>
    <t>The result was what cultural analysts call a binary moral universe: wrongdoing on screen was never sympathetically portrayed, and consequence was always visible.</t>
  </si>
  <si>
    <t>That number never recovered.</t>
  </si>
  <si>
    <t>P-10c538ca5abc</t>
  </si>
  <si>
    <t>MDA-014-fissure-1950.md</t>
  </si>
  <si>
    <t>C:\Users\lowes\Documents\Codex\2026-05-30\okay-let-find-the-open-ai\work\deploy_ready_extracted_md_20260530_220012\MDA-014-fissure-1950.md</t>
  </si>
  <si>
    <t>2026-05-30T22:02:10.443118</t>
  </si>
  <si>
    <t>C:\Users\lowes\Documents\Codex\2026-05-30\okay-let-find-the-open-ai\outputs\deploy_ready_full_pipeline_20260530\paper_intelligence\snapshots\P-10c538ca5abc_snapshot.json</t>
  </si>
  <si>
    <t>Moral Decline(0.0026) | Reader Mode(0.0049) | Moral(0.0075) | Academic Method(0.0083) | Master HTMl(0.0106) | Easy Plain-language(0.012) | Decline(0.0137) | Moral Authority(0.0183) | Plain-language bridge(0.0185) | Current article(0.0191) | Home Reader(0.0193) | American(0.021)</t>
  </si>
  <si>
    <t>the equation | and the | the same | was the | the fissure | fissure conformity</t>
  </si>
  <si>
    <t>the fissure conformity | fissure conformity moral | conformity moral decline | moral decline america</t>
  </si>
  <si>
    <t>The Fissure in Conformity | Moral Decline of America</t>
  </si>
  <si>
    <t>epistemology</t>
  </si>
  <si>
    <t>Household Debt-to-Income Ratio 0.31 → 0.55 1950 to 1960 — a 77% increase in a single decade Read this as a moral statistic, not a financial one.</t>
  </si>
  <si>
    <t>15 + 15 = 100 David Lowe • Theophysics Institute Previous Series Home Next Theophysics Home MDA-014 of 54 Related Work Core article, supporting evidence, and broader context Ring 1 — This Article The core argument You are here.</t>
  </si>
  <si>
    <t>Television Penetration 9% → 90% 1950 to 1960 — the fastest mass-media saturation in American history The content in 1958 was conformist — Leave It to Beaver, Father Knows Best, the idealized suburban nuclear family broadcast as universal no</t>
  </si>
  <si>
    <t>Empirical data became a higher court than tradition.</t>
  </si>
  <si>
    <t>peace:4, gentleness:3, kindness:1, goodness:1, love:0</t>
  </si>
  <si>
    <t>Reader Mode
Standard, Standard, David Lowe • Theophysics Institute, Teen Birth Rate, Eisenhower</t>
  </si>
  <si>
    <t>HTMl\K-Production-Ready\03-moral-decline\DEPLOY-READY\03-evidence-chronology\MDA-014-fissure-1950.html, Peak Consensus, Hidden Cracks, Trust in Government, Median Marriage Age</t>
  </si>
  <si>
    <t>American, Soviet, Americans, the Hays Production Code</t>
  </si>
  <si>
    <t>ORG, CARDINAL, WORK_OF_ART, PERSON, PRODUCT, DATE, EVENT, GPE, PERCENT, ORDINAL, NORP, TIME, LAW</t>
  </si>
  <si>
    <t>---
source_html: "\\dlowenas\HPWorkstation\Desktop\Master HTMl\K-Production-Ready\03-moral-decline\DEPLOY-READY\03-evidence-chronology\MDA-014-fissure-1950</t>
  </si>
  <si>
    <t>html"
deploy_relative: "03-evidence-chronology\MDA-014-fissure-1950</t>
  </si>
  <si>
    <t>html"
title: "The Fissure in Conformity | Moral Decline of America"
---
The Fissure in Conformity | Moral Decline of America
﻿
The Fissure in Conformity | Moral Decline of America
Home Home
Previous</t>
  </si>
  <si>
    <t>coherent but cold; forceful and disciplined; narrow but rigorous; publication-ready but adversarially incomplete</t>
  </si>
  <si>
    <t>The Veneer (1950–1960)
Trust in Government (1958)73%
Weekly Church Attendance49%
Children in Two-Parent Homes87.5%
Median Marriage Age (Female)20.3
Home Ownership (1960)62.1%
The Underneath
Household Debt-to-Income0.31 → 0.55
TV Ownership9% → 90%
Union Density (1953 → 1960)33.2% → 30.7%
Teen Birth Rate (per 1,000)89.1
Enovid (the Pill) Released1960
The veneer panel is the picture the decade told about itself.</t>
  </si>
  <si>
    <t>That matters, because in the equation, a system with one negentropic source is structurally more fragile than a system with many.</t>
  </si>
  <si>
    <t>There has never been another technology that achieved that kind of saturation that quickly.</t>
  </si>
  <si>
    <t>Debt was no longer something you paid off so you could live free.</t>
  </si>
  <si>
    <t>P-ac8790ade693</t>
  </si>
  <si>
    <t>MDA-015-long-decline.md</t>
  </si>
  <si>
    <t>C:\Users\lowes\Documents\Codex\2026-05-30\okay-let-find-the-open-ai\work\deploy_ready_extracted_md_20260530_220012\MDA-015-long-decline.md</t>
  </si>
  <si>
    <t>2026-05-30T22:02:11.853413</t>
  </si>
  <si>
    <t>C:\Users\lowes\Documents\Codex\2026-05-30\okay-let-find-the-open-ai\outputs\deploy_ready_full_pipeline_20260530\paper_intelligence\snapshots\P-ac8790ade693_snapshot.json</t>
  </si>
  <si>
    <t>Reader Mode(0.0047) | Academic Method(0.0079) | Master HTMl(0.0086) | Long Decline(0.0093) | Easy Plain-language(0.0114) | Moral Decline(0.0134) | Plain-language bridge(0.0156) | Decline(0.0196) | Home Reader(0.0225) | Mode Standard(0.0254) | Proof pressure(0.0269) | Coherence(0.0288)</t>
  </si>
  <si>
    <t>long decline | moral decline | the long | decline america | mda long | decline moral</t>
  </si>
  <si>
    <t>the long decline | moral decline america | mda long decline | long decline moral</t>
  </si>
  <si>
    <t>The Long Decline | Moral Decline of America</t>
  </si>
  <si>
    <t>But it required new coherence structures to replace the old ones.</t>
  </si>
  <si>
    <t>1900: Ï‡ = 0.85 1965: Ï‡ = 0.72 Slow decline.</t>
  </si>
  <si>
    <t>Ï‡ trajectory: 0.85 → 0.82 The move to cities wasn't inherently bad.</t>
  </si>
  <si>
    <t>Moral Decline of America • Theophysics Institute David Lowe • Theophysics Institute • 2024-2026 Previous Series Home Next Theophysics Home MDA-015 of 54 Related Work Core article, supporting evidence, and broader context Ring 1 â€” This Art</t>
  </si>
  <si>
    <t>love:1, goodness:1, faithfulness:1, gentleness:1, humility:1</t>
  </si>
  <si>
    <t>Reader Mode
Standard, Standard, David Lowe • Theophysics Institute, Levittown, Civic</t>
  </si>
  <si>
    <t>HTMl\K-Production-Ready\03-moral-decline\DEPLOY-READY\03-evidence-, Nobody Noticed, Secular, Mainline Protestant</t>
  </si>
  <si>
    <t>Americans, Veterans, American, The Phase Transition</t>
  </si>
  <si>
    <t>ORG, CARDINAL, WORK_OF_ART, PERSON, PRODUCT, GPE, DATE, PERCENT, ORDINAL, EVENT, NORP, LAW</t>
  </si>
  <si>
    <t>---
source_html: "\\dlowenas\HPWorkstation\Desktop\Master HTMl\K-Production-Ready\03-moral-decline\DEPLOY-READY\03-evidence-chronology\MDA-015-long-decline</t>
  </si>
  <si>
    <t>html"
deploy_relative: "03-evidence-chronology\MDA-015-long-decline</t>
  </si>
  <si>
    <t xml:space="preserve">html"
title: "The Long Decline | Moral Decline of America"
---
The Long Decline | Moral Decline of America
﻿
The Long Decline | Moral Decline of America
Home Home
Previous
|
Next
Series Home
Reader </t>
  </si>
  <si>
    <t>coherent but cold; forceful and disciplined; technically strong, morally vacant; narrow but rigorous; publication-ready but adversarially incomplete</t>
  </si>
  <si>
    <t>The Numbers Tell the Story
Metric1900193019501965
Divorce rate0.71.62.62.5
Children with both parents95%90%88%85%
Church attendance40%38%49%*42%
Trust "most people"75%70%72%55%
Civic org membership60%55%45%38%
Multi-gen households25%18%12%8%
*1950 church attendance spike was post-war anomaly, not trend reversal
What Nobody Noticed
The decline was invisible because:
Economic growth masked it.</t>
  </si>
  <si>
    <t>Wave 4: Suburbanization (1945–1965)
What changed:
Levittown model spreads nationwide
Car ownership becomes universal
White flight fragments urban communities
Nuclear family becomes isolated unit
Impact on Ï‡:
Family: Extended family networks shattered
Trust: Neighbors no longer share history
Civic: Long commutes kill community involvement
Intergenerational: Elderly separated from grandchildren
Ï‡ trajectory: 0.76 → 0.72
The suburbs looked like the American Dream.</t>
  </si>
  <si>
    <t>Who could see the pattern?</t>
  </si>
  <si>
    <t>It could handle normal stress.</t>
  </si>
  <si>
    <t>P-dd73709327e1</t>
  </si>
  <si>
    <t>MDA-016-thomas-1974.md</t>
  </si>
  <si>
    <t>C:\Users\lowes\Documents\Codex\2026-05-30\okay-let-find-the-open-ai\work\deploy_ready_extracted_md_20260530_220012\MDA-016-thomas-1974.md</t>
  </si>
  <si>
    <t>2026-05-30T22:02:12.815208</t>
  </si>
  <si>
    <t>C:\Users\lowes\Documents\Codex\2026-05-30\okay-let-find-the-open-ai\outputs\deploy_ready_full_pipeline_20260530\paper_intelligence\snapshots\P-dd73709327e1_snapshot.json</t>
  </si>
  <si>
    <t>Reader Mode(0.0051) | Tommy(0.0051) | Academic Method(0.0088) | Bill(0.0108) | Master HTMl(0.0121) | Easy Plain-language(0.0129) | father(0.0161) | Current article(0.0209) | Plain-language bridge(0.0209) | Thomas Reader(0.0222) | Moral Decline(0.0303) | Thomas(0.0304)</t>
  </si>
  <si>
    <t>his father | doesn know | the world | the way | and the | the same</t>
  </si>
  <si>
    <t>find good woman | freedom became exit | good woman work | woman work stay</t>
  </si>
  <si>
    <t>When Freedom Became Exit | Moral Decline of America</t>
  </si>
  <si>
    <t>He is told he is "free," but he experiences this as a burden, because internal constraints must replace external ones, and the system has not prepared him for that.</t>
  </si>
  <si>
    <t>What are you going to do?" Tommy shrugs.</t>
  </si>
  <si>
    <t>He doesn't know how to hold it together.</t>
  </si>
  <si>
    <t>Previous Series Home Next Theophysics Home MDA-016 of 54 Related Work Core article, supporting evidence, and broader context Ring 1 — This Article The core argument You are here.</t>
  </si>
  <si>
    <t>goodness:13, patience:10, gentleness:6, love:4, peace:3</t>
  </si>
  <si>
    <t>Freedom Became Exit, Thomas
Reader Mode
Standard, Standard, Bill, Nixon</t>
  </si>
  <si>
    <t>HTMl\K-Production-Ready\03-moral-decline\DEPLOY-READY\01-story-thread\MDA-016-thomas-1974.html, Saigon, Ford, Richland, Jake</t>
  </si>
  <si>
    <t>American, Americans, Jake</t>
  </si>
  <si>
    <t>ORG, CARDINAL, PERSON, WORK_OF_ART, PRODUCT, DATE, NORP, TIME, ORDINAL, EVENT, PERCENT, GPE, QUANTITY, MONEY</t>
  </si>
  <si>
    <t>---
source_html: "\\dlowenas\HPWorkstation\Desktop\Master HTMl\K-Production-Ready\03-moral-decline\DEPLOY-READY\01-story-thread\MDA-016-thomas-1974</t>
  </si>
  <si>
    <t xml:space="preserve">html"
title: "When Freedom Became Exit | Moral Decline of America"
---
When Freedom Became Exit | Moral Decline of America
﻿
When Freedom Became Exit | Moral Decline of America
Home Home
Previous
|
</t>
  </si>
  <si>
    <t>Proof Pressure Layer
Vetted Claims for MDA-016-thomas-1974
No promoted claim
No claim from this article survived the deterministic Axiom + 7Q gate strongly enough for the proof layer yet</t>
  </si>
  <si>
    <t>spiritually ordered; technically strong, spiritually ordered</t>
  </si>
  <si>
    <t>He won't have to go to Vietnam, which is good because Vietnam is over, which is good because they lost anyway.</t>
  </si>
  <si>
    <t>He just knows it's 1985, and his marriage is over, and his son is five years old, and the TV is on, and he has no idea what comes next.</t>
  </si>
  <si>
    <t>maybe it sounds like peace?</t>
  </si>
  <si>
    <t>Maybe community college.</t>
  </si>
  <si>
    <t>P-58a9cda404de</t>
  </si>
  <si>
    <t>MDA-017-unraveling-1960.md</t>
  </si>
  <si>
    <t>C:\Users\lowes\Documents\Codex\2026-05-30\okay-let-find-the-open-ai\work\deploy_ready_extracted_md_20260530_220012\MDA-017-unraveling-1960.md</t>
  </si>
  <si>
    <t>2026-05-30T22:02:15.565294</t>
  </si>
  <si>
    <t>C:\Users\lowes\Documents\Codex\2026-05-30\okay-let-find-the-open-ai\outputs\deploy_ready_full_pipeline_20260530\paper_intelligence\snapshots\P-58a9cda404de_snapshot.json</t>
  </si>
  <si>
    <t>Mode Standard(0.003) | Standard Current(0.003) | Reader Mode(0.0048) | Academic Method(0.0082) | Unraveling Begins(0.0098) | Moral(0.0102) | Master HTMl(0.0104) | pressure Standard(0.0115) | Easy Plain-language(0.0119) | Vietnam War(0.0128) | Standard(0.0142) | high school(0.0157)</t>
  </si>
  <si>
    <t>was the | high school | the unraveling | vietnam war | the moral | trust government</t>
  </si>
  <si>
    <t>the most influential | the unraveling begins | high school graduation | school graduation rate</t>
  </si>
  <si>
    <t>The Unraveling Begins | Moral Decline of America</t>
  </si>
  <si>
    <t>emergence</t>
  </si>
  <si>
    <t>The next five years would pull them apart.</t>
  </si>
  <si>
    <t>It started at peak trust â€” and ran out of it in seven years.</t>
  </si>
  <si>
    <t>From that ridge, the next half-century is a single descending line.</t>
  </si>
  <si>
    <t>[20]Gallup â€” Four in 10 Report Attending Church in Last Week [21]Congress.gov â€” Brief Examination of Union Membership Data [23]PBS American Experience â€” Kinsey in the News [24]ECU â€” Kinsey: A Controversial Seller [25]Rockefeller Arc</t>
  </si>
  <si>
    <t>Part 1 Â· Verified Statistical Data (1960â€“1967) Family Structure Median age first marriage (Male, 1960)22.8 yrs Median age first marriage (Female, 1960)20.3 yrs Crude divorce rate (1955â€“63 â†’ 1967)2.1 â†’ 2.6 Divorces / 1,000 married w</t>
  </si>
  <si>
    <t>B (Strong)</t>
  </si>
  <si>
    <t>peace:3, goodness:2, hope:1, love:0, joy:0</t>
  </si>
  <si>
    <t>F_faith_coupling</t>
  </si>
  <si>
    <t>Reader Mode
Standard, Standard, David Lowe • Theophysics Institute, Avg, Household</t>
  </si>
  <si>
    <t>HTMl\K-Production-Ready\03-moral-decline\DEPLOY-READY\03-evidence-chronology\MDA-017-unraveling-1960.html, Sexuality
Men, Premarital, Media &amp; Technology, Religious &amp; Institutional
Weekly</t>
  </si>
  <si>
    <t>Enovid, democratic, American, Americans</t>
  </si>
  <si>
    <t>ORG, CARDINAL, WORK_OF_ART, PERSON, PRODUCT, DATE, EVENT, PERCENT, ORDINAL, GPE, TIME, NORP, LAW, FAC</t>
  </si>
  <si>
    <t>---
source_html: "\\dlowenas\HPWorkstation\Desktop\Master HTMl\K-Production-Ready\03-moral-decline\DEPLOY-READY\03-evidence-chronology\MDA-017-unraveling-1960</t>
  </si>
  <si>
    <t>html"
deploy_relative: "03-evidence-chronology\MDA-017-unraveling-1960</t>
  </si>
  <si>
    <t>html"
title: "The Unraveling Begins | Moral Decline of America"
---
The Unraveling Begins | Moral Decline of America
﻿
The Unraveling Begins | Moral Decline of America
Home Home
Previous
|
Next
Seri</t>
  </si>
  <si>
    <t>[20]Gallup â€” Four in 10 Report Attending Church in Last Week
[21]Congress.gov â€” Brief Examination of Union Membership Data
[23]PBS American Experience â€” Kinsey in the News
[24]ECU â€” Kinsey: A Controversial Seller
[25]Rockefeller Archive â€” Funding a Sexual Revolution: The Kinsey Reports
[26]Harvard DASH â€” America's Graduation from High School
[27]InfoPlease â€” Median Age at First Marriage
15 + 15 = 100
David Lowe • Theophysics Institute
Previous
Series Home
Next 
Theophysics Home
MDA-017 of 54
Related Work
Core article, supporting evidence, and broader context
Ring 1 â€” This Article
The core argument
You are here.</t>
  </si>
  <si>
    <t>The moral trajectory of 1960â€“1967 is defined by the transfer of moral authority from centralized institutions â€” Church, State, Nuclear Family â€” to the autonomous individual and emerging counter-cultural movements.</t>
  </si>
  <si>
    <t>The unraveling did not break the rope.</t>
  </si>
  <si>
    <t>This solidified the creation of the mass-educated, critically aware citizen.</t>
  </si>
  <si>
    <t>P-3a2228a446d2</t>
  </si>
  <si>
    <t>MDA-018-great-decoupling-1968.md</t>
  </si>
  <si>
    <t>C:\Users\lowes\Documents\Codex\2026-05-30\okay-let-find-the-open-ai\work\deploy_ready_extracted_md_20260530_220012\MDA-018-great-decoupling-1968.md</t>
  </si>
  <si>
    <t>2026-05-30T22:02:17.032837</t>
  </si>
  <si>
    <t>C:\Users\lowes\Documents\Codex\2026-05-30\okay-let-find-the-open-ai\outputs\deploy_ready_full_pipeline_20260530\paper_intelligence\snapshots\P-3a2228a446d2_snapshot.json</t>
  </si>
  <si>
    <t>Reader Mode(0.0049) | Academic Method(0.0083) | Great Decoupling(0.0092) | Master HTMl(0.0108) | Easy Plain-language(0.0121) | authority(0.0156) | traditional(0.0183) | Plain-language bridge(0.0189) | Current article(0.0192) | Moral(0.0228) | Home Reader(0.0234) | trust(0.0246)</t>
  </si>
  <si>
    <t>was not | and the | great decoupling | was the | the great | post war</t>
  </si>
  <si>
    <t>the great decoupling | mda great decoupling | great decoupling moral | decoupling moral decline</t>
  </si>
  <si>
    <t>The Great Decoupling | Moral Decline of America</t>
  </si>
  <si>
    <t>15 + 15 = 100 David Lowe • Theophysics Institute Previous Series Home Next Theophysics Home MDA-018 of 54 Related Work Core article, supporting evidence, and broader context Ring 1 â€” This Article The core argument You are here.</t>
  </si>
  <si>
    <t>The period culminated in the 1973 Roe v.</t>
  </si>
  <si>
    <t>Trust would never return to its 1964 level.</t>
  </si>
  <si>
    <t>The Costs of Liberation The data reveals a counter-intuitive story.</t>
  </si>
  <si>
    <t>peace:7, goodness:1, gentleness:1, love:0, joy:0</t>
  </si>
  <si>
    <t>Reader Mode
Standard, Standard, David Lowe • Theophysics Institute, Tet Offensive, Johnson</t>
  </si>
  <si>
    <t>HTMl\K-Production-Ready\03-moral-decline\DEPLOY-READY\03-evidence-chronology\MDA-018-great-decoupling-1968.html, The Total Fertility Rate, Nixon Shock, Howard University, Chicago DNC</t>
  </si>
  <si>
    <t>American, Americans, Christian, Roe v. Wade</t>
  </si>
  <si>
    <t>ORG, CARDINAL, WORK_OF_ART, PERSON, PRODUCT, FAC, DATE, GPE, NORP, EVENT, PERCENT, LAW, LOC, ORDINAL, QUANTITY, MONEY</t>
  </si>
  <si>
    <t>---
source_html: "\\dlowenas\HPWorkstation\Desktop\Master HTMl\K-Production-Ready\03-moral-decline\DEPLOY-READY\03-evidence-chronology\MDA-018-great-decoupling-1968</t>
  </si>
  <si>
    <t>html"
deploy_relative: "03-evidence-chronology\MDA-018-great-decoupling-1968</t>
  </si>
  <si>
    <t xml:space="preserve">html"
title: "The Great Decoupling | Moral Decline of America"
---
The Great Decoupling | Moral Decline of America
﻿
The Great Decoupling | Moral Decline of America
Home Home
Previous
|
Next
Series </t>
  </si>
  <si>
    <t>15 + 15 = 100
David Lowe • Theophysics Institute
Previous
Series Home
Next 
Theophysics Home
MDA-018 of 54
Related Work
Core article, supporting evidence, and broader context
Ring 1 â€” This Article
The core argument
You are here.</t>
  </si>
  <si>
    <t>While some pathologies worsened, others peaked in 1970 and then declined â€” not because of a return to traditional values, but because of new technocratic interventions.</t>
  </si>
  <si>
    <t>It has, with few exceptions, never recovered.</t>
  </si>
  <si>
    <t>The divorce rate accelerated.</t>
  </si>
  <si>
    <t>P-5349e862c92a</t>
  </si>
  <si>
    <t>MDA-019-current-state-2024.md</t>
  </si>
  <si>
    <t>C:\Users\lowes\Documents\Codex\2026-05-30\okay-let-find-the-open-ai\work\deploy_ready_extracted_md_20260530_220012\MDA-019-current-state-2024.md</t>
  </si>
  <si>
    <t>2026-05-30T22:02:19.422413</t>
  </si>
  <si>
    <t>C:\Users\lowes\Documents\Codex\2026-05-30\okay-let-find-the-open-ai\outputs\deploy_ready_full_pipeline_20260530\paper_intelligence\snapshots\P-5349e862c92a_snapshot.json</t>
  </si>
  <si>
    <t>Amish(0.0025) | Amish population(0.0034) | Moral Decline(0.0042) | Reader Mode(0.0047) | Academic Method(0.0079) | Holmes County(0.0095) | Master HTMl(0.0097) | Easy Plain-language(0.0114) | population(0.0117) | American Amish(0.0121) | Moral(0.0132) | Amish live(0.0157)</t>
  </si>
  <si>
    <t>the amish | and the | current state | for the | the population | the same</t>
  </si>
  <si>
    <t>where coherence still | coherence still lives | the amish population | mda current state</t>
  </si>
  <si>
    <t>Where Coherence Still Lives | Moral Decline of America</t>
  </si>
  <si>
    <t>The Doubling Function A central concept in Amish demography is doubling time â€” the years required for the population to grow by 100%.</t>
  </si>
  <si>
    <t>But it also points to a real demographic: the “Lunch Pail” Amish, men with no land and no business who must work hourly wages in factories.</t>
  </si>
  <si>
    <t>15 + 15 = 100 David Lowe • Theophysics Institute Previous Series Home Next Theophysics Home MDA-019 of 54 Related Work Core article, supporting evidence, and broader context Ring 1 â€” This Article The core argument You are here.</t>
  </si>
  <si>
    <t>The result is a population pyramid with an exceptionally broad base.</t>
  </si>
  <si>
    <t>peace:3, gentleness:2, hope:2, love:1, goodness:1</t>
  </si>
  <si>
    <t>Reader Mode
Standard, Standard, David Lowe • Theophysics Institute, Amish, Ordnung</t>
  </si>
  <si>
    <t>HTMl\K-Production-Ready\03-moral-decline\DEPLOY-READY\03-evidence-chronology\MDA-019, Gallup, CDC, The U.S. Census Bureau, the Young Center for Anabaptist</t>
  </si>
  <si>
    <t>American, North American, Amish, New Order Amish</t>
  </si>
  <si>
    <t>ORG, CARDINAL, PERSON, WORK_OF_ART, PRODUCT, NORP, DATE, PERCENT, MONEY, GPE, ORDINAL, QUANTITY, LOC, LANGUAGE, TIME</t>
  </si>
  <si>
    <t>---
source_html: "\\dlowenas\HPWorkstation\Desktop\Master HTMl\K-Production-Ready\03-moral-decline\DEPLOY-READY\03-evidence-chronology\MDA-019-current-state-2024</t>
  </si>
  <si>
    <t>html"
deploy_relative: "03-evidence-chronology\MDA-019-current-state-2024</t>
  </si>
  <si>
    <t>html"
title: "Where Coherence Still Lives | Moral Decline of America"
---
Where Coherence Still Lives | Moral Decline of America
﻿
Where Coherence Still Lives | Moral Decline of America
Home Home
Pr</t>
  </si>
  <si>
    <t>Differential fertility means the Amish population is not simply growing; it is becoming statistically more conservative over time, because the strictest subgroups reproduce fastest.</t>
  </si>
  <si>
    <t>Because in the same country, on the same calendar, in the same year, there is a population doing the inverse: doubling every twenty years, retaining 85 to 97 percent of its youth, and accumulating capital fast enough that its primary bank crossed $1.5 billion in assets in 2024.</t>
  </si>
  <si>
    <t>Without high retention, no fertility rate could keep up.</t>
  </si>
  <si>
    <t>Rumspringa â€” the adolescent period of relative freedom â€” appears to function as inoculation: youth experience the world enough to make an informed, usually affirmative, return.</t>
  </si>
  <si>
    <t>P-22ea47d87533</t>
  </si>
  <si>
    <t>MDA-020-phase-transition.md</t>
  </si>
  <si>
    <t>C:\Users\lowes\Documents\Codex\2026-05-30\okay-let-find-the-open-ai\work\deploy_ready_extracted_md_20260530_220012\MDA-020-phase-transition.md</t>
  </si>
  <si>
    <t>2026-05-30T22:02:21.228848</t>
  </si>
  <si>
    <t>C:\Users\lowes\Documents\Codex\2026-05-30\okay-let-find-the-open-ai\outputs\deploy_ready_full_pipeline_20260530\paper_intelligence\snapshots\P-22ea47d87533_snapshot.json</t>
  </si>
  <si>
    <t>Reader Mode(0.0049) | Academic Method(0.0083) | Master HTMl(0.0096) | Easy Plain-language(0.012) | Moral Decline(0.0122) | Decline(0.0157) | Plain-language bridge(0.0171) | Shared Meaning(0.0226) | Home Reader(0.0238) | Coherence(0.0244) | Mode Standard(0.0246) | trust(0.0288)</t>
  </si>
  <si>
    <t>phase transition | five years | shared meaning | coherence impact | moral decline | decline becomes</t>
  </si>
  <si>
    <t>decline becomes collapse | moral decline america | mda phase transition | becomes collapse moral</t>
  </si>
  <si>
    <t>When Decline Becomes Collapse | Moral Decline of America</t>
  </si>
  <si>
    <t>1965: Ï‡ = 0.72 1973: Ï‡ = 0.55 Five years.</t>
  </si>
  <si>
    <t>The Point of No Return Ï‡ = 0.55 was still above the critical threshold (0.35).</t>
  </si>
  <si>
    <t>Trust breaks → Civic participation drops → Shared meaning fragments Shared meaning fragments → Family structure weakens → Intergenerational transfer fails Family weakens → Self-control drops → Mental health declines Mental health declines →</t>
  </si>
  <si>
    <t>Moral Decline of America • Theophysics Institute David Lowe • Theophysics Institute • 2024-2026 Previous Series Home Next Theophysics Home MDA-020 of 54 Related Work Core article, supporting evidence, and broader context Ring 1 â€” This Art</t>
  </si>
  <si>
    <t>peace:2, faithfulness:2, self_control:2, hope:2, gentleness:1</t>
  </si>
  <si>
    <t>Decline Becomes Collapse, Reader Mode
Standard, Standard, David Lowe • Theophysics Institute, Martin Luther King Jr.</t>
  </si>
  <si>
    <t>HTMl\K-Production-Ready\03-moral-decline\DEPLOY-READY\04-collapse-mechanisms\MDA-020-phase, The Physics of Phase Transition
Water, Democratic National Convention, Kent State, Church</t>
  </si>
  <si>
    <t>Civic, Mental, Roe v. Wade</t>
  </si>
  <si>
    <t>ORG, CARDINAL, PERSON, WORK_OF_ART, PRODUCT, DATE, PERCENT, GPE, ORDINAL, LOC, MONEY, EVENT, LAW, NORP</t>
  </si>
  <si>
    <t>---
source_html: "\\dlowenas\HPWorkstation\Desktop\Master HTMl\K-Production-Ready\03-moral-decline\DEPLOY-READY\04-collapse-mechanisms\MDA-020-phase-transition</t>
  </si>
  <si>
    <t>html"
deploy_relative: "04-collapse-mechanisms\MDA-020-phase-transition</t>
  </si>
  <si>
    <t>html"
title: "When Decline Becomes Collapse | Moral Decline of America"
---
When Decline Becomes Collapse | Moral Decline of America
﻿
When Decline Becomes Collapse | Moral Decline of America
Home H</t>
  </si>
  <si>
    <t>abrasive or coercive; agitated or reactionary; disciplined; morally unstable</t>
  </si>
  <si>
    <t>Moral Decline of America • Theophysics Institute
David Lowe • Theophysics Institute • 2024-2026
Previous
Series Home
Next 
Theophysics Home
MDA-020 of 54
Related Work
Core article, supporting evidence, and broader context
Ring 1 â€” This Article
The core argument
You are here.</t>
  </si>
  <si>
    <t>assassinated (April)
Robert Kennedy assassinated (June)
Riots in 125 cities
Democratic National Convention violence
Tet Offensive destroys trust in government
"Year that shattered America"
1969
Woodstock
Stonewall riots
Nixon takes office
First no-fault divorce law (California)
Moon landing (brief coherence spike)
1970
Kent State shootings
First Earth Day
Women's liberation movement accelerates
Church attendance begins steep decline
1971
Pentagon Papers published
Nixon ends gold standard
Voting age lowered to 18
Dollar begins long decline
1972
Watergate break-in
Title IX passed
Roe v.</t>
  </si>
  <si>
    <t>The institutions that could have restored coherence were themselves damaged.</t>
  </si>
  <si>
    <t>The generation that could have rebuilt was itself fragmented.</t>
  </si>
  <si>
    <t>P-44ae8352c797</t>
  </si>
  <si>
    <t>MDA-021-anatomy-of-phase-transition.md</t>
  </si>
  <si>
    <t>C:\Users\lowes\Documents\Codex\2026-05-30\okay-let-find-the-open-ai\work\deploy_ready_extracted_md_20260530_220012\MDA-021-anatomy-of-phase-transition.md</t>
  </si>
  <si>
    <t>2026-05-30T22:02:22.232219</t>
  </si>
  <si>
    <t>C:\Users\lowes\Documents\Codex\2026-05-30\okay-let-find-the-open-ai\outputs\deploy_ready_full_pipeline_20260530\paper_intelligence\snapshots\P-44ae8352c797_snapshot.json</t>
  </si>
  <si>
    <t>Reader Mode(0.0048) | Phase Transition(0.0057) | Academic Method(0.0081) | Master HTMl(0.0098) | Easy Plain-language(0.0117) | system(0.0149) | Coherence(0.015) | Plain-language bridge(0.0173) | Current article(0.0189) | Home Reader(0.0212) | Mode Standard(0.0253) | Standard Current(0.0253)</t>
  </si>
  <si>
    <t>the system | anatomy phase | phase transition | moral decline | peak window | church attendance</t>
  </si>
  <si>
    <t>anatomy phase transition | mda anatomy phase | phase transition moral | transition moral decline</t>
  </si>
  <si>
    <t>Anatomy of a Phase Transition | Moral Decline of America</t>
  </si>
  <si>
    <t>thermodynamics, entropy, information theory, second law</t>
  </si>
  <si>
    <t>15 + 15 = 100 David Lowe • Theophysics Institute Previous Series Home Next Theophysics Home MDA-021 of 54 Related Work Core article, supporting evidence, and broader context Ring 1 â€” This Article The core argument You are here.</t>
  </si>
  <si>
    <t>What it cannot be is incoherent and stable.</t>
  </si>
  <si>
    <t>Media The Hays Code was in full enforcement.</t>
  </si>
  <si>
    <t>The gap between observed and actual coherence is the measure of the system's fragility.</t>
  </si>
  <si>
    <t>goodness:2, love:1, peace:1, patience:1, joy:0</t>
  </si>
  <si>
    <t>Reader Mode
Standard, Standard, David Lowe • Theophysics Institute, Jim Crow, Divorce Rate</t>
  </si>
  <si>
    <t>HTMl\K-Production-Ready\03-moral-decline\DEPLOY-READY\04-collapse-mechanisms\MDA-021-anatomy-of-phase, MDA-021, Gallup, Institutional Trust, the National Election Study</t>
  </si>
  <si>
    <t>Christian, Americans, Christianity, American</t>
  </si>
  <si>
    <t>ORG, CARDINAL, PERSON, WORK_OF_ART, PRODUCT, TIME, DATE, PERCENT, NORP, GPE, ORDINAL</t>
  </si>
  <si>
    <t>---
source_html: "\\dlowenas\HPWorkstation\Desktop\Master HTMl\K-Production-Ready\03-moral-decline\DEPLOY-READY\04-collapse-mechanisms\MDA-021-anatomy-of-phase-transition</t>
  </si>
  <si>
    <t>html"
deploy_relative: "04-collapse-mechanisms\MDA-021-anatomy-of-phase-transition</t>
  </si>
  <si>
    <t>html"
title: "Anatomy of a Phase Transition | Moral Decline of America"
---
Anatomy of a Phase Transition | Moral Decline of America
﻿
Anatomy of a Phase Transition | Moral Decline of America
Home H</t>
  </si>
  <si>
    <t>The Numbers That Mattered
Let me leave you with the specific data points that define the baseline, because every subsequent part of this series will measure decline against these numbers:
Metric
Peak Value
Year
Source
Weekly Church Attendance
49%
1958
Gallup
Trust in Government
73%
1958
NES/Pew
Christian Identification
~87%
~1973
Gallup
Unmarried Adults 30-39
15%
~1960
Census
Non-Marital Birth Rate (White)
3.1%
1965
CDC
Divorce Rate
2.2/1000
1960
Census
SAT Verbal Score
478
~1965
College Board
Union Membership
34.8%
1958
BLS
Pornography Access Index
0
1900-1965
Composite
Composite Coherence Index
~91
1940
Composite
These are the numbers that fell.</t>
  </si>
  <si>
    <t>15 + 15 = 100
David Lowe • Theophysics Institute
Previous
Series Home
Next 
Theophysics Home
MDA-021 of 54
Related Work
Core article, supporting evidence, and broader context
Ring 1 â€” This Article
The core argument
You are here.</t>
  </si>
  <si>
    <t>The question was whether it could do so without losing structural integrity.</t>
  </si>
  <si>
    <t>No secondary coherence source that could maintain the system if the primary source degraded.</t>
  </si>
  <si>
    <t>P-dd187c77de28</t>
  </si>
  <si>
    <t>MDA-022-cascade.md</t>
  </si>
  <si>
    <t>C:\Users\lowes\Documents\Codex\2026-05-30\okay-let-find-the-open-ai\work\deploy_ready_extracted_md_20260530_220012\MDA-022-cascade.md</t>
  </si>
  <si>
    <t>2026-05-30T22:02:23.425744</t>
  </si>
  <si>
    <t>C:\Users\lowes\Documents\Codex\2026-05-30\okay-let-find-the-open-ai\outputs\deploy_ready_full_pipeline_20260530\paper_intelligence\snapshots\P-dd187c77de28_snapshot.json</t>
  </si>
  <si>
    <t>Mode Standard(0.0031) | Reader Mode(0.0049) | Academic Method(0.0083) | Master HTMl(0.0095) | bridge Standard(0.0109) | Easy Plain-language(0.0121) | pressure Standard(0.0121) | Standard(0.015) | Standard Current(0.0169) | Plain-language bridge(0.017) | Moral Decline(0.0209) | Home Reader(0.0235)</t>
  </si>
  <si>
    <t>the cascade | moral decline | key metric | felt like | shared meaning | decline america</t>
  </si>
  <si>
    <t>moral decline america | the cascade moral | cascade moral decline | collapse mechanisms mda</t>
  </si>
  <si>
    <t>The Cascade | Moral Decline of America</t>
  </si>
  <si>
    <t>1973: Ï‡ = 0.55 2024: Ï‡ = 0.27 Fifty years of cascade.</t>
  </si>
  <si>
    <t>The Question Historical precedent is clear: below Ï‡ = 0.35, no society has self-corrected.</t>
  </si>
  <si>
    <t>The Current State Ï‡ = 0.27 (2024) DomainScoreStatus Family0.31Critical Trust0.22Critical Safety0.45Deteriorating Self-Control0.28Critical Mental Health0.25Critical Economic0.35Unstable Civic0.22Critical Shared Meaning0.18Collapsed Intergen</t>
  </si>
  <si>
    <t>Moral Decline of America • Theophysics Institute David Lowe • Theophysics Institute • 2024-2026 Previous Series Home Next Theophysics Home MDA-022 of 54 Related Work Core article, supporting evidence, and broader context Ring 1 â€” This Art</t>
  </si>
  <si>
    <t>peace:5, hope:2, love:1, goodness:1, faithfulness:1</t>
  </si>
  <si>
    <t>Reader Mode
Standard, Standard, David Lowe • Theophysics Institute, Carter, Reagan</t>
  </si>
  <si>
    <t>HTMl\K-Production-Ready\03-moral-decline\DEPLOY-READY\04-collapse-mechanisms\MDA-022-cascade.html, Cascade, freefall, Cocaine, Savings &amp; Loan</t>
  </si>
  <si>
    <t>Mental, Broken</t>
  </si>
  <si>
    <t>ORG, CARDINAL, PERSON, WORK_OF_ART, PRODUCT, DATE, GPE, PERCENT, ORDINAL, EVENT, NORP</t>
  </si>
  <si>
    <t>---
source_html: "\\dlowenas\HPWorkstation\Desktop\Master HTMl\K-Production-Ready\03-moral-decline\DEPLOY-READY\04-collapse-mechanisms\MDA-022-cascade</t>
  </si>
  <si>
    <t>html"
deploy_relative: "04-collapse-mechanisms\MDA-022-cascade</t>
  </si>
  <si>
    <t>html"
title: "The Cascade | Moral Decline of America"
---
The Cascade | Moral Decline of America
﻿
The Cascade | Moral Decline of America
Home Home
Previous
|
Next
Series Home
Reader Mode
Standard a</t>
  </si>
  <si>
    <t>morally unstable</t>
  </si>
  <si>
    <t>"Things are good" meant "I have stuff," not "my community is healthy."
1993–2003: The Virtualization
Ï‡: 0.43 → 0.38
What happened:
Internet goes mainstream
Clinton scandals normalize leadership corruption
Columbine (1999)
9/11—last major coherence spike
Reality TV replaces shared culture
First generation raised on digital screens
Key metric: "Most people can be trusted" drops below 35%.</t>
  </si>
  <si>
    <t>The Question
Historical precedent is clear: below Ï‡ = 0.35, no society has self-corrected.</t>
  </si>
  <si>
    <t>Self-correction is now statistically impossible.</t>
  </si>
  <si>
    <t>Every "solution" accelerated the decline.</t>
  </si>
  <si>
    <t>P-ab956f66e9a5</t>
  </si>
  <si>
    <t>MDA-023-coherence-cascade.md</t>
  </si>
  <si>
    <t>C:\Users\lowes\Documents\Codex\2026-05-30\okay-let-find-the-open-ai\work\deploy_ready_extracted_md_20260530_220012\MDA-023-coherence-cascade.md</t>
  </si>
  <si>
    <t>2026-05-30T22:02:24.416837</t>
  </si>
  <si>
    <t>C:\Users\lowes\Documents\Codex\2026-05-30\okay-let-find-the-open-ai\outputs\deploy_ready_full_pipeline_20260530\paper_intelligence\snapshots\P-ab956f66e9a5_snapshot.json</t>
  </si>
  <si>
    <t>Moral Decline(0.003) | Reader Mode(0.0046) | Master HTMl(0.0077) | Academic Method(0.0078) | Coherence Cascade(0.0086) | Easy Plain-language(0.0113) | Decline(0.0131) | Plain-language bridge(0.0135) | America Reader(0.0149) | Mode Standard(0.019) | Standard Current(0.019) | Current article(0.0216)</t>
  </si>
  <si>
    <t>coherence cascade | moral decline | the coherence | mda coherence | cascade moral | decline america</t>
  </si>
  <si>
    <t>the coherence cascade | mda coherence cascade | coherence cascade moral | cascade moral decline</t>
  </si>
  <si>
    <t>The Coherence Cascade | Moral Decline of America</t>
  </si>
  <si>
    <t>Year Story SEMANTIC FAMILIAL INSTITUTIONAL ECONOMIC Status 1900 Samuel 98 95 92 90 BASELINE 1926 Henry 90 93 90 85 THINNING 1950 William 75 88 90 92 FALSE PEAK 1974 Thomas 40 50 45 65 PHASE TRANSITION 1998 Jacob I 25 35 35 45 RUBBLE 2025 Ja</t>
  </si>
  <si>
    <t>The data across 125 years confirms this cascade.</t>
  </si>
  <si>
    <t>Words fail first—semantic meaning erodes before structures collapse.</t>
  </si>
  <si>
    <t>goodness:1, love:0, joy:0, peace:0, patience:0</t>
  </si>
  <si>
    <t>Reader Mode
Standard, Standard, William, Jacob, Jacob II</t>
  </si>
  <si>
    <t>HTMl\K-Production-Ready\03-moral-decline\DEPLOY-READY\04-collapse-mechanisms\MDA-023-coherence-cascade.html, The Coherence Cascade, Home Home, EXPLAIN, Divorce</t>
  </si>
  <si>
    <t>ORG, CARDINAL, WORK_OF_ART, PERSON, GPE, PRODUCT, ORDINAL, DATE, PERCENT, EVENT</t>
  </si>
  <si>
    <t>---
source_html: "\\dlowenas\HPWorkstation\Desktop\Master HTMl\K-Production-Ready\03-moral-decline\DEPLOY-READY\04-collapse-mechanisms\MDA-023-coherence-cascade</t>
  </si>
  <si>
    <t>html"
deploy_relative: "04-collapse-mechanisms\MDA-023-coherence-cascade</t>
  </si>
  <si>
    <t>html"
title: "The Coherence Cascade | Moral Decline of America"
---
The Coherence Cascade | Moral Decline of America
﻿
The Coherence Cascade | Moral Decline of America
Reader Mode
Standard active
Ea</t>
  </si>
  <si>
    <t>Year
Story
SEMANTIC
FAMILIAL
INSTITUTIONAL
ECONOMIC
Status
1900
Samuel
98
95
92
90
BASELINE
1926
Henry
90
93
90
85
THINNING
1950
William
75
88
90
92
FALSE PEAK
1974
Thomas
40
50
45
65
PHASE TRANSITION
1998
Jacob I
25
35
35
45
RUBBLE
2025
Jacob II
18
20
18
25
BOTTOM
THE PATTERN IS CLEAR
SEMANTIC drops first: 98 â†’ 90 â†’ 75 â†’ 40 â†’ 25 â†’ 18
FAMILIAL follows: 95 â†’ 93 â†’ 88 â†’ 50 â†’ 35 â†’ 20
INSTITUTIONAL third: 92 â†’ 90 â†’ 90 â†’ 45 â†’ 35 â†’ 18
ECONOMIC last: 90 â†’ 85 â†’ 92 â†’ 65 â†’ 45 â†’ 25
Causal Events by Domain
SEMANTIC DRIFT
1926 Henry must EXPLAIN "duty" to sons
1950 Words become advertising slogans
1974 "Integrity" only used as accusation
1998 "Friend" = screen name
2025 Words require conscious CHOICE
FAMILIAL COLLAPSE
1950 "Ball and chain" jokes begin
1969 California no-fault divorce
1974 Divorce rate 4.6/1000
1998 33% unmarried age 30-39
2025 46% unmarried, family optional
INSTITUTIONAL COLLAPSE
1958 Peak trust: 73%
1974 Watergate: trust drops to 36%
1998 "They all lie" as baseline
2025 Record lows: &lt;20% trust
ECONOMIC UNMOORING
1971 Nixon ends gold standard
1974 Inflation hits 12.3%
1998 Two incomes = one 1950 income
2025 Gig economy, no pensions
The Moral Decay of America Project | Theophysics Research
Data derived from Census, Gallup, Pew, BLS, FBI UCR, and primary historical sources
Previous
Series Home
Next 
Theophysics Home
MDA-023 of 54
Related Work
Core article, supporting evidence, and broader context
Ring 1 — This Article
The core argument
You are here.</t>
  </si>
  <si>
    <t>﻿
The Coherence Cascade | Moral Decline of America
Reader Mode
Standard active
Easy
Plain-language bridge
Standard
Current article
Academic
Method + caveats
Proof
Proof pressure
Standard is the live article.</t>
  </si>
  <si>
    <t>Then Family, then Institutions, then Economy.</t>
  </si>
  <si>
    <t>P-e814124ae8b8</t>
  </si>
  <si>
    <t>MDA-024-semantic-collapse.md</t>
  </si>
  <si>
    <t>C:\Users\lowes\Documents\Codex\2026-05-30\okay-let-find-the-open-ai\work\deploy_ready_extracted_md_20260530_220012\MDA-024-semantic-collapse.md</t>
  </si>
  <si>
    <t>2026-05-30T22:02:24.911280</t>
  </si>
  <si>
    <t>C:\Users\lowes\Documents\Codex\2026-05-30\okay-let-find-the-open-ai\outputs\deploy_ready_full_pipeline_20260530\paper_intelligence\snapshots\P-e814124ae8b8_snapshot.json</t>
  </si>
  <si>
    <t>Mode Standard(0.0028) | Standard Current(0.0028) | Reader Mode(0.0046) | Semantic Collapse(0.0075) | Academic Method(0.0077) | Master HTMl(0.0088) | Standard active(0.0095) | bridge Standard(0.0095) | pressure Standard(0.0107) | Easy Plain-language(0.011) | Moral Decline(0.0137) | Standard(0.0139)</t>
  </si>
  <si>
    <t>semantic collapse | moral decline | virtue terms | decline america | the semantic | culture where</t>
  </si>
  <si>
    <t>moral decline america | mda semantic collapse | semantic collapse moral | collapse moral decline</t>
  </si>
  <si>
    <t>Semantic Collapse | Moral Decline of America</t>
  </si>
  <si>
    <t>1964–65 Great Society &amp; Civil Rights Act — Implemented in a culture already losing the language of "duty" required to sustain shared public goods.</t>
  </si>
  <si>
    <t>It suggests that the "Great Society" programs and the Civil Rights movement (launched 1964–1965) were implemented in a cultural environment that was simultaneously losing the language of "duty" required to sustain shared public goods.</t>
  </si>
  <si>
    <t>We were trying to run a "High-Trust" society on a "Low-Duty" dictionary.</t>
  </si>
  <si>
    <t>Ring 2 ï¿½ Supporting Evidence Deeper dives and formal treatments No connections mapped yet.</t>
  </si>
  <si>
    <t>But the data shows that the usage of words like Modesty and Chastity was already in a free fall by 1961.</t>
  </si>
  <si>
    <t>goodness:8, self_control:4, peace:3, humility:1, love:0</t>
  </si>
  <si>
    <t>Q_quantum_observer</t>
  </si>
  <si>
    <t>Reader Mode
Standard, Standard, David Lowe • Theophysics Institute</t>
  </si>
  <si>
    <t>HTMl\K-Production-Ready\03-moral-decline\DEPLOY-READY\04-collapse-mechanisms\MDA-024-semantic-collapse.html, Semantic Collapse, The Semantic Precursor, the Moral Decline of America, Ngram</t>
  </si>
  <si>
    <t>Linguistic, a "Character Culture", the "Sexual Revolution", a "High-Trust</t>
  </si>
  <si>
    <t>ORG, CARDINAL, PERSON, WORK_OF_ART, PRODUCT, ORDINAL, TIME, LAW, DATE, EVENT, NORP</t>
  </si>
  <si>
    <t>---
source_html: "\\dlowenas\HPWorkstation\Desktop\Master HTMl\K-Production-Ready\03-moral-decline\DEPLOY-READY\04-collapse-mechanisms\MDA-024-semantic-collapse</t>
  </si>
  <si>
    <t>html"
deploy_relative: "04-collapse-mechanisms\MDA-024-semantic-collapse</t>
  </si>
  <si>
    <t>html"
title: "Semantic Collapse | Moral Decline of America"
---
Semantic Collapse | Moral Decline of America
﻿
Semantic Collapse | Moral Decline of America
Home Home
Previous
|
Next
Series Home
Read</t>
  </si>
  <si>
    <t>agitated or reactionary; spiritually ordered; technically strong, spiritually ordered</t>
  </si>
  <si>
    <t>David Lowe • Theophysics Institute
Read Aloud
0:00
This period marks the transition from a "character culture," where the primary semantic unit is the cultivation of internal traits to meet external demands, to a "personality culture," where the primary unit is the expression of the internal self.</t>
  </si>
  <si>
    <t>Previous
Part 02: Anatomy of a Phase Transition
Series
Back to Series Landing
Next 
Part 04: The Cognitive Decline
15 + 15 = 100
David Lowe • Theophysics Institute
Previous
Series Home
Next 
Theophysics Home
MDA-024 of 54
Related Work
Core article, supporting evidence, and broader context
Ring 1 ï¿½ This Article
The core argument
You are here.</t>
  </si>
  <si>
    <t>The "Map" was deleted.</t>
  </si>
  <si>
    <t>P-1ddcf11fa2ab</t>
  </si>
  <si>
    <t>MDA-025-cognitive-decline.md</t>
  </si>
  <si>
    <t>C:\Users\lowes\Documents\Codex\2026-05-30\okay-let-find-the-open-ai\work\deploy_ready_extracted_md_20260530_220012\MDA-025-cognitive-decline.md</t>
  </si>
  <si>
    <t>2026-05-30T22:02:25.763534</t>
  </si>
  <si>
    <t>C:\Users\lowes\Documents\Codex\2026-05-30\okay-let-find-the-open-ai\outputs\deploy_ready_full_pipeline_20260530\paper_intelligence\snapshots\P-1ddcf11fa2ab_snapshot.json</t>
  </si>
  <si>
    <t>Reader Mode(0.0047) | Master HTMl(0.0093) | System Stress(0.0098) | Cognitive System(0.011) | Easy Plain-language(0.0116) | Moral Decline(0.016) | Plain-language bridge(0.0163) | Academic Method(0.0189) | Mode Standard(0.0189) | Standard Current(0.0189) | Current article(0.0193) | Home Reader(0.0202)</t>
  </si>
  <si>
    <t>moral decline | self esteem | cognitive system | system stress | decline america | the semantic</t>
  </si>
  <si>
    <t>cognitive system stress | moral decline america | mda cognitive decline | system stress moral</t>
  </si>
  <si>
    <t>Cognitive System Stress | Moral Decline of America</t>
  </si>
  <si>
    <t>The Theophysics of the "Brain Drain" When a society loses its "Thick" moral vocabulary (like Fortitude and Prudence), it loses the "Software" required for high-level reasoning.</t>
  </si>
  <si>
    <t>Rigorous thought requires the ability to tell yourself "No." It requires the impulse control that the 1962 Semantic crash destroyed.</t>
  </si>
  <si>
    <t>1963 SAT Scores Peak — Verbal 478, Math 502.</t>
  </si>
  <si>
    <t>Previous Part 03: The Semantic Precursor Series Back to Series Landing Next Part 05: Spiritual &amp; Psychological Collapse 15 + 15 = 100 David Lowe • Theophysics Institute Previous Series Home Next Theophysics Home MDA-025 of 54 Related Work C</t>
  </si>
  <si>
    <t>goodness:6, peace:1, self_control:1, love:0, joy:0</t>
  </si>
  <si>
    <t>Reader Mode
Standard, Standard, David Lowe • Theophysics Institute, Thick, Grade Inflation Begins</t>
  </si>
  <si>
    <t>HTMl\K-Production-Ready\03-moral-decline\DEPLOY-READY\04-collapse-mechanisms\MDA-025, the Moral Decline of America, the Wirtz Commission, Grades, GPA</t>
  </si>
  <si>
    <t>Cognitive, American</t>
  </si>
  <si>
    <t>ORG, CARDINAL, WORK_OF_ART, PERSON, PRODUCT, NORP, ORDINAL, TIME, DATE, EVENT</t>
  </si>
  <si>
    <t>---
source_html: "\\dlowenas\HPWorkstation\Desktop\Master HTMl\K-Production-Ready\03-moral-decline\DEPLOY-READY\04-collapse-mechanisms\MDA-025-cognitive-decline</t>
  </si>
  <si>
    <t>html"
deploy_relative: "04-collapse-mechanisms\MDA-025-cognitive-decline</t>
  </si>
  <si>
    <t>html"
title: "Cognitive System Stress | Moral Decline of America"
---
Cognitive System Stress | Moral Decline of America
﻿
Cognitive System Stress | Moral Decline of America
Home Home
Previous
|
Nex</t>
  </si>
  <si>
    <t>agitated or reactionary; disciplined; spiritually ordered; technically strong, spiritually ordered</t>
  </si>
  <si>
    <t>David Lowe • Theophysics Institute
Read Aloud
0:00
The 1963 Inflection Point
This 1963 inflection point is highly significant.</t>
  </si>
  <si>
    <t>The Great Divergence: Objective vs.</t>
  </si>
  <si>
    <t>The "software" of moral reasoning corrupted.</t>
  </si>
  <si>
    <t>P-330dab9ddded</t>
  </si>
  <si>
    <t>MDA-026-spiritual-collapse.md</t>
  </si>
  <si>
    <t>C:\Users\lowes\Documents\Codex\2026-05-30\okay-let-find-the-open-ai\work\deploy_ready_extracted_md_20260530_220012\MDA-026-spiritual-collapse.md</t>
  </si>
  <si>
    <t>2026-05-30T22:02:26.630820</t>
  </si>
  <si>
    <t>C:\Users\lowes\Documents\Codex\2026-05-30\okay-let-find-the-open-ai\outputs\deploy_ready_full_pipeline_20260530\paper_intelligence\snapshots\P-330dab9ddded_snapshot.json</t>
  </si>
  <si>
    <t>Mode Standard(0.0032) | Standard Current(0.0032) | Reader Mode(0.005) | Psychological Collapse(0.0069) | Academic Method(0.0085) | Master HTMl(0.0105) | Moral Decline(0.0114) | Standard active(0.0116) | bridge Standard(0.0116) | Easy Plain-language(0.0124) | pressure Standard(0.0124) | Standard(0.0151)</t>
  </si>
  <si>
    <t>the spiritual | moral decline | spiritual and | and psychological | psychological collapse | decline america</t>
  </si>
  <si>
    <t>the spiritual and | spiritual and psychological | and psychological collapse | moral decline america</t>
  </si>
  <si>
    <t>The Spiritual and Psychological Collapse | Moral Decline of America</t>
  </si>
  <si>
    <t>This was not merely a drift; it was an institutional hemorrhage.</t>
  </si>
  <si>
    <t>It was marketed as a solution to the "psychic tension" of modern life.</t>
  </si>
  <si>
    <t>Cultural gatekeepers stop attending the institutions that taught virtue.</t>
  </si>
  <si>
    <t>Spiritual &amp; Psychological Collapse Timeline 1937 Church membership peaks at 73% — Gallup polling data marks the institutional zenith of American church membership.</t>
  </si>
  <si>
    <t>goodness:6, love:0, joy:0, peace:0, patience:0</t>
  </si>
  <si>
    <t>Reader Mode
Standard, Standard, David Lowe • Theophysics Institute, Valium</t>
  </si>
  <si>
    <t>HTMl\K-Production-Ready\03-moral-decline\DEPLOY-READY\04-collapse-mechanisms\MDA-026-spiritual-collapse.html, the Moral Decline of America, Mainline, Mainline Protestant Membership Trajectory, Pills Sold</t>
  </si>
  <si>
    <t>American, Protestantism</t>
  </si>
  <si>
    <t>ORG, CARDINAL, WORK_OF_ART, PERSON, GPE, PRODUCT, ORDINAL, TIME, DATE, NORP, PERCENT</t>
  </si>
  <si>
    <t>---
source_html: "\\dlowenas\HPWorkstation\Desktop\Master HTMl\K-Production-Ready\03-moral-decline\DEPLOY-READY\04-collapse-mechanisms\MDA-026-spiritual-collapse</t>
  </si>
  <si>
    <t>html"
deploy_relative: "04-collapse-mechanisms\MDA-026-spiritual-collapse</t>
  </si>
  <si>
    <t xml:space="preserve">html"
title: "The Spiritual and Psychological Collapse | Moral Decline of America"
---
The Spiritual and Psychological Collapse | Moral Decline of America
﻿
The Spiritual and Psychological Collapse </t>
  </si>
  <si>
    <t>Theophysics Research • Series 6.2
PART 05 OF 10
The Spiritual and Psychological Collapse
Domain III: The Spiritual and Psychological Shift
This is the fifth in a 10-part series on the Moral Decline of America.</t>
  </si>
  <si>
    <t>Previous
Part 04: The Cognitive Decline
Series
Back to Series Landing
Next 
Part 06: The Signal Went Dark
15 + 15 = 100
David Lowe • Theophysics Institute
Previous
Series Home
Next 
Theophysics Home
MDA-026 of 54
Related Work
Core article, supporting evidence, and broader context
Ring 1 ï¿½ This Article
The core argument
You are here.</t>
  </si>
  <si>
    <t>P-6c170c999572</t>
  </si>
  <si>
    <t>MDA-027-signal-went-dark.md</t>
  </si>
  <si>
    <t>C:\Users\lowes\Documents\Codex\2026-05-30\okay-let-find-the-open-ai\work\deploy_ready_extracted_md_20260530_220012\MDA-027-signal-went-dark.md</t>
  </si>
  <si>
    <t>2026-05-30T22:02:27.425208</t>
  </si>
  <si>
    <t>C:\Users\lowes\Documents\Codex\2026-05-30\okay-let-find-the-open-ai\outputs\deploy_ready_full_pipeline_20260530\paper_intelligence\snapshots\P-6c170c999572_snapshot.json</t>
  </si>
  <si>
    <t>Mode Standard(0.0033) | Reader Mode(0.0052) | Signal(0.0083) | Moral Decline(0.0102) | Master HTMl(0.012) | Academic Method(0.0126) | institutions(0.0126) | Standard active(0.0131) | bridge Standard(0.0131) | pressure Standard(0.0132) | Easy Plain-language(0.0132) | Standard(0.0153)</t>
  </si>
  <si>
    <t>signal went | went dark | the signal | moral decline | institutional truth | truth coherence</t>
  </si>
  <si>
    <t>signal went dark | the signal went | government media science | media science medical</t>
  </si>
  <si>
    <t>The Signal Went Dark | Moral Decline of America</t>
  </si>
  <si>
    <t>We're now in a regime where institutional recovery requires radical restructuring—not improvement, but replacement of the foundational incentive structures.</t>
  </si>
  <si>
    <t xml:space="preserve">The Physics of Signal Recovery In electromagnetism, when signal is degraded, recovery requires: 01 Source Restoration Physics: Clean signal from the origin Institutional: Institutions must choose truth over narrative, consistently, visibly </t>
  </si>
  <si>
    <t>America crossed this threshold between 2015 and 2020.</t>
  </si>
  <si>
    <t>It was a choice to present selected evidence and ignore contradicting evidence.</t>
  </si>
  <si>
    <t>peace:7, hope:2, faithfulness:1, love:0, joy:0</t>
  </si>
  <si>
    <t>Reader Mode
Standard, Standard, David Lowe • Theophysics Institute, Epistemic Warfare</t>
  </si>
  <si>
    <t>HTMl\K-Production-Ready\03-moral-decline\DEPLOY-READY\04-collapse, the Moral Decline of America, Congress, Trust Metrics, Science / Medical</t>
  </si>
  <si>
    <t>American, Iraqi, Americans</t>
  </si>
  <si>
    <t>ORG, CARDINAL, WORK_OF_ART, PERSON, PRODUCT, DATE, ORDINAL, EVENT, PERCENT, GPE, NORP, MONEY, LANGUAGE, TIME</t>
  </si>
  <si>
    <t>---
source_html: "\\dlowenas\HPWorkstation\Desktop\Master HTMl\K-Production-Ready\03-moral-decline\DEPLOY-READY\04-collapse-mechanisms\MDA-027-signal-went-dark</t>
  </si>
  <si>
    <t>html"
deploy_relative: "04-collapse-mechanisms\MDA-027-signal-went-dark</t>
  </si>
  <si>
    <t xml:space="preserve">html"
title: "The Signal Went Dark | Moral Decline of America"
---
The Signal Went Dark | Moral Decline of America
﻿
The Signal Went Dark | Moral Decline of America
Home Home
Previous
|
Next
Series </t>
  </si>
  <si>
    <t>The Physics of Signal Recovery
In electromagnetism, when signal is degraded, recovery requires:
01
Source Restoration
Physics: Clean signal from the origin
Institutional: Institutions must choose truth over narrative, consistently, visibly
02
Noise Reduction
Physics: Removing interference
Institutional: Eliminating conflicts of interest, hidden funding, incentive misalignment
03
Repeater Function
Physics: Amplifying clean signal across distance
Institutional: Distributed systems that amplify clean signal without institutional gatekeeping
None of these are happening.</t>
  </si>
  <si>
    <t>And once that inversion is complete, no amount of PR, rebranding, or leadership change restores what was broken."
Institutional Truth Coherence
67
1973
11
2024
The signal went dark because we built institutions optimized for capturing perception, not for transmitting truth.</t>
  </si>
  <si>
    <t>The Unrecoverable State
There's a threshold in signal systems beyond which recovery becomes mathematically impossible.</t>
  </si>
  <si>
    <t>These weren't universal.</t>
  </si>
  <si>
    <t>P-641ee6da7311</t>
  </si>
  <si>
    <t>MDA-028-phantom-money.md</t>
  </si>
  <si>
    <t>C:\Users\lowes\Documents\Codex\2026-05-30\okay-let-find-the-open-ai\work\deploy_ready_extracted_md_20260530_220012\MDA-028-phantom-money.md</t>
  </si>
  <si>
    <t>2026-05-30T22:02:28.760934</t>
  </si>
  <si>
    <t>C:\Users\lowes\Documents\Codex\2026-05-30\okay-let-find-the-open-ai\outputs\deploy_ready_full_pipeline_20260530\paper_intelligence\snapshots\P-641ee6da7311_snapshot.json</t>
  </si>
  <si>
    <t>LOW</t>
  </si>
  <si>
    <t>Moral Decline(0.0038) | Reader Mode(0.0054) | Academic Method(0.0093) | Phantom Morals(0.0098) | Phantom(0.0103) | Phantom Money(0.0121) | Master HTMl(0.0133) | Economic Coherence(0.0139) | Easy Plain-language(0.014) | Wealth(0.0141) | Decline(0.0148) | Home Price(0.0163)</t>
  </si>
  <si>
    <t>phantom money | monetary expansion | phantom morals | economic coherence | top wealth | you couldn</t>
  </si>
  <si>
    <t>net worth income | phantom money phantom | money phantom morals | top wealth share</t>
  </si>
  <si>
    <t>Phantom Money, Phantom Morals | Moral Decline of America</t>
  </si>
  <si>
    <t>So institutions work constantly to: Celebrate nominal gains ("stocks at all-time highs!") Hide real losses (real wage stagnation buried in inflation data) Promote asset ownership as virtue ("build wealth through the stock market!") Defer qu</t>
  </si>
  <si>
    <t>A phantom economy requires phantom morals to sustain it.</t>
  </si>
  <si>
    <t>The Terminal State The phantom economy is now in a state where recovery requires systemic honesty about the system itself.</t>
  </si>
  <si>
    <t>Net result: real wealth transfers from wage-earners to asset-holders and government This isn't capitalism.</t>
  </si>
  <si>
    <t>peace:6, goodness:6, hope:2, faithfulness:1, love:0</t>
  </si>
  <si>
    <t>Reader Mode
Standard, Standard, David Lowe • Theophysics Institute, Nixon, Cycle</t>
  </si>
  <si>
    <t>HTMl\K-Production-Ready\03-moral-decline\DEPLOY-READY\04-collapse-mechanisms\MDA-028, Phantom Money, The Federal Reserve, Fed, Ratio
Flat
Real Wages
4.1x</t>
  </si>
  <si>
    <t>American, Reaganomics, Americans, The Structural Inversion</t>
  </si>
  <si>
    <t>ORG, CARDINAL, WORK_OF_ART, PERSON, PRODUCT, DATE, NORP, MONEY, PERCENT, ORDINAL, LAW, GPE, TIME</t>
  </si>
  <si>
    <t>---
source_html: "\\dlowenas\HPWorkstation\Desktop\Master HTMl\K-Production-Ready\03-moral-decline\DEPLOY-READY\04-collapse-mechanisms\MDA-028-phantom-money</t>
  </si>
  <si>
    <t>html"
deploy_relative: "04-collapse-mechanisms\MDA-028-phantom-money</t>
  </si>
  <si>
    <t>html"
title: "Phantom Money, Phantom Morals | Moral Decline of America"
---
Phantom Money, Phantom Morals | Moral Decline of America
﻿
Phantom Money, Phantom Morals | Moral Decline of America
Home H</t>
  </si>
  <si>
    <t>Cycle accelerates
Real Wage Growth (1980–2024)
+0.3%/yr
essentially flat
Asset Price Growth (1980–2024)
+6.2%/yr
exponential
This is intentional wealth transfer from workers to asset-holders, disguised as "economic growth."
By 2024:
123%
Debt-to-GDP
$97T
Total Debt
6.1x
Net Worth to Income
49%
Top 1% Wealth
76%
Top 10% Wealth
6.1x
Home Price to Income
$1.7T
Student Debt
$1.1T
Credit Card Debt
$1.5T
Auto Debt
Economic Coherence
8
The Phantom Economy
By 2024, the American economy had become almost entirely phantom:
Total Assets: $197 Trillion
Physical productive capacity
~$30T
Real estate
~$35T
Financial assets (stocks, bonds, derivatives)
~$132T
Financial Asset Breakdown
Stock market: $50T
(P/E ratio: 28x, far above historical average of 15x)
Government bonds: $25T
(yielding 4-5%, when inflation is real wages losing 2-3%/year)
Corporate bonds: $12T
(many from companies that don't cover interest through productive earnings)
Derivatives: estimated $1–2 quadrillion
The system survives only through:
1.</t>
  </si>
  <si>
    <t>The Correlation is Exact
Year
Economic Coherence
Institutional Truth
Family Coherence
Moral Coherence
1971
76
67
58
68
1990
58
47
38
42
2008
31
21
18
23
2024
8
11
6
9
The collapse is synchronized across all domains.</t>
  </si>
  <si>
    <t>It means the financial system was pricing impossible futures—claims on value that couldn't exist.</t>
  </si>
  <si>
    <t>But they were constrained by reality.</t>
  </si>
  <si>
    <t>P-655a7e473f59</t>
  </si>
  <si>
    <t>MDA-029-observer-collapsed.md</t>
  </si>
  <si>
    <t>C:\Users\lowes\Documents\Codex\2026-05-30\okay-let-find-the-open-ai\work\deploy_ready_extracted_md_20260530_220012\MDA-029-observer-collapsed.md</t>
  </si>
  <si>
    <t>2026-05-30T22:02:30.196895</t>
  </si>
  <si>
    <t>C:\Users\lowes\Documents\Codex\2026-05-30\okay-let-find-the-open-ai\outputs\deploy_ready_full_pipeline_20260530\paper_intelligence\snapshots\P-655a7e473f59_snapshot.json</t>
  </si>
  <si>
    <t>Mode Standard(0.0034) | Standard Current(0.0034) | Moral Decline(0.0042) | Reader Mode(0.0052) | Individual Coherence(0.0073) | Identity(0.0087) | Academic Method(0.009) | Master HTMl(0.0119) | America Home(0.012) | Standard active(0.0132) | bridge Standard(0.0132) | Easy Plain-language(0.0133)</t>
  </si>
  <si>
    <t>the observer | individual coherence | observer collapsed | identity consistency | consistency personal | personal agency</t>
  </si>
  <si>
    <t>identity consistency personal | consistency personal agency | personal agency depression | agency depression rate</t>
  </si>
  <si>
    <t>The Observer Collapsed | Moral Decline of America</t>
  </si>
  <si>
    <t>quantum mechanics</t>
  </si>
  <si>
    <t>Each platform required a different identity: LinkedIn professional self Facebook family-appropriate self Instagram aspirational self Twitter opinionated self Reddit anonymous self TikTok entertaining self Dating apps romantic self You weren</t>
  </si>
  <si>
    <t xml:space="preserve">Each medium required a different self: Work professional identity Family familial identity Friends social identity Online forums anonymous identity Email written identity Chat rooms performed identity Where these had once lived in separate </t>
  </si>
  <si>
    <t>Morality requires a consistent "I" that makes commitments and keeps them.</t>
  </si>
  <si>
    <t>And without a stable observer, there is no stable observed reality.</t>
  </si>
  <si>
    <t>peace:15, faithfulness:2, love:1, goodness:1, hope:1</t>
  </si>
  <si>
    <t>Reader Mode
Standard, Standard, David Lowe • Theophysics Institute, Rolex, Formalized Self-Fragmentation</t>
  </si>
  <si>
    <t>HTMl\K-Production-Ready\03-moral-decline\DEPLOY-READY\04-collapse-mechanisms\MDA-029-observer-collapsed.html, The Dissolution of Individual Identity, Identity Consistency, Personal Agency, The Acceleration of Information and Social Demand</t>
  </si>
  <si>
    <t>Americans</t>
  </si>
  <si>
    <t>ORG, CARDINAL, WORK_OF_ART, PERSON, PRODUCT, DATE, PERCENT, NORP, TIME, LANGUAGE</t>
  </si>
  <si>
    <t>---
source_html: "\\dlowenas\HPWorkstation\Desktop\Master HTMl\K-Production-Ready\03-moral-decline\DEPLOY-READY\04-collapse-mechanisms\MDA-029-observer-collapsed</t>
  </si>
  <si>
    <t>html"
deploy_relative: "04-collapse-mechanisms\MDA-029-observer-collapsed</t>
  </si>
  <si>
    <t>html"
title: "The Observer Collapsed | Moral Decline of America"
---
The Observer Collapsed | Moral Decline of America
﻿
The Observer Collapsed | Moral Decline of America
Home Home
Previous
|
Next
S</t>
  </si>
  <si>
    <t>Previous
Part 7: Phantom Money, Phantom Morals
Series
Back to Series Landing
Next 
Part 9: The Amish Proof
15 + 15 = 100
David Lowe • 2025
Previous
Series Home
Next 
Theophysics Home
MDA-029 of 54
Related Work
Core article, supporting evidence, and broader context
Ring 1 ï¿½ This Article
The core argument
You are here.</t>
  </si>
  <si>
    <t>By 2018, a critical threshold had been crossed:
$$I &lt; \frac{F}{A}$$
What this equation says in English
This rescales a raw measurement into a comparable index so that different domains can be compared on the same range.</t>
  </si>
  <si>
    <t>Constant connectivity meant you were always available to multiple audiences.</t>
  </si>
  <si>
    <t>When fragmentation pressure exceeds authenticity pressure, stable identity becomes mathematically impossible.</t>
  </si>
  <si>
    <t>P-4e228696268c</t>
  </si>
  <si>
    <t>MDA-030-trinity-mechanism.md</t>
  </si>
  <si>
    <t>C:\Users\lowes\Documents\Codex\2026-05-30\okay-let-find-the-open-ai\work\deploy_ready_extracted_md_20260530_220012\MDA-030-trinity-mechanism.md</t>
  </si>
  <si>
    <t>2026-05-30T22:02:31.668187</t>
  </si>
  <si>
    <t>C:\Users\lowes\Documents\Codex\2026-05-30\okay-let-find-the-open-ai\outputs\deploy_ready_full_pipeline_20260530\paper_intelligence\snapshots\P-4e228696268c_snapshot.json</t>
  </si>
  <si>
    <t>B — Supported</t>
  </si>
  <si>
    <t>Mode Standard(0.0034) | Standard Current(0.0034) | Reader Mode(0.0054) | Moral Decline(0.0055) | Academic Method(0.0093) | Son(0.0097) | Father(0.01) | Spirit(0.0102) | potential(0.0132) | pressure Standard(0.0138) | Easy Plain-language(0.014) | Standard active(0.0148)</t>
  </si>
  <si>
    <t>the trinity | the father | the son | cdot cdot | equation says | says english</t>
  </si>
  <si>
    <t>equation says english | cdot cdot cdot | says english formal | english formal expression</t>
  </si>
  <si>
    <t>Trinity-Wave Collapse | Moral Decline of America</t>
  </si>
  <si>
    <t>quantum mechanics, entropy, superposition, wave function</t>
  </si>
  <si>
    <t>5/7</t>
  </si>
  <si>
    <t>THEREFORE: Every functioning reality requires an Agent of Actualization (Execution).</t>
  </si>
  <si>
    <t>A system with zero potential is "Nothing." THEREFORE: Every functioning reality requires a Generator of Potential (Source).</t>
  </si>
  <si>
    <t>Infinite potential without structure is merely "Chaos" or "Noise." THEREFORE: Every functioning reality requires an Organizer of Pattern (Logos).</t>
  </si>
  <si>
    <t xml:space="preserve">— David Lowe | Theophysics The Chi-Field Master Equation \[ \chi = \iiint (G \cdot M \cdot E \cdot S \cdot T \cdot K \cdot R \cdot Q \cdot F \cdot C)\, dx\, dy\, dt \] Grace · Moral Alignment · Entropy · Time · Knowledge · Redemptive Order </t>
  </si>
  <si>
    <t>love:8, peace:8, faithfulness:1, grace:1, hope:1</t>
  </si>
  <si>
    <t xml:space="preserve">Reader Mode
Standard, Standard, Son, outward â€, Jesus the Son
</t>
  </si>
  <si>
    <t>HTMl\K-Production-Ready\03-moral-decline\DEPLOY-READY\04-collapse-mechanisms\MDA-030, Trinity-Wave Collapse, Trinity-Wave Collapse
How Father, Spirit Actualize Every Quantum Moment, Quantum</t>
  </si>
  <si>
    <t>Hamiltonian, Christian, the "Present" (t_now), the Inevitability Protocol</t>
  </si>
  <si>
    <t>ORG, CARDINAL, PERSON, WORK_OF_ART, PRODUCT, DATE, NORP, LANGUAGE, MONEY, GPE, PERCENT, FAC, LAW, LOC</t>
  </si>
  <si>
    <t>---
source_html: "\\dlowenas\HPWorkstation\Desktop\Master HTMl\K-Production-Ready\03-moral-decline\DEPLOY-READY\04-collapse-mechanisms\MDA-030-trinity-mechanism</t>
  </si>
  <si>
    <t>html"
deploy_relative: "04-collapse-mechanisms\MDA-030-trinity-mechanism</t>
  </si>
  <si>
    <t>html"
title: "Trinity-Wave Collapse | Moral Decline of America"
---
Trinity-Wave Collapse | Moral Decline of America
﻿
Trinity-Wave Collapse | Moral Decline of America
Home Home
Previous
|
Next
Seri</t>
  </si>
  <si>
    <t>agitated or reactionary</t>
  </si>
  <si>
    <t>forceful and disciplined; publication-ready but adversarially incomplete</t>
  </si>
  <si>
    <t>The Unified Probability of Any Outcome
\[ P(\text{outcome}) = |\langle\psi|a\rangle|^2 = \text{Father} \cdot \text{Son} \cdot \text{Spirit} \]
What this equation says in English
This formal expression is a compact way of saying the article is making a structured, testable relationship rather than only a verbal comparison.</t>
  </si>
  <si>
    <t>The Holy Spirit
Temporal Actualizer
Role: Makes possibility into present reality
Mathematical Form â€” The Born Rule
\[ P(a) = |\langle\psi|a\rangle|^2 \]
What this equation says in English
This formal expression is a compact way of saying the article is making a structured, testable relationship rather than only a verbal comparison.</t>
  </si>
  <si>
    <t>The Wave Function (|ψ⟩) contains everything that could happen.</t>
  </si>
  <si>
    <t>The state |ψ⟩ unfolds into the full eigenstate spectrum — everything that could be.</t>
  </si>
  <si>
    <t>P-3af9304e8dcb</t>
  </si>
  <si>
    <t>MDA-031-jacob-1998.md</t>
  </si>
  <si>
    <t>C:\Users\lowes\Documents\Codex\2026-05-30\okay-let-find-the-open-ai\work\deploy_ready_extracted_md_20260530_220012\MDA-031-jacob-1998.md</t>
  </si>
  <si>
    <t>2026-05-30T22:02:33.340478</t>
  </si>
  <si>
    <t>C:\Users\lowes\Documents\Codex\2026-05-30\okay-let-find-the-open-ai\outputs\deploy_ready_full_pipeline_20260530\paper_intelligence\snapshots\P-3af9304e8dcb_snapshot.json</t>
  </si>
  <si>
    <t>Moral Decline(0.0003) | Mode Standard(0.003) | Reader Mode(0.0049) | Place Disappeared(0.0075) | Academic Method(0.0083) | Jake(0.0084) | Decline(0.0084) | Moral(0.0086) | Decline Part(0.0096) | Master HTMl(0.0103) | Standard active(0.011) | bridge Standard(0.011)</t>
  </si>
  <si>
    <t>doesn know | you can | the internet | the screen | moral decline | the world</t>
  </si>
  <si>
    <t>find good woman | place disappeared moral | disappeared moral decline | moral decline america</t>
  </si>
  <si>
    <t>When Place Disappeared | Moral Decline of America</t>
  </si>
  <si>
    <t>Jacob lives inside the aftermath, where meaning must be self-constructed without guidance.</t>
  </si>
  <si>
    <t>And "stay" implies there's somewhere to be, something to stay with.</t>
  </si>
  <si>
    <t>They have sex two or three times a week.</t>
  </si>
  <si>
    <t>Previous Series Home Next Theophysics Home MDA-031 of 54 Related Work Core article, supporting evidence, and broader context Ring 1 — This Article The core argument You are here.</t>
  </si>
  <si>
    <t>peace:8, goodness:8, hope:7, love:4, patience:4</t>
  </si>
  <si>
    <t>Place Disappeared, Reader Mode
Standard, Standard, Bill Clinton, Samuel</t>
  </si>
  <si>
    <t>HTMl\K-Production-Ready\03-moral-decline\DEPLOY-READY\01-story-thread\MDA-031, AOL, Yahoo, Amazon, Jake</t>
  </si>
  <si>
    <t>American, Americans, Jake, Walkmans</t>
  </si>
  <si>
    <t>ORG, CARDINAL, PERSON, WORK_OF_ART, PRODUCT, EVENT, GPE, DATE, PERCENT, ORDINAL, NORP, QUANTITY, TIME</t>
  </si>
  <si>
    <t>---
source_html: "\\dlowenas\HPWorkstation\Desktop\Master HTMl\K-Production-Ready\03-moral-decline\DEPLOY-READY\01-story-thread\MDA-031-jacob-1998</t>
  </si>
  <si>
    <t>html"
title: "When Place Disappeared | Moral Decline of America"
---
When Place Disappeared | Moral Decline of America
﻿
When Place Disappeared | Moral Decline of America
Home Home
Previous
|
Next
S</t>
  </si>
  <si>
    <t>Proof Pressure Layer
Vetted Claims for MDA-031-jacob-1998
No promoted claim
No claim from this article survived the deterministic Axiom + 7Q gate strongly enough for the proof layer yet</t>
  </si>
  <si>
    <t>Something is happening, something big, and no one quite knows what it means yet.</t>
  </si>
  <si>
    <t>Jacob's defining traits—indecision, rootlessness, chronic distraction—are the signature of a system where external constraints are gone and internal ones have not formed.</t>
  </si>
  <si>
    <t>His parents divorced before he could remember them together.</t>
  </si>
  <si>
    <t>Or maybe no virtues at all.</t>
  </si>
  <si>
    <t>P-fe4f6e60fe31</t>
  </si>
  <si>
    <t>MDA-032-why-bad-is-easier.md</t>
  </si>
  <si>
    <t>C:\Users\lowes\Documents\Codex\2026-05-30\okay-let-find-the-open-ai\work\deploy_ready_extracted_md_20260530_220012\MDA-032-why-bad-is-easier.md</t>
  </si>
  <si>
    <t>2026-05-30T22:02:35.588039</t>
  </si>
  <si>
    <t>C:\Users\lowes\Documents\Codex\2026-05-30\okay-let-find-the-open-ai\outputs\deploy_ready_full_pipeline_20260530\paper_intelligence\snapshots\P-fe4f6e60fe31_snapshot.json</t>
  </si>
  <si>
    <t>Mode Standard(0.0027) | Reader Mode(0.0045) | Moral Decline(0.0045) | Master HTMl(0.008) | Standard active(0.0088) | bridge Standard(0.0088) | Academic Method(0.0102) | pressure Standard(0.0103) | America Home(0.0119) | Decline(0.0126) | America(0.0131) | Easy Plain-language(0.0131)</t>
  </si>
  <si>
    <t>bad easier | the bad | the good | the same | moral decline | why the</t>
  </si>
  <si>
    <t>why the bad | the bad easier | bad easier the | easier the good</t>
  </si>
  <si>
    <t>Why the Bad Is Easier Than the Good | Moral Decline of America</t>
  </si>
  <si>
    <t>15 + 15 = 100 David Lowe • Theophysics Institute Previous Series Home Next Theophysics Home MDA-032 of 54 Related Work Core article, supporting evidence, and broader context Ring 1 â€” This Article The core argument You are here.</t>
  </si>
  <si>
    <t>The Asymmetry Problem Across cultures, religions, and centuries, the same pattern appears: Easier — Default State Anger Lust Greed Chaos vs Harder — Requires Structure Patience Faithfulness Generosity Order This is not a theological claim.</t>
  </si>
  <si>
    <t>Why is it easier to indulge now than to wait?</t>
  </si>
  <si>
    <t>The Data This project is the result of a massive, multi-year synthesis of historical, economic, and sociological data.</t>
  </si>
  <si>
    <t>goodness:13, patience:5, peace:4, self_control:4, faithfulness:3</t>
  </si>
  <si>
    <t>Reader Mode
Standard, Standard, David Lowe • Theophysics Institute, Restraint, David Lowe</t>
  </si>
  <si>
    <t xml:space="preserve">HTMl\K-Production-Ready\03-moral-decline\DEPLOY-READY\04-collapse-mechanisms\MDA-032, the Structural Cost of Virtue, Default State, Long-Term Entropy
Increased, the Project
The Author
</t>
  </si>
  <si>
    <t>ORG, CARDINAL, WORK_OF_ART, PERSON, PRODUCT, GPE, DATE</t>
  </si>
  <si>
    <t>---
source_html: "\\dlowenas\HPWorkstation\Desktop\Master HTMl\K-Production-Ready\03-moral-decline\DEPLOY-READY\04-collapse-mechanisms\MDA-032-why-bad-is-easier</t>
  </si>
  <si>
    <t>html"
deploy_relative: "04-collapse-mechanisms\MDA-032-why-bad-is-easier</t>
  </si>
  <si>
    <t>html"
title: "Why the Bad Is Easier Than the Good | Moral Decline of America"
---
Why the Bad Is Easier Than the Good | Moral Decline of America
﻿
Why the Bad Is Easier Than the Good | Moral Decline</t>
  </si>
  <si>
    <t>publication-ready but adversarially incomplete</t>
  </si>
  <si>
    <t>Theophysics Research • Series 6.8
Why the Bad Is Easier Than the Good
The Asymmetry Problem and the Structural Cost of Virtue
What physics reveals about the default direction of human behavior
David Lowe • Theophysics Institute
Why is it easier to lose your temper than to hold it?</t>
  </si>
  <si>
    <t>A Clue Hidden in Plain Sight
There is an ancient list that names the behaviors that hold human life together:
The Fruits of the Spirit
Love
Joy
Peace
Patience
Kindness
Goodness
Faithfulness
Gentleness
Self-control
But notice something strange: every one of them is costly.</t>
  </si>
  <si>
    <t>They always invoice you later — with interest.</t>
  </si>
  <si>
    <t>This partnership enabled a scale of analysis and a pace of refinement that would be impossible for a single human mind working alone.</t>
  </si>
  <si>
    <t>P-b0436df3efb4</t>
  </si>
  <si>
    <t>MDA-033-entropic-society.md</t>
  </si>
  <si>
    <t>C:\Users\lowes\Documents\Codex\2026-05-30\okay-let-find-the-open-ai\work\deploy_ready_extracted_md_20260530_220012\MDA-033-entropic-society.md</t>
  </si>
  <si>
    <t>2026-05-30T22:02:36.503580</t>
  </si>
  <si>
    <t>C:\Users\lowes\Documents\Codex\2026-05-30\okay-let-find-the-open-ai\outputs\deploy_ready_full_pipeline_20260530\paper_intelligence\snapshots\P-b0436df3efb4_snapshot.json</t>
  </si>
  <si>
    <t>Accessed December(0.0012) | Psychological Entropy(0.0023) | Moral Decline(0.0032) | Relational Coherence(0.0033) | Phase(0.0044) | social media(0.0045) | December(0.0047) | Technology(0.0051) | Entropy(0.0054) | Decline(0.0059) | social(0.006) | technological(0.0071)</t>
  </si>
  <si>
    <t>accessed december | psychological entropy | moral decline | and the | relational coherence | social media</t>
  </si>
  <si>
    <t>org accessed december | gov accessed december | social media use | phase mass mediation</t>
  </si>
  <si>
    <t>The Entropic Society | Moral Decline of America</t>
  </si>
  <si>
    <t>entropy, complexity, emergence</t>
  </si>
  <si>
    <t>6/7</t>
  </si>
  <si>
    <t>Recommendations: Towards Technological Democracy 1 Democratizing Technology Design and Deployment Technological systems must be submitted to a more democratic process to ensure that their embedded values extend beyond maximization and contr</t>
  </si>
  <si>
    <t>When humans engage with the world through technology, they are, by necessity, adopting a maximizing and controlling approach.1 This approach, when applied ubiquitously, determines a "technological way of life." The observed decline in socia</t>
  </si>
  <si>
    <t>The Non-Deterministic Counter-Thesis Many critical analyses emphasize that technology primarily accelerates or provides a platform for pre-existing societal tensions and trends.24 For example, technology enables the gig economy, but it is t</t>
  </si>
  <si>
    <t>Correlation Analysis Establishing Linkages Between Entropy and Decline The analysis confirms that technological entropy is significantly correlated with moral decline, but the nature of that correlation is highly dependent on the phase of t</t>
  </si>
  <si>
    <t>Table III: Longitudinal Trends in Moral Decline Categories Differential chronology of decay across observed categories (1950–2025) Decline Category Key Metric Chronology of Peak Erosion Primary Correlated Tech Phase Structural Finding Relat</t>
  </si>
  <si>
    <t>love:14, goodness:11, peace:3, hope:2, joy:1</t>
  </si>
  <si>
    <t>Reader Mode
Standard, Standard, David Lowe • Theophysics Institute, Perpetual Connectivity, Causal Mechanisms</t>
  </si>
  <si>
    <t>HTMl\K-Production-Ready\03-moral-decline\DEPLOY-READY\04-collapse-mechanisms\MDA-033, The Entropic Society, the Devaluation of American Moral Capital, A. Technology as Exteriorized Intent and Cultural Force
Technology's, Relational Coherence</t>
  </si>
  <si>
    <t>American, Americans, Metabolist, Social</t>
  </si>
  <si>
    <t>ORG, CARDINAL, WORK_OF_ART, PERSON, PRODUCT, PERCENT, GPE, DATE, NORP, LAW, EVENT, TIME</t>
  </si>
  <si>
    <t>---
source_html: "\\dlowenas\HPWorkstation\Desktop\Master HTMl\K-Production-Ready\03-moral-decline\DEPLOY-READY\04-collapse-mechanisms\MDA-033-entropic-society</t>
  </si>
  <si>
    <t>html"
deploy_relative: "04-collapse-mechanisms\MDA-033-entropic-society</t>
  </si>
  <si>
    <t xml:space="preserve">html"
title: "The Entropic Society | Moral Decline of America"
---
The Entropic Society | Moral Decline of America
﻿
The Entropic Society | Moral Decline of America
Home Home
Previous
|
Next
Series </t>
  </si>
  <si>
    <t>Recommendations: Towards Technological Democracy
1
Democratizing Technology Design and Deployment
Technological systems must be submitted to a more democratic process to ensure that their embedded values extend beyond maximization and control.1 This requires mandating design transparency, allowing public scrutiny of algorithmic objectives, and holding technological corporations accountable for the measurable negative externalities (Psychological Entropy) produced by their systems.</t>
  </si>
  <si>
    <t>This perspective agrees with instrumentalism that technology is controllable, yet agrees with substantivism that it is inherently value-laden.1 This seemingly paradoxical position suggests that while technology embeds values such as efficiency, it is possible to tame it by submitting development to a more democratic process of design and deployment.1
The central premise derived from this theoretical stance is that the societal problem resides not in technology itself, but in the institutional failure to design systems and institutions that allow human control over technological development.1 Historically, it was once believed that the economy was an autonomous power operating according to inflexible laws; society later assumed the contrary and established democratic institutions to influence economic development.1 Applying this model, the challenge for modern governance is the extension of democratic accountability to the design and development of technical systems.</t>
  </si>
  <si>
    <t>The machine optimizes.</t>
  </si>
  <si>
    <t>The human disintegrates.</t>
  </si>
  <si>
    <t>P-04531653ac4e</t>
  </si>
  <si>
    <t>MDA-034-technology-entropy.md</t>
  </si>
  <si>
    <t>C:\Users\lowes\Documents\Codex\2026-05-30\okay-let-find-the-open-ai\work\deploy_ready_extracted_md_20260530_220012\MDA-034-technology-entropy.md</t>
  </si>
  <si>
    <t>2026-05-30T22:02:39.539251</t>
  </si>
  <si>
    <t>C:\Users\lowes\Documents\Codex\2026-05-30\okay-let-find-the-open-ai\outputs\deploy_ready_full_pipeline_20260530\paper_intelligence\snapshots\P-04531653ac4e_snapshot.json</t>
  </si>
  <si>
    <t>Standard Current(0.0032) | Technology(0.0064) | Moral Decline(0.007) | social media(0.0083) | Academic Method(0.0086) | Phase(0.0087) | Entropy(0.0102) | Decline(0.0106) | Master HTMl(0.0112) | Psychological Entropy(0.0119) | bridge Standard(0.0121) | pressure Standard(0.0124)</t>
  </si>
  <si>
    <t>social media | moral decline | and the | technology and | relational coherence | psychological entropy</t>
  </si>
  <si>
    <t>technology and entropy | moral decline america | mda technology entropy | and entropy moral</t>
  </si>
  <si>
    <t>Technology and Entropy | Moral Decline of America</t>
  </si>
  <si>
    <t xml:space="preserve">The Non-Deterministic Counter-Thesis Technology primarily accelerates or provides a platform for pre-existing societal tensions and trends.24 The societal harms observed are not necessarily the inevitable outcome of technological progress, </t>
  </si>
  <si>
    <t>This conceptual framework requires acknowledging that technology is fundamentally value-laden.1 Technical systems embody the goals of efficiency and power.</t>
  </si>
  <si>
    <t>adults are online.5 Decentralizes information, empowers individual retrieval.</t>
  </si>
  <si>
    <t>Prioritize community-based interventions emphasizing non-mediated social interaction.7 Works Cited [1] “What Is Philosophy of Technology?” sfu.ca [2] “Philosophy of Technology.” Stanford Encyclopedia of Philosophy [3] “90 Years of Tech Adop</t>
  </si>
  <si>
    <t>1980 Pre-Digital Major family shifts preceded digital saturation Informational Integrity Trust in Government/Media Steepest 1960s–1970s Phase 1 Disillusionment with centralized authority paved way for digital fragmentation Psychological Ent</t>
  </si>
  <si>
    <t>love:5, peace:4, goodness:4, joy:0, patience:0</t>
  </si>
  <si>
    <t>Reader Mode
Standard, Standard, Perpetual Connect
, Perpetual Connectivity
Mobile, C. Entropy</t>
  </si>
  <si>
    <t>HTMl\K-Production-Ready\03-moral-decline\DEPLOY-READY\04-collapse-mechanisms\MDA-034-technology-entropy.html, Entropy, Home Home, Entropy
Technology, the Devaluation of American Moral Capital</t>
  </si>
  <si>
    <t>American, Americans, Phase 1 to Phase 2, Phase 1</t>
  </si>
  <si>
    <t>ORG, CARDINAL, PERSON, WORK_OF_ART, PRODUCT, TIME, DATE, NORP, GPE, PERCENT, LAW, EVENT</t>
  </si>
  <si>
    <t>---
source_html: "\\dlowenas\HPWorkstation\Desktop\Master HTMl\K-Production-Ready\03-moral-decline\DEPLOY-READY\04-collapse-mechanisms\MDA-034-technology-entropy</t>
  </si>
  <si>
    <t>html"
deploy_relative: "04-collapse-mechanisms\MDA-034-technology-entropy</t>
  </si>
  <si>
    <t>html"
title: "Technology and Entropy | Moral Decline of America"
---
Technology and Entropy | Moral Decline of America
﻿
Technology and Entropy | Moral Decline of America
Reader Mode
Standard active</t>
  </si>
  <si>
    <t>Prioritize community-based interventions emphasizing non-mediated social interaction.7
Works Cited
[1] “What Is Philosophy of Technology?” sfu.ca
[2] “Philosophy of Technology.” Stanford Encyclopedia of Philosophy
[3] “90 Years of Tech Adoption Rates.” DataTrek Research
[4] “Disconnection and Reorganization: The Transformation of Civic Life.” University of Miami
[5] “Internet, Broadband Fact Sheet.” Pew Research Center
[6] “From 2005 to 2010.” OCLC
[7] “Social Media and Youth Mental Health.” HHS.gov
[8] “How Can Consumers Develop Aesthetic Durability?” Sustainability Directory
[9] “Obsolescence.” Harvard Design Magazine
[10] “Aesthetic of Entropy: An Architectural Archetype.” Scientific.Net
[11] “Home Alone: More Than A Quarter of All Households Have One Person.” Census Bureau
[12] “Divorce: More than a Century of Change, 1900–2022.” BGSU NCFMR
[13] “Public Trust in Government: 1958–2024.” Pew Research
[14] “Public Trust in Government: 1958–2025.” Pew Research
[15] “Trust in Media at New Low of 28%.” Gallup
[16] “The Trust Project.” thetrustproject.org
[17] “Depression Prevalence in Adolescents and Adults.” CDC
[18] “Data and Statistics on Children’s Mental Health.” CDC
[19] “One in Three Americans Feels Lonely Every Week.” APA
[20] “Nation Suffering from Stress of Societal Division, Loneliness.” APA
[21] “Vital and Health Statistics.” CDC
[22] “Social Media and Mental Health in Children and Teens.” Johns Hopkins
[23] “Social media use increases depression and loneliness.” Penn Today
[24] “Tech causes more problems than it solves.” Pew Research
[26] “High economic inequality is linked to greater moralization.” PNAS Nexus
[27] “Is America in Moral Decline?” Columbia Magazine
THE ENTROPIC SOCIETY
Technology, Obsolescence, and the Devaluation of American Moral Capital
David Lowe • Moral Decline of America Project
With Claude (Anthropic), Gemini (Google), and Codex (OpenAI)
3 technological phases
3 decline categories
27 cited sources
Main Analysis
FACTS Paper
Historical Timeline 
Series Index
Previous
Series Home
Next 
Theophysics Home
MDA-034 of 54
Related Work
Core article, supporting evidence, and broader context
Ring 1 — This Article
The core argument
You are here.</t>
  </si>
  <si>
    <t>Home Home
Previous
|
Next
Series Home
Listen
0:00
Moral Decline Series • Domain Data • 2026
Technology and Entropy
Technology, Obsolescence, and the Devaluation of American Moral Capital
1950 — 2025
Phase 1
Mass Mediation
1950–1985
Phase 2
Individual Access
1985–2005
Phase 3
Perpetual Connect
2005–Present
Entropy is not a failure — it is an engineered feature
Section I
The Technology of Human Will
A Conceptual and Critical Definition
The investigation into the moral trajectory of American society requires a philosophical definition of technology that moves beyond mere tool usage.</t>
  </si>
  <si>
    <t>Broadcast television, radio, landlines.</t>
  </si>
  <si>
    <t>PC and early internet.</t>
  </si>
  <si>
    <t>P-788ce3a3f5cf</t>
  </si>
  <si>
    <t>MDA-035-great-reconfiguration.md</t>
  </si>
  <si>
    <t>C:\Users\lowes\Documents\Codex\2026-05-30\okay-let-find-the-open-ai\work\deploy_ready_extracted_md_20260530_220012\MDA-035-great-reconfiguration.md</t>
  </si>
  <si>
    <t>2026-05-30T22:02:41.166588</t>
  </si>
  <si>
    <t>C:\Users\lowes\Documents\Codex\2026-05-30\okay-let-find-the-open-ai\outputs\deploy_ready_full_pipeline_20260530\paper_intelligence\snapshots\P-788ce3a3f5cf_snapshot.json</t>
  </si>
  <si>
    <t>BWB(0.0046) | Membership(0.0048) | church membership(0.0051) | institutional(0.0063) | BWB cohort(0.0066) | Pew Research(0.0073) | Decline(0.0078) | Gallup membership(0.0082) | Christian affiliation(0.0083) | religious(0.0096) | Great Reconfiguration(0.0097) | attendance(0.0098)</t>
  </si>
  <si>
    <t>the bwb | https www | non traditional | church membership | bwb cohort | great reconfiguration</t>
  </si>
  <si>
    <t>pew research center | non traditional ecclesial | traditional ecclesial forms | religious landscape study</t>
  </si>
  <si>
    <t>The Great Reconfiguration | Moral Decline of America</t>
  </si>
  <si>
    <t>Therefore, this segment is the most critical competitive battleground for the future of organized religious expression in the United States.</t>
  </si>
  <si>
    <t>The prosperity teaching thus functions as a Ritual Substitution, reframing financial giving as a transaction that guarantees a material return, replacing traditional concepts of sacrifice or spiritual formation.</t>
  </si>
  <si>
    <t>Furthermore, analysis of contemporary trends, particularly during the COVID-19 pandemic, must account for GSS Mode Effects.</t>
  </si>
  <si>
    <t>Quantifying the "Saved Non-Attender" Cohort Analysis of the 2023–2024 RLS data provides a measure of this detached cohort.</t>
  </si>
  <si>
    <t>https://academic.oup.com/sf/article/104/1/366/8002178 15 + 15 = 100 David Lowe • Theophysics Institute Domain Analysis: Religion • The Moral Decay of America Project Previous Series Home Next Theophysics Home MDA-035 of 54 Related Work Core</t>
  </si>
  <si>
    <t>kindness</t>
  </si>
  <si>
    <t>kindness:4, hope:4, love:3, peace:2, patience:2</t>
  </si>
  <si>
    <t>Reader Mode
Standard, Standard, David Lowe • Theophysics Institute, I.B. Methods Note, Attendance</t>
  </si>
  <si>
    <t>HTMl\K-Production-Ready\03-moral-decline\DEPLOY-READY\04-collapse-mechanisms\MDA-035-great-reconfiguration.html, Peak Membership, BWB, I. Executive Synthesis &amp; Methodological Foundation
I.A. Overview of Findings, American Christianity</t>
  </si>
  <si>
    <t>American, Mainline Protestantism, Christian, Americans</t>
  </si>
  <si>
    <t>ORG, CARDINAL, WORK_OF_ART, PERSON, PRODUCT, NORP, PERCENT, DATE, ORDINAL, EVENT, GPE, LAW, LOC</t>
  </si>
  <si>
    <t>---
source_html: "\\dlowenas\HPWorkstation\Desktop\Master HTMl\K-Production-Ready\03-moral-decline\DEPLOY-READY\04-collapse-mechanisms\MDA-035-great-reconfiguration</t>
  </si>
  <si>
    <t>html"
deploy_relative: "04-collapse-mechanisms\MDA-035-great-reconfiguration</t>
  </si>
  <si>
    <t>html"
title: "The Great Reconfiguration | Moral Decline of America"
---
The Great Reconfiguration | Moral Decline of America
﻿
The Great Reconfiguration | Moral Decline of America
Home Home
Previous</t>
  </si>
  <si>
    <t>Megachurches (defined as 2,000 or more weekly attendees) experienced explosive growth, doubling from roughly 600 in 2001 to over 1,200 by 2006, and reaching an estimated 1,750 by 2020.19
Megachurches fulfill multiple NTF classification criteria, primarily in Structure and Modality.20 They are predominantly non-denominational or have minimal governance (Structure), relying on single charismatic leadership and utilizing multi-site broadcast models (Modality).19 The core strategy of these entities is market concentration and institutional displacement: most megachurches draw the majority of their congregants from other existing churches.19 They are not primarily growing the religious market overall but are successfully centralizing attendees, absorbing members and resources from smaller, struggling local institutions.</t>
  </si>
  <si>
    <t>Traditional churches are losing both ground and capital, while NTFs, particularly megachurches, are consolidating market share through explicit displacement.19 The BWB market, representing low-hanging fruit for conversion, is perpetually targeted by both the largest NTFs and new digital entrants.</t>
  </si>
  <si>
    <t>Executive Synthesis &amp; Methodological Foundation
I.A.</t>
  </si>
  <si>
    <t>Most draw primarily from existing churches, not the unchurched.</t>
  </si>
  <si>
    <t>P-97dd764132b0</t>
  </si>
  <si>
    <t>MDA-036-regulatory-impulse-1900.md</t>
  </si>
  <si>
    <t>C:\Users\lowes\Documents\Codex\2026-05-30\okay-let-find-the-open-ai\work\deploy_ready_extracted_md_20260530_220012\MDA-036-regulatory-impulse-1900.md</t>
  </si>
  <si>
    <t>2026-05-30T22:02:44.087249</t>
  </si>
  <si>
    <t>C:\Users\lowes\Documents\Codex\2026-05-30\okay-let-find-the-open-ai\outputs\deploy_ready_full_pipeline_20260530\paper_intelligence\snapshots\P-97dd764132b0_snapshot.json</t>
  </si>
  <si>
    <t>Moral(0.0018) | Mann Act(0.005) | Social Gospel(0.0054) | Progressive Era(0.0055) | Reader Mode(0.0056) | social(0.0059) | United States(0.0068) | Moral Decline(0.0072) | Progressive(0.0096) | Regulatory Impulse(0.0104) | moral authority(0.0105) | Rate(0.0109)</t>
  </si>
  <si>
    <t>the moral | and the | the social | mann act | regulatory impulse | was the</t>
  </si>
  <si>
    <t>the united states | the mann act | the social gospel | part statistical data</t>
  </si>
  <si>
    <t>The Regulatory Impulse | Moral Decline of America</t>
  </si>
  <si>
    <t>The hidden strain of 1900–1910, therefore, established a moral baseline built on denial, which was unsustainable over the long term.</t>
  </si>
  <si>
    <t>The hidden strain of 1900â€“1910, therefore, established a moral baseline built on denial, which was unsustainable over the long term.</t>
  </si>
  <si>
    <t>The Social Gospel provided a religious rationale for action, asserting that Christian ethics must be applied to solve systemic societal problems, shifting focus from individual sin to collective social injustice.</t>
  </si>
  <si>
    <t>History - EH.net, eh.net The Growth of the Residential Mortgage Debt - National Bureau of Economic Research, nber.org Historical Census of Housing Tables: Homeownership Rates 1900 to 2020 - Wyoming Economic Analysis Division, eadiv.state.wy</t>
  </si>
  <si>
    <t xml:space="preserve">(1890â€“2022) - InfoPlease, infoplease.com The First Measured Century: Timeline: Data - Disruption - PBS, pbs.org A New Estimate of Marital Disruption in the U.S., 1860â€“1948 - Demographic Research, demographic-research.org Reconstruction </t>
  </si>
  <si>
    <t>goodness:9, hope:6, peace:5, faithfulness:3, joy:1</t>
  </si>
  <si>
    <t>Reader Mode
Standard, Standard, David Lowe • Theophysics Institute, Regulatory Impulse, Regulatory Legislation</t>
  </si>
  <si>
    <t>HTMl\K-Production-Ready\03-moral-decline\DEPLOY-READY\04-collapse-mechanisms\MDA-036, Moral Foundation, Progressive Era, I. Executive, the Progressive Era</t>
  </si>
  <si>
    <t>Progressive, Victorian, Anglo-American, Roman Catholics</t>
  </si>
  <si>
    <t>ORG, CARDINAL, WORK_OF_ART, PERSON, QUANTITY, DATE, PERCENT, GPE, NORP, ORDINAL, LAW, PRODUCT, TIME, LOC, FAC</t>
  </si>
  <si>
    <t>---
source_html: "\\dlowenas\HPWorkstation\Desktop\Master HTMl\K-Production-Ready\03-moral-decline\DEPLOY-READY\04-collapse-mechanisms\MDA-036-regulatory-impulse-1900</t>
  </si>
  <si>
    <t>html"
deploy_relative: "04-collapse-mechanisms\MDA-036-regulatory-impulse-1900</t>
  </si>
  <si>
    <t>html"
title: "The Regulatory Impulse | Moral Decline of America"
---
The Regulatory Impulse | Moral Decline of America
﻿
The Regulatory Impulse | Moral Decline of America
Home Home
Previous
|
Next
S</t>
  </si>
  <si>
    <t>The five phrases that best characterize this decade in terms of American moral development are:
1
Regulatory Purity and the Federalization of Morality
Describes the proactive use of national legislative power, typified by the Mann Act of 1910, to enforce stringent Victorian standards of personal and sexual conduct, marking the definitive shift toward national, rather than local, moral policing under the guise of public safety.</t>
  </si>
  <si>
    <t>History - EH.net, eh.net
The Growth of the Residential Mortgage Debt - National Bureau of Economic Research, nber.org
Historical Census of Housing Tables: Homeownership Rates 1900 to 2020 - Wyoming Economic Analysis Division, eadiv.state.wy.us
Inequality and Poverty in the United States: 1900 to 1990 - Center for Studies in Demography and Ecology, csde.washington.edu
The Twentieth Century Record of Inequality and Poverty in the United States, irp.wisc.edu
History of the American Workweek - Timesizing, timesizing.com
Social Gospel Movement - American History Central, americanhistorycentral.com
Social Gospel - Wikipedia, en.wikipedia.org/wiki/Social_Gospel
The Evolution of Entertainment Consumption and the Emergence of Cinema, 1890-1940 - LSE Research Online, eprints.lse.ac.uk
A Brief History of Film Censorship - NCAC, ncac.org
Movie Censorship in the United States - The Picture Show Man, pictureshowman.com
Chapter 6: Religion - PBS, pbs.org
Trust in Government | Gallup Historical Trends, news.gallup.com
Public Trust in Government: 1958-2024 - Pew Research Center, pewresearch.org
A Brief Examination of Union Membership Data - Congress.gov, congress.gov
National Civic Federation records - archives.nypl.org, archives.nypl.org
A Nation of Joiners | Library of Congress, loc.gov
15 + 15 = 100
David Lowe • Theophysics Institute
The Regulatory Impulse • 1900â€“1910 Foundation Era Analysis
Previous
Series Home
Next 
Theophysics Home
MDA-036 of 54
Related Work
Core article, supporting evidence, and broader context
Ring 1 â€” This Article
The core argument
You are here.</t>
  </si>
  <si>
    <t>It established the method: when traditional moral authority fails to contain social chaos, the state steps in â€” and never steps out.</t>
  </si>
  <si>
    <t>This created a powerful internal contradiction in the moral landscape.</t>
  </si>
  <si>
    <t>P-54a4ffc1bfd0</t>
  </si>
  <si>
    <t>MDA-037-biaxiosum-audit.md</t>
  </si>
  <si>
    <t>C:\Users\lowes\Documents\Codex\2026-05-30\okay-let-find-the-open-ai\work\deploy_ready_extracted_md_20260530_220012\MDA-037-biaxiosum-audit.md</t>
  </si>
  <si>
    <t>2026-05-30T22:02:47.753877</t>
  </si>
  <si>
    <t>C:\Users\lowes\Documents\Codex\2026-05-30\okay-let-find-the-open-ai\outputs\deploy_ready_full_pipeline_20260530\paper_intelligence\snapshots\P-54a4ffc1bfd0_snapshot.json</t>
  </si>
  <si>
    <t>Moral Decline(0.0021) | Mode Standard(0.003) | Standard Current(0.003) | Reader Mode(0.0048) | Academic Method(0.0081) | Biaxiosum Audit(0.0084) | Master HTMl(0.0096) | Biaxiosum Score(0.0099) | Standard active(0.0106) | bridge Standard(0.0106) | pressure Standard(0.0115) | Easy Plain-language(0.0118)</t>
  </si>
  <si>
    <t>biaxiosum audit | biaxiosum score | biased toward | axiom the | the people | moral decline</t>
  </si>
  <si>
    <t>the biaxiosum audit | mda biaxiosum audit | biaxiosum audit moral | audit moral decline</t>
  </si>
  <si>
    <t>The Biaxiosum Audit | Moral Decline of America</t>
  </si>
  <si>
    <t>Founding Era Modern State "Endowed by their Creator" "Based on policy guidelines" Rights are unalienable Rights are permissions Government secures rights Government defines rights The people can abolish The State is permanent We told you ou</t>
  </si>
  <si>
    <t>â€” David Lowe Oklahoma City, 2025 15 + 15 = 100 David Lowe • Theophysics Institute Previous Series Home Next Theophysics Home MDA-037 of 54 Related Work Core article, supporting evidence, and broader context Ring 1 â€” This Article The cor</t>
  </si>
  <si>
    <t>We both came to this table with something.</t>
  </si>
  <si>
    <t>joy</t>
  </si>
  <si>
    <t>joy:1, love:0, peace:0, patience:0, kindness:0</t>
  </si>
  <si>
    <t>Reader Mode
Standard, Standard, David Lowe • Theophysics Institute, Biaxiosum, Creator</t>
  </si>
  <si>
    <t>HTMl\K-Production-Ready\03-moral-decline\DEPLOY-READY\02-method, Transitional Interlude • Theophysics Research, Materialist
Physicalist
Agnostic
Atheist, The Four Axioms of American Biaxiosum, State</t>
  </si>
  <si>
    <t>Christian, American, Democrat, Republican</t>
  </si>
  <si>
    <t>ORG, CARDINAL, WORK_OF_ART, PERSON, PRODUCT, FAC, ORDINAL, NORP, DATE, LOC, LAW, PERCENT, GPE</t>
  </si>
  <si>
    <t>---
source_html: "\\dlowenas\HPWorkstation\Desktop\Master HTMl\K-Production-Ready\03-moral-decline\DEPLOY-READY\02-method-and-metrics\MDA-037-biaxiosum-audit</t>
  </si>
  <si>
    <t>html"
deploy_relative: "02-method-and-metrics\MDA-037-biaxiosum-audit</t>
  </si>
  <si>
    <t>html"
title: "The Biaxiosum Audit | Moral Decline of America"
---
The Biaxiosum Audit | Moral Decline of America
﻿
The Biaxiosum Audit | Moral Decline of America
Home Home
Previous
|
Next
Series Hom</t>
  </si>
  <si>
    <t>95%
Biaxiosum Score
Axiom 4 â€” The Right of Revolution
"...whenever any Form of Government becomes destructive of these ends, it is the Right of the People to alter or to abolish it..."
If the government fails its purpose, the people have the right to tear it down.</t>
  </si>
  <si>
    <t>Modern
Axiom
Founding Biaxiosum
2025 Biaxiosum
The Gap
Source of Rights
100%
Named the Creator
0%
Hides behind "policy"
They claim rights are universal while treating them as revocable
Purpose of Gov
95%
To secure rights
10%
To "promote equity/safety"
They claim neutrality while curving toward control
Monetary Value
90%
Biased toward gold/stability
0%
Biased toward fiat/debt
They call inflation "monetary policy" to hide the theft
Free Speech
100%
Biased toward truth
5%
Biased toward "harm reduction"
They use "misinformation" to silence dissent
Right of Revolution
100%
The people can abolish
0%
"Insurrection" is terrorism
They criminalized the founding principle
Part IV
The Transition
Naming My Ground
You are about to read the Logos Papers.</t>
  </si>
  <si>
    <t>I believe consciousness matters.</t>
  </si>
  <si>
    <t>I believe there's meaning woven into the fabric of everything.</t>
  </si>
  <si>
    <t>P-b867031ccb4e</t>
  </si>
  <si>
    <t>MDA-038-coherence-metric.md</t>
  </si>
  <si>
    <t>C:\Users\lowes\Documents\Codex\2026-05-30\okay-let-find-the-open-ai\work\deploy_ready_extracted_md_20260530_220012\MDA-038-coherence-metric.md</t>
  </si>
  <si>
    <t>2026-05-30T22:02:49.071194</t>
  </si>
  <si>
    <t>C:\Users\lowes\Documents\Codex\2026-05-30\okay-let-find-the-open-ai\outputs\deploy_ready_full_pipeline_20260530\paper_intelligence\snapshots\P-b867031ccb4e_snapshot.json</t>
  </si>
  <si>
    <t>Coherence(0.007) | Academic Method(0.0092) | Coherence Metric(0.01) | constraint(0.0124) | Easy Plain-language(0.0136) | Domains(0.023) | Mode Standard(0.0247) | constraint removal(0.0287) | Framework(0.0292) | Structural Integrity(0.0296) | Proof(0.0312) | Proof pressure(0.0336)</t>
  </si>
  <si>
    <t>coherence metric | the coherence | constraint removal | across domains | structural integrity | phase transition</t>
  </si>
  <si>
    <t>the coherence metric | mda coherence metric | coherence metric moral | metric moral decline</t>
  </si>
  <si>
    <t>The Coherence Metric | Moral Decline of America</t>
  </si>
  <si>
    <t>7/7</t>
  </si>
  <si>
    <t>We demonstrate that the same mathematical relationship governing critical phenomena in physical systems accurately describes decay patterns across nine independent social domains.</t>
  </si>
  <si>
    <t>The mean β = 0.41 is consistent with known universality classes but requires independent replication across additional longitudinal datasets.</t>
  </si>
  <si>
    <t>A2 The relationship χ ≈ |P − Pc|β holds empirically, not merely metaphorically.</t>
  </si>
  <si>
    <t>Aggregate Statistical Results 0.88 Mean R² Curve-fit quality across domains 0.41 Mean β Scaling exponent (consistent with Ising universality class) 0.73 Cross-Domain R Correlation (p &lt; 10⁻⁹) Preliminary curve-fit on polarization data achiev</t>
  </si>
  <si>
    <t>Analysis of historical data from 1900–2025 reveals synchronized threshold-crossing events clustered within the 1968–1973 window, suggesting a unified underlying mechanism rather than independent decay processes.</t>
  </si>
  <si>
    <t>peace:10, faithfulness:7, goodness:6, love:2, joy:0</t>
  </si>
  <si>
    <t>Reader Mode
Standard, Standard, David Lowe • Theophysics, Law, Skill Loss</t>
  </si>
  <si>
    <t>HTMl\K-Production-Ready\03-moral-decline\DEPLOY-READY\02-method, Chi / Coherence, Domain
Constraint, Familial
Marriage Covenant
Intergenerational Stability
Divorce, Fragmentation
Economic
Sound Money
Purchasing Power
Inflation, Dissociation</t>
  </si>
  <si>
    <t>Amish, Second Law, Roe v. Wade</t>
  </si>
  <si>
    <t>ORG, CARDINAL, WORK_OF_ART, PERSON, PRODUCT, DATE, GPE, EVENT, QUANTITY, PERCENT, LANGUAGE, MONEY, FAC, LAW, NORP, LOC</t>
  </si>
  <si>
    <t>---
source_html: "\\dlowenas\HPWorkstation\Desktop\Master HTMl\K-Production-Ready\03-moral-decline\DEPLOY-READY\02-method-and-metrics\MDA-038-coherence-metric</t>
  </si>
  <si>
    <t>html"
deploy_relative: "02-method-and-metrics\MDA-038-coherence-metric</t>
  </si>
  <si>
    <t xml:space="preserve">html"
title: "The Coherence Metric | Moral Decline of America"
---
The Coherence Metric | Moral Decline of America
﻿
The Coherence Metric | Moral Decline of America
Home Home
Previous
|
Next
Series </t>
  </si>
  <si>
    <t>coherent but cold; forceful and disciplined; precise but lifeless; technically strong, morally vacant; coherent under pressure</t>
  </si>
  <si>
    <t>Test
Prediction
Kill Condition
T1
Nine-domain overlay shows synchronized inflection at 1968–1973
Inflection points are randomly distributed (p &gt; 0.05)
T2
χ curve-fit to |P − Pc|β achieves R² &gt; 0.85 across domains
Curve fit fails (R² &lt; 0.70)
T3
Cross-domain correlation matrix shows statistically significant clustering
Domains are statistically independent
T4
Constraint removal events precede coherence collapse (Granger causality)
Collapse precedes constraint removal
T5
Partial constraint restoration produces measurable χ increase
No coherence response to constraint restoration
7.</t>
  </si>
  <si>
    <t>The same mathematical structure appears wherever constraint is removed and entropy is free to operate.</t>
  </si>
  <si>
    <t>You can vote for gravity or against gravity.</t>
  </si>
  <si>
    <t>P-264480bee695</t>
  </si>
  <si>
    <t>MDA-039-physics-of-coherence.md</t>
  </si>
  <si>
    <t>C:\Users\lowes\Documents\Codex\2026-05-30\okay-let-find-the-open-ai\work\deploy_ready_extracted_md_20260530_220012\MDA-039-physics-of-coherence.md</t>
  </si>
  <si>
    <t>2026-05-30T22:02:50.560459</t>
  </si>
  <si>
    <t>C:\Users\lowes\Documents\Codex\2026-05-30\okay-let-find-the-open-ai\outputs\deploy_ready_full_pipeline_20260530\paper_intelligence\snapshots\P-264480bee695_snapshot.json</t>
  </si>
  <si>
    <t>Mode Standard(0.0036) | Standard Current(0.0036) | Reader Mode(0.0054) | Academic Method(0.0093) | Easy Plain-language(0.0139) | Standard active(0.014) | bridge Standard(0.014) | pressure Standard(0.0145) | Standard(0.0166) | phase transition(0.0203) | Plain-language bridge(0.0207) | Phase(0.0211)</t>
  </si>
  <si>
    <t>physics coherence | order parameter | moral decline | the physics | phase transition | decline america</t>
  </si>
  <si>
    <t>the physics coherence | moral decline america | mda physics coherence | physics coherence moral</t>
  </si>
  <si>
    <t>The Physics of Coherence | Moral Decline of America</t>
  </si>
  <si>
    <t>The Order Parameter (Ï‡) Physicists quantify coherence using an order parameter—a measurable quantity that equals zero in the disordered (high-entropy) phase, is non-zero in the ordered (low-entropy) phase, and changes discontinuously at th</t>
  </si>
  <si>
    <t>Superconductor Ï‡ = Cooper pair density What this equation says in English This is a state-change equation: it describes how a system evolves when internal structure and outside disturbances both act on it.</t>
  </si>
  <si>
    <t>Crystal Ï‡ = lattice order What this equation says in English This formal expression is a compact way of saying the article is making a structured, testable relationship rather than only a verbal comparison.</t>
  </si>
  <si>
    <t>Proof opens the evidence and derivation layer.</t>
  </si>
  <si>
    <t>peace:2, love:1, joy:0, patience:0, kindness:0</t>
  </si>
  <si>
    <t>Reader Mode
Standard, Standard, David Lowe, Ï‡, |T</t>
  </si>
  <si>
    <t xml:space="preserve">HTMl\K-Production-Ready\03-moral-decline\DEPLOY-READY\02-method, The Physics of Coherence, Home Home, The Physics of Coherence
Order Parameters, FACTS Framework
</t>
  </si>
  <si>
    <t>non-zero, The Phase Transition
When, The Variable Substitution</t>
  </si>
  <si>
    <t>ORG, CARDINAL, WORK_OF_ART, PERSON, PRODUCT, DATE, GPE, NORP, LANGUAGE, LAW</t>
  </si>
  <si>
    <t>---
source_html: "\\dlowenas\HPWorkstation\Desktop\Master HTMl\K-Production-Ready\03-moral-decline\DEPLOY-READY\02-method-and-metrics\MDA-039-physics-of-coherence</t>
  </si>
  <si>
    <t>html"
deploy_relative: "02-method-and-metrics\MDA-039-physics-of-coherence</t>
  </si>
  <si>
    <t xml:space="preserve">html"
title: "The Physics of Coherence | Moral Decline of America"
---
The Physics of Coherence | Moral Decline of America
﻿
The Physics of Coherence | Moral Decline of America
Reader Mode
Standard </t>
  </si>
  <si>
    <t>The Phase Transition
When a system crosses its critical threshold (Tc), coherence collapses:
Phase Transition Equation
Ï‡ âˆ |T âˆ’ Tc|Î² for T &lt; Tc (ordered phase)
Ï‡ â†’ 0 for T &gt; Tc (disordered phase)
T = temperature | Tc = critical temperature | Î² = critical exponent (typically 0.3â€“0.5)
This transition is sudden, not gradual.</t>
  </si>
  <si>
    <t>The Order Parameter (Ï‡)
Physicists quantify coherence using an order parameter—a measurable quantity that equals zero in the disordered (high-entropy) phase, is non-zero in the ordered (low-entropy) phase, and changes discontinuously at the phase transition.</t>
  </si>
  <si>
    <t>The ordered phase has a definable baseline.</t>
  </si>
  <si>
    <t>SLandau theory of phase transitions.</t>
  </si>
  <si>
    <t>P-473600288551</t>
  </si>
  <si>
    <t>MDA-040-statistical-synthesis.md</t>
  </si>
  <si>
    <t>C:\Users\lowes\Documents\Codex\2026-05-30\okay-let-find-the-open-ai\work\deploy_ready_extracted_md_20260530_220012\MDA-040-statistical-synthesis.md</t>
  </si>
  <si>
    <t>2026-05-30T22:02:51.277856</t>
  </si>
  <si>
    <t>C:\Users\lowes\Documents\Codex\2026-05-30\okay-let-find-the-open-ai\outputs\deploy_ready_full_pipeline_20260530\paper_intelligence\snapshots\P-473600288551_snapshot.json</t>
  </si>
  <si>
    <t>Moral Decline(0.0028) | Mode Standard(0.0031) | Standard Current(0.0031) | Reader Mode(0.005) | Divorce Rate(0.0075) | Academic Method(0.0085) | Church Attendance(0.0089) | Master HTMl(0.0109) | Standard active(0.0117) | bridge Standard(0.0117) | pressure Standard(0.0121) | Easy Plain-language(0.0124)</t>
  </si>
  <si>
    <t>moral decline | divorce rate | children per | per woman | church attendance | rate per</t>
  </si>
  <si>
    <t>children per woman | divorce rate per | family structure divorce | structure divorce rate</t>
  </si>
  <si>
    <t>Moral Decline by the Numbers | Moral Decline of America</t>
  </si>
  <si>
    <t>This is not how life is supposed to feel.</t>
  </si>
  <si>
    <t>The only faces he saw were faces he could touch.</t>
  </si>
  <si>
    <t>The middle class was expanding like never before.</t>
  </si>
  <si>
    <t>The data tells a story that numbers alone cannot fully capture, but which the numbers make undeniable.</t>
  </si>
  <si>
    <t>patience:4, hope:2, love:1, joy:1, peace:1</t>
  </si>
  <si>
    <t>Reader Mode
Standard, Standard, Samuel, Henry, William</t>
  </si>
  <si>
    <t>HTMl\K-Production-Ready\03-moral-decline\DEPLOY-READY\02-method, Numbers, Society, Society &amp; Faith, Agricultural Workers
Baseline
Technology &amp; Connection</t>
  </si>
  <si>
    <t>American, Jake, Americans</t>
  </si>
  <si>
    <t>ORG, CARDINAL, WORK_OF_ART, PERSON, PRODUCT, DATE, NORP, GPE, QUANTITY, PERCENT, TIME, ORDINAL, MONEY, EVENT</t>
  </si>
  <si>
    <t>---
source_html: "\\dlowenas\HPWorkstation\Desktop\Master HTMl\K-Production-Ready\03-moral-decline\DEPLOY-READY\02-method-and-metrics\MDA-040-statistical-synthesis</t>
  </si>
  <si>
    <t>html"
deploy_relative: "02-method-and-metrics\MDA-040-statistical-synthesis</t>
  </si>
  <si>
    <t>html"
title: "Moral Decline by the Numbers | Moral Decline of America"
---
Moral Decline by the Numbers | Moral Decline of America
﻿
Moral Decline by the Numbers | Moral Decline of America
Home Home</t>
  </si>
  <si>
    <t>The Surgeon General declared it in 2023: loneliness is as deadly as smoking fifteen cigarettes a day.</t>
  </si>
  <si>
    <t>Family Structure
4.0
Divorce Rate (per 1,000)
+471% from 1900
2.0
Children per Woman
-43% from 1900
27/25
Marriage Age (M/F)
Delayed/Skipped
5.5M
Cohabiting Couples
10x from 1970
33%
Non-Marital Births
From 5% in 1960
25M
Adults Living Alone
From 4M in 1950
Society &amp; Faith
35%
Weekly Church Attendance
-36% from Peak
14%
"No Religion"
From 2% in 1950
566
Violent Crime (per 100k)
+252% from 1960
$70K
Median Income (2024$)
Prosperity
Economic Reality
6.5%
Savings Rate
-51% from 1974
$1.37T
Consumer Credit
7x from 1974
$5.6T
Federal Debt
12x from 1974
0.43
GINI Index
Inequality Rising
Technology Saturation
2.4
TVs per Household
Fragmented
26%
Internet Access
Rising Fast
20%
Cell Phone Penetration
Emerging
50+
Cable Channels
Infinite Choice
2025: Jacob Lowe
The Choice - Connected, Isolated, Searching
The loneliness epidemic is official.</t>
  </si>
  <si>
    <t>Each generation faced constraints their ancestors could not imagine losing, and freedoms their ancestors could not imagine wanting.</t>
  </si>
  <si>
    <t>P-fc7d6ca270a1</t>
  </si>
  <si>
    <t>MDA-041-statistical-spine.md</t>
  </si>
  <si>
    <t>C:\Users\lowes\Documents\Codex\2026-05-30\okay-let-find-the-open-ai\work\deploy_ready_extracted_md_20260530_220012\MDA-041-statistical-spine.md</t>
  </si>
  <si>
    <t>2026-05-30T22:02:52.943574</t>
  </si>
  <si>
    <t>C:\Users\lowes\Documents\Codex\2026-05-30\okay-let-find-the-open-ai\outputs\deploy_ready_full_pipeline_20260530\paper_intelligence\snapshots\P-fc7d6ca270a1_snapshot.json</t>
  </si>
  <si>
    <t>Mode Standard(0.0035) | Standard Current(0.0035) | Reader Mode(0.0053) | Statistical Spine(0.0067) | Moral Decline(0.0067) | Academic Method(0.0091) | Violent Crime(0.0096) | Premarital Sex(0.0099) | Church Weekly(0.0108) | Life Expectancy(0.0112) | Master HTMl(0.0114) | Standard active(0.0132)</t>
  </si>
  <si>
    <t>statistical spine | coherence factor | premarital sex | outside voices | voices per | per day</t>
  </si>
  <si>
    <t>outside voices per | voices per day | equation says english | says english formal</t>
  </si>
  <si>
    <t>The Statistical Spine | Moral Decline of America</t>
  </si>
  <si>
    <t>2025 Part VI: Jacob The Drowning Ï‡ = 0.27 What this equation says in English This formal expression is a compact way of saying the article is making a structured, testable relationship rather than only a verbal comparison.</t>
  </si>
  <si>
    <t>1974 Part IV: Thomas The Breaking Ï‡ = 0.55 What this equation says in English This formal expression is a compact way of saying the article is making a structured, testable relationship rather than only a verbal comparison.</t>
  </si>
  <si>
    <t>1998 Part V: Jacob The Scattering Ï‡ = 0.40 What this equation says in English This formal expression is a compact way of saying the article is making a structured, testable relationship rather than only a verbal comparison.</t>
  </si>
  <si>
    <t>The Trajectory Same metrics, six data points, one direction.</t>
  </si>
  <si>
    <t>peace:6, gentleness:2, love:0, joy:0, patience:0</t>
  </si>
  <si>
    <t>Reader Mode
Standard, Standard, Samuel, hidden â€, Scopes</t>
  </si>
  <si>
    <t>HTMl\K-Production-Ready\03-moral-decline\DEPLOY-READY\02-method-and-metrics\MDA-041-statistical-spine.html, Home Home, McKinley, STD, Church Weekly</t>
  </si>
  <si>
    <t>DIVORCE, Premarital, Spanish-American War, Roe v. Wade</t>
  </si>
  <si>
    <t>ORG, CARDINAL, WORK_OF_ART, PERSON, PRODUCT, TIME, DATE, GPE, LANGUAGE, LAW, ORDINAL, PERCENT, EVENT, NORP</t>
  </si>
  <si>
    <t>---
source_html: "\\dlowenas\HPWorkstation\Desktop\Master HTMl\K-Production-Ready\03-moral-decline\DEPLOY-READY\02-method-and-metrics\MDA-041-statistical-spine</t>
  </si>
  <si>
    <t>html"
deploy_relative: "02-method-and-metrics\MDA-041-statistical-spine</t>
  </si>
  <si>
    <t>html"
title: "The Statistical Spine | Moral Decline of America"
---
The Statistical Spine | Moral Decline of America
﻿
The Statistical Spine | Moral Decline of America
Reader Mode
Standard active
Ea</t>
  </si>
  <si>
    <t>1900
Part I: Samuel
The Quiet Republic
Ï‡ = 0.85
What this equation says in English
This formal expression is a compact way of saying the article is making a structured, testable relationship rather than only a verbal comparison.</t>
  </si>
  <si>
    <t>1926
Part II: Henry
The First Crack
Ï‡ = 0.82
What this equation says in English
This formal expression is a compact way of saying the article is making a structured, testable relationship rather than only a verbal comparison.</t>
  </si>
  <si>
    <t>The numbers don't argue â€” they just move.</t>
  </si>
  <si>
    <t>The whole family gathers.</t>
  </si>
  <si>
    <t>P-48fe7a04f08e</t>
  </si>
  <si>
    <t>MDA-042-amish-exception-THE-CLAIM.md</t>
  </si>
  <si>
    <t>C:\Users\lowes\Documents\Codex\2026-05-30\okay-let-find-the-open-ai\work\deploy_ready_extracted_md_20260530_220012\MDA-042-amish-exception-THE-CLAIM.md</t>
  </si>
  <si>
    <t>2026-05-30T22:02:53.987232</t>
  </si>
  <si>
    <t>C:\Users\lowes\Documents\Codex\2026-05-30\okay-let-find-the-open-ai\outputs\deploy_ready_full_pipeline_20260530\paper_intelligence\snapshots\P-48fe7a04f08e_snapshot.json</t>
  </si>
  <si>
    <t>Mode Standard(0.0033) | Reader Mode(0.005) | Amish Exception(0.0073) | Academic Method(0.0086) | Amish(0.0097) | Master HTMl(0.0098) | Standard active(0.0115) | bridge Standard(0.0115) | Easy Plain-language(0.0126) | pressure Standard(0.0127) | Standard(0.0154) | Plain-language bridge(0.0177)</t>
  </si>
  <si>
    <t>the amish | amish exception | moral decline | mda amish | exception the | the claim</t>
  </si>
  <si>
    <t>the amish exception | mda amish exception | amish exception the | exception the claim</t>
  </si>
  <si>
    <t>The Amish Exception | Moral Decline of America</t>
  </si>
  <si>
    <t>Principle: coherence must be transmitted generation to generation.</t>
  </si>
  <si>
    <t>Was there something about modernity itself that required this collapse?</t>
  </si>
  <si>
    <t>Ï‡ â‰ˆ 0.27 Critical Threshold Ï‡ = 0.35 Status THRESHOLD CROSSED We’ve traced the decline.</t>
  </si>
  <si>
    <t>15 + 15 = 100 David Lowe • Theophysics Institute Previous Series Home Next Theophysics Home MDA-042 of 54 Related Work Core article, supporting evidence, and broader context Ring 1 â€” This Article The core argument You are here.</t>
  </si>
  <si>
    <t>love:1, peace:1, faithfulness:1, self_control:1, joy:0</t>
  </si>
  <si>
    <t>Reader Mode
Standard, Standard, David Lowe • Theophysics Institute, Family0.310.96, Gelassenheit</t>
  </si>
  <si>
    <t>HTMl\K-Production-Ready\03-moral-decline\DEPLOY-READY\05-amish-, Supplement • Decline, DomainU.S., Rumspringa, The Lesson
Coherence</t>
  </si>
  <si>
    <t>Amish, Dutch</t>
  </si>
  <si>
    <t>ORG, CARDINAL, WORK_OF_ART, PERSON, PRODUCT, DATE, GPE, NORP, PERCENT, ORDINAL</t>
  </si>
  <si>
    <t>---
source_html: "\\dlowenas\HPWorkstation\Desktop\Master HTMl\K-Production-Ready\03-moral-decline\DEPLOY-READY\05-amish-and-case-studies\MDA-042-amish-exception-THE-CLAIM</t>
  </si>
  <si>
    <t>html"
deploy_relative: "05-amish-and-case-studies\MDA-042-amish-exception-THE-CLAIM</t>
  </si>
  <si>
    <t>html"
title: "The Amish Exception | Moral Decline of America"
---
The Amish Exception | Moral Decline of America
﻿
The Amish Exception | Moral Decline of America
Home Home
Previous
|
Next
Series Hom</t>
  </si>
  <si>
    <t>3
Ritual Integration
Life is structured by shared practices: family prayers and shared meals daily, church service every other week (rotating homes), planting and harvest and barn raisings seasonally, Rumspringa and baptism and marriage and death across the lifetime.</t>
  </si>
  <si>
    <t>15 + 15 = 100
David Lowe • Theophysics Institute
Previous
Series Home
Next 
Theophysics Home
MDA-042 of 54
Related Work
Core article, supporting evidence, and broader context
Ring 1 â€” This Article
The core argument
You are here.</t>
  </si>
  <si>
    <t>They filtered the threats before they could damage the system.</t>
  </si>
  <si>
    <t>They never let coherence decline.</t>
  </si>
  <si>
    <t>P-40605d768e0a</t>
  </si>
  <si>
    <t>MDA-043-amish-proof-THE-PROOF.md</t>
  </si>
  <si>
    <t>C:\Users\lowes\Documents\Codex\2026-05-30\okay-let-find-the-open-ai\work\deploy_ready_extracted_md_20260530_220012\MDA-043-amish-proof-THE-PROOF.md</t>
  </si>
  <si>
    <t>2026-05-30T22:02:54.947284</t>
  </si>
  <si>
    <t>C:\Users\lowes\Documents\Codex\2026-05-30\okay-let-find-the-open-ai\outputs\deploy_ready_full_pipeline_20260530\paper_intelligence\snapshots\P-40605d768e0a_snapshot.json</t>
  </si>
  <si>
    <t>Amish(0.0024) | Mode Standard(0.0032) | Standard Current(0.0032) | Reader Mode(0.0051) | Moral Decline(0.0054) | USA Amish(0.0066) | Amish Ratio(0.0069) | Amish Control(0.0073) | Academic Method(0.0087) | Control Case(0.0111) | Master HTMl(0.0116) | bridge Standard(0.0125)</t>
  </si>
  <si>
    <t>the amish | near zero | metric mainstream | mainstream usa | usa amish | amish ratio</t>
  </si>
  <si>
    <t>metric mainstream usa | mainstream usa amish | usa amish ratio | the amish control</t>
  </si>
  <si>
    <t>The Amish Control Case | Moral Decline of America</t>
  </si>
  <si>
    <t>No home telephones (you must walk to the phone shanty).</t>
  </si>
  <si>
    <t>Not because restriction is inherently good, but because coherence requires constraint.</t>
  </si>
  <si>
    <t>The Amish (2013) Egeland &amp; Hostetter, "Amish Study of Affective Disorders" — American Journal of Psychiatry 140 (1983) Bassett et al.</t>
  </si>
  <si>
    <t>The Amish Baseline Data Divorce Rate ~0% vs ~40-50% Amish: near zero.</t>
  </si>
  <si>
    <t>peace:5, love:4, goodness:2, kindness:1, self_control:1</t>
  </si>
  <si>
    <t>G_gravity_belonging</t>
  </si>
  <si>
    <t>Reader Mode
Standard, Standard, David Lowe • Theophysics Institute, Suicide Rate, Demographic Survival
Metric
Mainstream USA</t>
  </si>
  <si>
    <t>HTMl\K-Production-Ready\03-moral-decline\DEPLOY-READY\05-amish-, The Amish Control Case, The Control Group, Theophysics, Surgeon General</t>
  </si>
  <si>
    <t>Amish, American, Modern Americans, Americans</t>
  </si>
  <si>
    <t>ORG, CARDINAL, WORK_OF_ART, PERSON, PRODUCT, DATE, NORP, GPE, PERCENT, TIME, EVENT</t>
  </si>
  <si>
    <t>---
source_html: "\\dlowenas\HPWorkstation\Desktop\Master HTMl\K-Production-Ready\03-moral-decline\DEPLOY-READY\05-amish-and-case-studies\MDA-043-amish-proof-THE-PROOF</t>
  </si>
  <si>
    <t>html"
deploy_relative: "05-amish-and-case-studies\MDA-043-amish-proof-THE-PROOF</t>
  </si>
  <si>
    <t>html"
title: "The Amish Control Case | Moral Decline of America"
---
The Amish Control Case | Moral Decline of America
﻿
The Amish Control Case | Moral Decline of America
Home Home
Previous
|
Next
S</t>
  </si>
  <si>
    <t>Biological reproductionAmish
Physical healthAmish
Mental healthAmish
Economic stabilityAmish
Family stabilityAmish
Social trustAmish
Community cohesionAmish
Purpose/meaningAmish
Low crimeAmish
Education efficiencyAmish
Score
Amish 10, Mainstream 0
If "freedom" and "progress" are good, why does the constrained society win on EVERY metric?</t>
  </si>
  <si>
    <t>Demographic Survival
Metric
Mainstream USA
Amish
Ratio
Fertility Rate (2023)1.76.84.0x
Population TrajectoryDeclining (without immigration)Doubling every 21 years—
Population 1900~76 million8,000—
Population 2023~335M (4.4x)385,000 (48x)11x faster
Retention of Youth~60% stay religious85-90% stay Amish1.4x
The "backward" society is biologically replacing the "advanced" one.</t>
  </si>
  <si>
    <t>Maybe friction isn't the enemy.</t>
  </si>
  <si>
    <t>Maybe frictionlessness is.</t>
  </si>
  <si>
    <t>P-5e228b059ecf</t>
  </si>
  <si>
    <t>MDA-044-amish-control-study-THE-METHOD.md</t>
  </si>
  <si>
    <t>C:\Users\lowes\Documents\Codex\2026-05-30\okay-let-find-the-open-ai\work\deploy_ready_extracted_md_20260530_220012\MDA-044-amish-control-study-THE-METHOD.md</t>
  </si>
  <si>
    <t>2026-05-30T22:02:56.934445</t>
  </si>
  <si>
    <t>C:\Users\lowes\Documents\Codex\2026-05-30\okay-let-find-the-open-ai\outputs\deploy_ready_full_pipeline_20260530\paper_intelligence\snapshots\P-5e228b059ecf_snapshot.json</t>
  </si>
  <si>
    <t>Moral Decline(0.0024) | Mode Standard(0.0027) | Standard Current(0.0027) | Reader Mode(0.0044) | Academic Method(0.0074) | Master HTMl(0.0079) | Standard active(0.0085) | bridge Standard(0.0085) | pressure Standard(0.0099) | Easy Plain-language(0.0104) | Decline(0.0124) | Standard(0.0133)</t>
  </si>
  <si>
    <t>metricmainstream usaamishratio | moral decline | amish america | the amish | the system | mda amish</t>
  </si>
  <si>
    <t>mda amish control | amish control study | control study the | study the method</t>
  </si>
  <si>
    <t>Amish vs. America | Moral Decline of America</t>
  </si>
  <si>
    <t>Their model does not require isolation; it requires constraint.</t>
  </si>
  <si>
    <t>15 + 15 = 100 David Lowe • Theophysics Institute Previous Series Home Next Theophysics Home MDA-044 of 54 Related Work Core article, supporting evidence, and broader context Ring 1 — This Article The core argument You are here.</t>
  </si>
  <si>
    <t>They win on everything that can be counted.</t>
  </si>
  <si>
    <t>Drop the constraint, the result drops with it.</t>
  </si>
  <si>
    <t>peace:3, love:2, joy:1, goodness:1, patience:0</t>
  </si>
  <si>
    <t>Amish, Reader Mode
Standard, Standard, Freedom
David Lowe • Theophysics Institute, Demographic Survival
MetricMainstream</t>
  </si>
  <si>
    <t>HTMl\K-Production-Ready\03-moral-decline\DEPLOY-READY\05-amish-, Constraint, Theophysics, Group, Fertility Rate</t>
  </si>
  <si>
    <t>Amish, American</t>
  </si>
  <si>
    <t>ORG, CARDINAL, PERSON, GPE, WORK_OF_ART, PRODUCT, DATE, NORP, PERCENT, FAC, ORDINAL</t>
  </si>
  <si>
    <t>---
source_html: "\\dlowenas\HPWorkstation\Desktop\Master HTMl\K-Production-Ready\03-moral-decline\DEPLOY-READY\05-amish-and-case-studies\MDA-044-amish-control-study-THE-METHOD</t>
  </si>
  <si>
    <t>html"
deploy_relative: "05-amish-and-case-studies\MDA-044-amish-control-study-THE-METHOD</t>
  </si>
  <si>
    <t xml:space="preserve">America | Moral Decline of America
Home Home
Previous
|
Next
Series Home
Reader Mode
Standard active
Easy
Plain-language bridge
Standard
Current article
Academic
Method + caveats
Proof
Proof pressure
</t>
  </si>
  <si>
    <t>charismatic_manipulation</t>
  </si>
  <si>
    <t>mixed spiritual posture; underlying threat structure</t>
  </si>
  <si>
    <t>Biological reproductionAmish
Physical healthAmish
Mental healthAmish
Economic stabilityAmish
Family stabilityAmish
Social trustAmish
Community cohesionAmish
Sense of purpose / meaningAmish
Low crimeAmish
Education efficiencyAmish
Final Score
Amish 10 — Mainstream 0
If "freedom" and "progress" are categorically good, why does the constrained society win on every metric you can put a number on?</t>
  </si>
  <si>
    <t>15 + 15 = 100
David Lowe • Theophysics Institute
Previous
Series Home
Next 
Theophysics Home
MDA-044 of 54
Related Work
Core article, supporting evidence, and broader context
Ring 1 — This Article
The core argument
You are here.</t>
  </si>
  <si>
    <t>Same access to modern medicine, modern law, modern infrastructure.</t>
  </si>
  <si>
    <t>Embraced "freedom" as the highest value.</t>
  </si>
  <si>
    <t>P-80481f19301b</t>
  </si>
  <si>
    <t>MDA-045-amish-control-group-THE-DATA.md</t>
  </si>
  <si>
    <t>C:\Users\lowes\Documents\Codex\2026-05-30\okay-let-find-the-open-ai\work\deploy_ready_extracted_md_20260530_220012\MDA-045-amish-control-group-THE-DATA.md</t>
  </si>
  <si>
    <t>2026-05-30T22:02:58.179251</t>
  </si>
  <si>
    <t>C:\Users\lowes\Documents\Codex\2026-05-30\okay-let-find-the-open-ai\outputs\deploy_ready_full_pipeline_20260530\paper_intelligence\snapshots\P-80481f19301b_snapshot.json</t>
  </si>
  <si>
    <t>Amish(0.0011) | Amish Anomaly(0.0038) | Reader Mode(0.0053) | Amish population(0.0068) | Academic Method(0.0092) | Amish community(0.011) | Order Amish(0.0114) | population(0.0117) | system(0.012) | Amish system(0.0121) | Amish rate(0.0127) | Master HTMl(0.0137)</t>
  </si>
  <si>
    <t>the amish | the same | amish population | binding variable | the system | mental health</t>
  </si>
  <si>
    <t>the amish anomaly | the amish are | its binding variable | mda amish control</t>
  </si>
  <si>
    <t>The Amish Anomaly | Moral Decline of America</t>
  </si>
  <si>
    <t>4/7</t>
  </si>
  <si>
    <t>Carriers show significantly lower triglycerides, higher HDL cholesterol, and 65% lower odds (OR = 0.35) of coronary artery calcification.</t>
  </si>
  <si>
    <t>15 + 15 = 100 David Lowe • Theophysics Institute Previous Series Home Next Theophysics Home MDA-045 of 54 Related Work Core article, supporting evidence, and broader context Ring 1 â€” This Article The core argument You are here.</t>
  </si>
  <si>
    <t>There are no Amish converts to speak of.</t>
  </si>
  <si>
    <t>No rigorous prevalence study of Amish adolescent mental health exists (a genuine research gap), but the absence of the technological vectors that drive the American youth mental health crisis is itself data.</t>
  </si>
  <si>
    <t>Mental Health â€” The Egeland Data In 1983, Janice Egeland and Andrea Hostetter published a landmark three-part study in the American Journal of Psychiatry examining affective disorders among 12,500 Old Order Amish in Lancaster County, Penn</t>
  </si>
  <si>
    <t>love:4, faithfulness:2, peace:1, kindness:1, goodness:1</t>
  </si>
  <si>
    <t>Reader Mode
Standard, Standard, Proof Packet, David Lowe • Theophysics Institute, Ordnung</t>
  </si>
  <si>
    <t>HTMl\K-Production-Ready\03-moral-decline\DEPLOY-READY\05-amish-, Theology of, Limited, Control Group, YearAmish PopulationU.S. PopulationAmish</t>
  </si>
  <si>
    <t>Amish, American, New Order Amish, Anabaptist</t>
  </si>
  <si>
    <t>ORG, CARDINAL, WORK_OF_ART, NORP, PERSON, QUANTITY, LANGUAGE, EVENT, DATE, GPE, ORDINAL, PERCENT, PRODUCT, MONEY, LAW</t>
  </si>
  <si>
    <t>---
source_html: "\\dlowenas\HPWorkstation\Desktop\Master HTMl\K-Production-Ready\03-moral-decline\DEPLOY-READY\05-amish-and-case-studies\MDA-045-amish-control-group-THE-DATA</t>
  </si>
  <si>
    <t>html"
deploy_relative: "05-amish-and-case-studies\MDA-045-amish-control-group-THE-DATA</t>
  </si>
  <si>
    <t>html"
title: "The Amish Anomaly | Moral Decline of America"
---
The Amish Anomaly | Moral Decline of America
﻿
The Amish Anomaly | Moral Decline of America
Home Home
Previous
|
Next
Series Home
Read</t>
  </si>
  <si>
    <t>Proof Pressure Layer
Vetted Claims for MDA-045-amish-control-group-THE-DATA
Claim 1 | SURVIVES | 7QS 5/6
Structural factors that enable this: * Patriarchal authority structures * Theology of forgiveness that pressures victims to reconcile * Cultural reluctance to involve “English” law enforcement * Limited access to outside support services * No reliable prevalence data because reporting rates are extremely low No system built on human authority is immune to the abuse of that authority.</t>
  </si>
  <si>
    <t>The consequences:
Functional literacy is very high (~97%+)
Vocational competency is strong (construction, farming, small engine repair, furniture making)
Higher-order analytical skills, scientific literacy, and critical reasoning are not formally developed
Individuals who leave the community face significant educational disadvantage in the broader economy
This is by design.</t>
  </si>
  <si>
    <t>It produced committed members who chose to stay at rates their grandparents never achieved.</t>
  </si>
  <si>
    <t>Its members are less depressed, less obese, less isolated, less indebted, less incarcerated, and more likely to remain in their community than at any point in their history.</t>
  </si>
  <si>
    <t>P-390744b8d828</t>
  </si>
  <si>
    <t>MDA-046-amish-demographics-THE-NUMBERS.md</t>
  </si>
  <si>
    <t>C:\Users\lowes\Documents\Codex\2026-05-30\okay-let-find-the-open-ai\work\deploy_ready_extracted_md_20260530_220012\MDA-046-amish-demographics-THE-NUMBERS.md</t>
  </si>
  <si>
    <t>2026-05-30T22:03:00.796521</t>
  </si>
  <si>
    <t>C:\Users\lowes\Documents\Codex\2026-05-30\okay-let-find-the-open-ai\outputs\deploy_ready_full_pipeline_20260530\paper_intelligence\snapshots\P-390744b8d828_snapshot.json</t>
  </si>
  <si>
    <t>Amish(0.0018) | Amish population(0.0026) | Moral Decline(0.0045) | Reader Mode(0.0048) | Amish Demographics(0.0055) | Holmes County(0.0057) | Academic Method(0.0081) | Master HTMl(0.0102) | Easy Plain-language(0.0118) | population(0.0127) | Moral(0.0134) | Order Amish(0.0139)</t>
  </si>
  <si>
    <t>the amish | and the | holmes county | amish demographics | amish population | the numbers</t>
  </si>
  <si>
    <t>the amish are | the amish population | amish demographics the | mda amish demographics</t>
  </si>
  <si>
    <t>Amish Demographics | Moral Decline of America</t>
  </si>
  <si>
    <t>Demographers therefore rely on a bottom-up approach: count church districts (congregations) and multiply by average district size, which runs roughly 130 to 170 individuals (adults and children combined).</t>
  </si>
  <si>
    <t>15 + 15 = 100 David Lowe • Theophysics Institute Previous Series Home Next Theophysics Home MDA-046 of 54 Related Work Core article, supporting evidence, and broader context Ring 1 â€” This Article The core argument You are here.</t>
  </si>
  <si>
    <t>peace:3, hope:2, love:1, patience:1, goodness:1</t>
  </si>
  <si>
    <t>Reader Mode
Standard, Standard, David Lowe • Theophysics Institute, Joseph Donnermeyer’s, Amish Mennonites</t>
  </si>
  <si>
    <t>HTMl\K-Production-Ready\03-moral-decline\DEPLOY-READY\05-amish-, Amish Demographics, Amish Sub-Series •, the Coherence Factory, the Technological Filter</t>
  </si>
  <si>
    <t>Amish, North American, Plows, Yiddish</t>
  </si>
  <si>
    <t>ORG, CARDINAL, WORK_OF_ART, PERSON, PRODUCT, DATE, NORP, GPE, QUANTITY, LOC, PERCENT, LANGUAGE, ORDINAL, MONEY, TIME</t>
  </si>
  <si>
    <t>---
source_html: "\\dlowenas\HPWorkstation\Desktop\Master HTMl\K-Production-Ready\03-moral-decline\DEPLOY-READY\05-amish-and-case-studies\MDA-046-amish-demographics-THE-NUMBERS</t>
  </si>
  <si>
    <t>html"
deploy_relative: "05-amish-and-case-studies\MDA-046-amish-demographics-THE-NUMBERS</t>
  </si>
  <si>
    <t>html"
title: "Amish Demographics | Moral Decline of America"
---
Amish Demographics | Moral Decline of America
﻿
Amish Demographics | Moral Decline of America
Home Home
Previous
|
Next
Series Home
R</t>
  </si>
  <si>
    <t>Differential fertility means the Amish population is becoming statistically more conservative over time, because the strictest subgroups reproduce fastest.</t>
  </si>
  <si>
    <t>It also predicts something uncomfortable for the broader culture: the part of the Amish population that is growing fastest is also the part with the strictest separation, the most rigorous shunning, and the lowest tolerance for compromise.</t>
  </si>
  <si>
    <t>To appreciate velocity, consider the historical baseline.</t>
  </si>
  <si>
    <t>P-79a70eee1027</t>
  </si>
  <si>
    <t>MDA-047-amish-tech-filter-THE-FILTER.md</t>
  </si>
  <si>
    <t>C:\Users\lowes\Documents\Codex\2026-05-30\okay-let-find-the-open-ai\work\deploy_ready_extracted_md_20260530_220012\MDA-047-amish-tech-filter-THE-FILTER.md</t>
  </si>
  <si>
    <t>2026-05-30T22:03:02.549634</t>
  </si>
  <si>
    <t>C:\Users\lowes\Documents\Codex\2026-05-30\okay-let-find-the-open-ai\outputs\deploy_ready_full_pipeline_20260530\paper_intelligence\snapshots\P-79a70eee1027_snapshot.json</t>
  </si>
  <si>
    <t>Standard Current(0.003) | Phase(0.0043) | Amish Tech(0.0078) | Academic Method(0.0084) | Master HTMl(0.0109) | Tech Filter(0.011) | Tech Phase(0.0112) | bridge Standard(0.0115) | Easy Plain-language(0.0123) | technology(0.0128) | Amish(0.0138) | pressure Standard(0.0142)</t>
  </si>
  <si>
    <t>the amish | amish tech | tech filter | the filter | relational coherence | mass mediation</t>
  </si>
  <si>
    <t>amish tech filter | tech filter the | the amish tech | phase mass mediation</t>
  </si>
  <si>
    <t>The Amish Tech Filter | Moral Decline of America</t>
  </si>
  <si>
    <t>entropy, emergence</t>
  </si>
  <si>
    <t>15 + 15 = 100 David Lowe • Theophysics Institute Previous Series Home Next Theophysics Home MDA-047 of 54 Related Work Core article, supporting evidence, and broader context Ring 1 â€” This Article The core argument You are here.</t>
  </si>
  <si>
    <t>It is not that the Amish solved technology.</t>
  </si>
  <si>
    <t>That's the first thing most people get wrong.</t>
  </si>
  <si>
    <t>love:7, goodness:6, peace:5, kindness:1, faithfulness:1</t>
  </si>
  <si>
    <t>Reader Mode
Standard, Standard, David Lowe • Theophysics Institute, Differential Decay, Perpetual Connectivity</t>
  </si>
  <si>
    <t>HTMl\K-Production-Ready\03-moral-decline\DEPLOY-READY\05-amish-, The Amish Tech Filter, Broadcast TV, Individualized Access, Patina</t>
  </si>
  <si>
    <t>Amish, American, The Amish Series • Part C
The Amish Tech Filter, Phase 1</t>
  </si>
  <si>
    <t>ORG, CARDINAL, WORK_OF_ART, PERSON, PRODUCT, LAW, NORP, ORDINAL, GPE, DATE, PERCENT, EVENT, TIME</t>
  </si>
  <si>
    <t>---
source_html: "\\dlowenas\HPWorkstation\Desktop\Master HTMl\K-Production-Ready\03-moral-decline\DEPLOY-READY\05-amish-and-case-studies\MDA-047-amish-tech-filter-THE-FILTER</t>
  </si>
  <si>
    <t>html"
deploy_relative: "05-amish-and-case-studies\MDA-047-amish-tech-filter-THE-FILTER</t>
  </si>
  <si>
    <t>html"
title: "The Amish Tech Filter | Moral Decline of America"
---
The Amish Tech Filter | Moral Decline of America
﻿
The Amish Tech Filter | Moral Decline of America
Home Home
Previous
|
Next
Seri</t>
  </si>
  <si>
    <t>15 + 15 = 100
David Lowe • Theophysics Institute
Previous
Series Home
Next 
Theophysics Home
MDA-047 of 54
Related Work
Core article, supporting evidence, and broader context
Ring 1 â€” This Article
The core argument
You are here.</t>
  </si>
  <si>
    <t>The lesson of the Amish technological filter is not that technology is bad.</t>
  </si>
  <si>
    <t>The smartphone never crosses the threshold.</t>
  </si>
  <si>
    <t>The shared-attention machine of broadcast media never replaced the supper table.</t>
  </si>
  <si>
    <t>P-16aca2ff116f</t>
  </si>
  <si>
    <t>MDA-048-ordnung-algorithm-THE-MECHANISM.md</t>
  </si>
  <si>
    <t>C:\Users\lowes\Documents\Codex\2026-05-30\okay-let-find-the-open-ai\work\deploy_ready_extracted_md_20260530_220012\MDA-048-ordnung-algorithm-THE-MECHANISM.md</t>
  </si>
  <si>
    <t>2026-05-30T22:03:04.171456</t>
  </si>
  <si>
    <t>C:\Users\lowes\Documents\Codex\2026-05-30\okay-let-find-the-open-ai\outputs\deploy_ready_full_pipeline_20260530\paper_intelligence\snapshots\P-16aca2ff116f_snapshot.json</t>
  </si>
  <si>
    <t>Amish(0.001) | Amish algorithm(0.0043) | Amish Ordnung(0.005) | RULE(0.0051) | Moral Decline(0.007) | mutual aid(0.0078) | Amish America(0.009) | Technological Axiom(0.0094) | Academic Method(0.0097) | Amish culture(0.0107) | Input Rule(0.0108) | structural rules(0.0111)</t>
  </si>
  <si>
    <t>the amish | rule the | the community | and the | the ordnung | the home</t>
  </si>
  <si>
    <t>the proximity limit | the outside world | chapter rule the | technological axiom distance</t>
  </si>
  <si>
    <t>The Ordnung Algorithm | Moral Decline of America</t>
  </si>
  <si>
    <t>It dictates that risk must be socialized, not commercialized.</t>
  </si>
  <si>
    <t>It must be disassembled, understood, and modified to fit community constraints.</t>
  </si>
  <si>
    <t>It artificially imposes distance and friction to ensure that interactions remain high-cost and, therefore, high-value.</t>
  </si>
  <si>
    <t>Access) [39]YouTube â€” The Riddle of Amish Culture [40]Elizabethtown College â€” Amish Studies: Technology 15 + 15 = 100 David Lowe • Theophysics Institute Previous Series Home Next Theophysics Home MDA-048 of 54 Related Work Core article,</t>
  </si>
  <si>
    <t>peace:5, hope:4, love:3, self_control:3, goodness:2</t>
  </si>
  <si>
    <t>Reader Mode
Standard, Standard, David Lowe • Theophysics Institute, Demut, Gelassenheit</t>
  </si>
  <si>
    <t>HTMl\K-Production-Ready\03-moral-decline\DEPLOY-READY\05-amish-, System-Preservation Algorithm, the Technological Axiom of Distance, Coherence Factory, Structural Rules</t>
  </si>
  <si>
    <t>Amish, agrarian, English, non-Amish</t>
  </si>
  <si>
    <t>ORG, CARDINAL, WORK_OF_ART, PERSON, PRODUCT, LAW, NORP, GPE, ORDINAL, LANGUAGE, LOC, QUANTITY, TIME, DATE, PERCENT</t>
  </si>
  <si>
    <t>---
source_html: "\\dlowenas\HPWorkstation\Desktop\Master HTMl\K-Production-Ready\03-moral-decline\DEPLOY-READY\05-amish-and-case-studies\MDA-048-ordnung-algorithm-THE-MECHANISM</t>
  </si>
  <si>
    <t>html"
deploy_relative: "05-amish-and-case-studies\MDA-048-ordnung-algorithm-THE-MECHANISM</t>
  </si>
  <si>
    <t>html"
title: "The Ordnung Algorithm | Moral Decline of America"
---
The Ordnung Algorithm | Moral Decline of America
﻿
The Ordnung Algorithm | Moral Decline of America
Home Home
Previous
|
Next
Seri</t>
  </si>
  <si>
    <t>Because travel beyond the 20-mile limit requires significant friction (hiring an "Amish Taxi"), casual interaction with the outside world is discouraged.</t>
  </si>
  <si>
    <t>7.2 The Solar Power Dilemma
Solar panels are allowed in many districts because they are stand-alone (anti-bypass) and local.</t>
  </si>
  <si>
    <t>It travels at roughly 10 miles per hour.</t>
  </si>
  <si>
    <t>The horse functions structurally as a governor of velocity and range.</t>
  </si>
  <si>
    <t>P-438e249e11ed</t>
  </si>
  <si>
    <t>MDA-049-coherence-factory-THE-SYNTHESIS.md</t>
  </si>
  <si>
    <t>C:\Users\lowes\Documents\Codex\2026-05-30\okay-let-find-the-open-ai\work\deploy_ready_extracted_md_20260530_220012\MDA-049-coherence-factory-THE-SYNTHESIS.md</t>
  </si>
  <si>
    <t>2026-05-30T22:03:07.306909</t>
  </si>
  <si>
    <t>C:\Users\lowes\Documents\Codex\2026-05-30\okay-let-find-the-open-ai\outputs\deploy_ready_full_pipeline_20260530\paper_intelligence\snapshots\P-438e249e11ed_snapshot.json</t>
  </si>
  <si>
    <t>Moral Decline(0.0019) | Academic Method(0.0078) | Coherence Factory(0.0091) | Master HTMl(0.0093) | rule(0.0101) | Amish(0.0112) | Decline(0.0131) | Easy Plain-language(0.0136) | Rule Artifact(0.0154) | Plain-language bridge(0.0165) | Coherence(0.0173) | Current article(0.0174)</t>
  </si>
  <si>
    <t>the amish | rule the | coherence factory | artifact the | the coherence | and the</t>
  </si>
  <si>
    <t>the coherence factory | mda coherence factory | coherence factory the | factory the synthesis</t>
  </si>
  <si>
    <t>The Coherence Factory | Moral Decline of America</t>
  </si>
  <si>
    <t>Resources must be metered — visibly depleting — not unmetered like the grid or the always-on internet.</t>
  </si>
  <si>
    <t>It artificially imposes distance and friction so that interactions remain high-cost and therefore high-value.</t>
  </si>
  <si>
    <t>Hiring a car is expensive, requires planning, involves a third party, and leaves the user a tethered community member who is temporarily borrowing speed.</t>
  </si>
  <si>
    <t>15 + 15 = 100 David Lowe • Theophysics Institute Previous Series Home Next Theophysics Home MDA-049 of 54 Related Work Core article, supporting evidence, and broader context Ring 1 — This Article The core argument You are here.</t>
  </si>
  <si>
    <t>The result: social density that aligns with Dunbar's number.</t>
  </si>
  <si>
    <t>peace:2, faithfulness:2, self_control:1, love:0, joy:0</t>
  </si>
  <si>
    <t>Reader Mode
Standard, Standard, David Lowe • Theophysics Institute, WiFi, Ordnung</t>
  </si>
  <si>
    <t>HTMl\K-Production-Ready\03-moral-decline\DEPLOY-READY\05-amish-, The Technological Axiom of Distance
Standard, The Axiom
The health, Inward Vectors, Outward Vectors</t>
  </si>
  <si>
    <t>Americans, Amish, Dutch, DC</t>
  </si>
  <si>
    <t>ORG, CARDINAL, PERSON, WORK_OF_ART, PRODUCT, NORP, DATE, GPE, LOC, QUANTITY, ORDINAL</t>
  </si>
  <si>
    <t>---
source_html: "\\dlowenas\HPWorkstation\Desktop\Master HTMl\K-Production-Ready\03-moral-decline\DEPLOY-READY\05-amish-and-case-studies\MDA-049-coherence-factory-THE-SYNTHESIS</t>
  </si>
  <si>
    <t>html"
deploy_relative: "05-amish-and-case-studies\MDA-049-coherence-factory-THE-SYNTHESIS</t>
  </si>
  <si>
    <t>html"
title: "The Coherence Factory | Moral Decline of America"
---
The Coherence Factory | Moral Decline of America
﻿
The Coherence Factory | Moral Decline of America
Home Home
Previous
|
Next
Seri</t>
  </si>
  <si>
    <t>Rule 07
The Ownership Distinction
Artifact: the "Amish taxi." Riding in cars is permitted.</t>
  </si>
  <si>
    <t>15 + 15 = 100
David Lowe • Theophysics Institute
Previous
Series Home
Next 
Theophysics Home
MDA-049 of 54
Related Work
Core article, supporting evidence, and broader context
Ring 1 — This Article
The core argument
You are here.</t>
  </si>
  <si>
    <t>The intuition driving it: frictionless interaction produces frictionless abandonment.</t>
  </si>
  <si>
    <t>The Coherence Metric: Inward vs.</t>
  </si>
  <si>
    <t>P-5ddcd33335f1</t>
  </si>
  <si>
    <t>MDA-050-jacob-2025.md</t>
  </si>
  <si>
    <t>C:\Users\lowes\Documents\Codex\2026-05-30\okay-let-find-the-open-ai\work\deploy_ready_extracted_md_20260530_220012\MDA-050-jacob-2025.md</t>
  </si>
  <si>
    <t>2026-05-30T22:03:08.726609</t>
  </si>
  <si>
    <t>C:\Users\lowes\Documents\Codex\2026-05-30\okay-let-find-the-open-ai\outputs\deploy_ready_full_pipeline_20260530\paper_intelligence\snapshots\P-5ddcd33335f1_snapshot.json</t>
  </si>
  <si>
    <t>Moral Decline(0.0004) | Jake(0.0026) | Mode Standard(0.0036) | Reader Mode(0.0057) | Decline(0.0097) | Moral(0.0099) | Academic Method(0.0099) | Tyler(0.0128) | years(0.0131) | Standard(0.0159) | Stay(0.0161) | Decline Part(0.0161)</t>
  </si>
  <si>
    <t>the same | not because | the world | jake says | find good | good woman</t>
  </si>
  <si>
    <t>find good woman | good woman work | woman work stay | constraint had chosen</t>
  </si>
  <si>
    <t>When Constraint Had to Be Chosen | Moral Decline of America</t>
  </si>
  <si>
    <t>Jacob's generation is the first for whom coherence is no longer inherited or imposed—it must be chosen, sustained, and defended.</t>
  </si>
  <si>
    <t>Now it requires something that Samuel never needed: will.</t>
  </si>
  <si>
    <t>It smells like candle wax and old books.</t>
  </si>
  <si>
    <t>Previous Series Home Next Theophysics Home MDA-050 of 54 Related Work Core article, supporting evidence, and broader context Ring 1 — This Article The core argument You are here.</t>
  </si>
  <si>
    <t>goodness:11, gentleness:10, patience:4, kindness:4, hope:4</t>
  </si>
  <si>
    <t>Jacob
Reader Mode
Standard, Standard, Rizz, Jake, Tyler</t>
  </si>
  <si>
    <t>HTMl\K-Production-Ready\03-moral-decline\DEPLOY-READY\01-story-thread\MDA-050-jacob-2025.html, YourMove, pews, Richland, The Invitation
Tyler</t>
  </si>
  <si>
    <t>Americans, American, Jake, creepy</t>
  </si>
  <si>
    <t>ORG, CARDINAL, PERSON, WORK_OF_ART, PRODUCT, DATE, PERCENT, NORP, TIME, MONEY, GPE, QUANTITY, ORDINAL</t>
  </si>
  <si>
    <t>---
source_html: "\\dlowenas\HPWorkstation\Desktop\Master HTMl\K-Production-Ready\03-moral-decline\DEPLOY-READY\01-story-thread\MDA-050-jacob-2025</t>
  </si>
  <si>
    <t>html"
title: "When Constraint Had to Be Chosen | Moral Decline of America"
---
When Constraint Had to Be Chosen | Moral Decline of America
﻿
When Constraint Had to Be Chosen | Moral Decline of Ameri</t>
  </si>
  <si>
    <t>Proof Pressure Layer
Vetted Claims for MDA-050-jacob-2025
No promoted claim
No claim from this article survived the deterministic Axiom + 7Q gate strongly enough for the proof layer yet</t>
  </si>
  <si>
    <t>He recognizes existentially that "this is not how life is supposed to feel."
This is the first generation where external constraints are largely gone, and restoration will not be automatic.</t>
  </si>
  <si>
    <t>They're always available, always supportive, always exactly what you want them to be.</t>
  </si>
  <si>
    <t>"That sounds like torture."
"Maybe.</t>
  </si>
  <si>
    <t>P-90908773a681</t>
  </si>
  <si>
    <t>MDA-051-korea-experiment.md</t>
  </si>
  <si>
    <t>C:\Users\lowes\Documents\Codex\2026-05-30\okay-let-find-the-open-ai\work\deploy_ready_extracted_md_20260530_220012\MDA-051-korea-experiment.md</t>
  </si>
  <si>
    <t>2026-05-30T22:03:11.997678</t>
  </si>
  <si>
    <t>C:\Users\lowes\Documents\Codex\2026-05-30\okay-let-find-the-open-ai\outputs\deploy_ready_full_pipeline_20260530\paper_intelligence\snapshots\P-90908773a681_snapshot.json</t>
  </si>
  <si>
    <t>Mode Standard(0.0034) | South Korea(0.0039) | North Korea(0.0051) | Reader Mode(0.0052) | Korea(0.0057) | Korea Experiment(0.0079) | Academic Method(0.0089) | Master HTMl(0.011) | Standard active(0.0126) | bridge Standard(0.0126) | Easy Plain-language(0.0131) | pressure Standard(0.0133)</t>
  </si>
  <si>
    <t>south korea | north korea | korea experiment | moral decline | same people | same starting</t>
  </si>
  <si>
    <t>the korea experiment | moral decline america | same people same | mda korea experiment</t>
  </si>
  <si>
    <t>The Korea Experiment | Moral Decline of America</t>
  </si>
  <si>
    <t>The Lesson for America America's Ï‡ = 0.27.</t>
  </si>
  <si>
    <t>The North Korean Warning North Korea shows what happens when β = 0.</t>
  </si>
  <si>
    <t>South Korea Ï‡ = 0.63 (with β) North Korea Ï‡ = 0.15 (without β) Same people.</t>
  </si>
  <si>
    <t>The Numbers That Matter Economic (Proxy for coherence outcomes) MetricSouthNorthRatio GDP per capita$35,000$1,80019:1 Life expectancy83 years72 years+11 years Infant mortality2.6/100022/10008:1 Social MetricSouthNorth Press freedom rank43/1</t>
  </si>
  <si>
    <t>grace</t>
  </si>
  <si>
    <t>grace:8, peace:5, self_control:2, faithfulness:1, love:0</t>
  </si>
  <si>
    <t>Reader Mode
Standard, Standard, Grace, David Lowe • Theophysics Institute, Kim Il-sung</t>
  </si>
  <si>
    <t>HTMl\K-Production-Ready\03-moral-decline\DEPLOY-READY\05-amish-, The Korea Experiment, Economic0.82Top, Meaning0.20Juche, Coherence</t>
  </si>
  <si>
    <t>Amish, Soviet, Christianity, South Korean</t>
  </si>
  <si>
    <t>ORG, CARDINAL, WORK_OF_ART, PERSON, GPE, PRODUCT, PERCENT, NORP, DATE, LOC</t>
  </si>
  <si>
    <t>---
source_html: "\\dlowenas\HPWorkstation\Desktop\Master HTMl\K-Production-Ready\03-moral-decline\DEPLOY-READY\05-amish-and-case-studies\MDA-051-korea-experiment</t>
  </si>
  <si>
    <t>html"
deploy_relative: "05-amish-and-case-studies\MDA-051-korea-experiment</t>
  </si>
  <si>
    <t xml:space="preserve">html"
title: "The Korea Experiment | Moral Decline of America"
---
The Korea Experiment | Moral Decline of America
﻿
The Korea Experiment | Moral Decline of America
Home Home
Previous
|
Next
Series </t>
  </si>
  <si>
    <t>It's anti-coherence:
Families spy on each other
Trust is suicide
Meaning is whatever the state says today
Children report parents
Below threshold with no grace coefficient = civilizational death.</t>
  </si>
  <si>
    <t>The Numbers That Matter
Economic (Proxy for coherence outcomes)
MetricSouthNorthRatio
GDP per capita$35,000$1,80019:1
Life expectancy83 years72 years+11 years
Infant mortality2.6/100022/10008:1
Social
MetricSouthNorth
Press freedom rank43/180180/180
Human Development Index0.925 (top 20)0.4 (est.)
Happiness rank57/137Not measured (would be last)
Religious (The β indicator)
MetricSouthNorth
Churches77,000+~0 official
Christians15 million~50,000 underground
Religious freedomConstitutionalDeath penalty
What This Proves
Korea isn't just correlation.</t>
  </si>
  <si>
    <t>Same starting point.</t>
  </si>
  <si>
    <t>But we need recovery.</t>
  </si>
  <si>
    <t>P-6283b3ce83ad</t>
  </si>
  <si>
    <t>MDA-052-individual-recovery.md</t>
  </si>
  <si>
    <t>C:\Users\lowes\Documents\Codex\2026-05-30\okay-let-find-the-open-ai\work\deploy_ready_extracted_md_20260530_220012\MDA-052-individual-recovery.md</t>
  </si>
  <si>
    <t>2026-05-30T22:03:13.029300</t>
  </si>
  <si>
    <t>C:\Users\lowes\Documents\Codex\2026-05-30\okay-let-find-the-open-ai\outputs\deploy_ready_full_pipeline_20260530\paper_intelligence\snapshots\P-6283b3ce83ad_snapshot.json</t>
  </si>
  <si>
    <t>Academic Method(0.0083) | Master HTMl(0.0094) | Standard active(0.0108) | bridge Standard(0.0108) | pressure Standard(0.012) | Easy Plain-language(0.012) | Mode Standard(0.0149) | Standard(0.0149) | Plain-language bridge(0.0169) | Standard Current(0.0178) | Individual Recovery(0.0212) | Reader Mode(0.0233)</t>
  </si>
  <si>
    <t>individual recovery | below threshold | moral decline | the same | the pattern | the question</t>
  </si>
  <si>
    <t>mda individual recovery | individual recovery moral | recovery moral decline | moral decline america</t>
  </si>
  <si>
    <t>Individual Recovery | Moral Decline of America</t>
  </si>
  <si>
    <t>Step 3: Surrender "Made a decision to turn our will and our lives over to the care of God as we understood Him." Translation: Activating β requires submission.</t>
  </si>
  <si>
    <t>15 + 15 = 100 David Lowe • Theophysics Institute Previous Series Home Next Theophysics Home MDA-052 of 54 Related Work Core article, supporting evidence, and broader context Ring 1 â€” This Article The core argument You are here.</t>
  </si>
  <si>
    <t>SafetyAm I a danger to myself or others?</t>
  </si>
  <si>
    <t>But the data is clear: submission to something greater than self correlates with recovery.</t>
  </si>
  <si>
    <t>peace:11, faithfulness:3, grace:3, love:1, self_control:1</t>
  </si>
  <si>
    <t>Reader Mode
Standard, Standard, David Lowe • Theophysics Institute, Dave Ramsey, program~0.10None0.10</t>
  </si>
  <si>
    <t>HTMl\K-Production-Ready\03-moral-decline\DEPLOY-READY\06-recovery-and-synthesis\MDA-052-individual-recovery.html, DomainIndividual Application
FamilyAre, TrustCan, EconomicCan, IntergenerationalAm</t>
  </si>
  <si>
    <t>ORG, CARDINAL, PERSON, WORK_OF_ART, PRODUCT, GPE, DATE, ORDINAL, QUANTITY, PERCENT, FAC, EVENT, NORP</t>
  </si>
  <si>
    <t>---
source_html: "\\dlowenas\HPWorkstation\Desktop\Master HTMl\K-Production-Ready\03-moral-decline\DEPLOY-READY\06-recovery-and-synthesis\MDA-052-individual-recovery</t>
  </si>
  <si>
    <t>html"
deploy_relative: "06-recovery-and-synthesis\MDA-052-individual-recovery</t>
  </si>
  <si>
    <t>html"
title: "Individual Recovery | Moral Decline of America"
---
Individual Recovery | Moral Decline of America
﻿
Individual Recovery | Moral Decline of America
Home Home
Previous
|
Next
Series Hom</t>
  </si>
  <si>
    <t>coherent but cold; precise but lifeless; technically strong, morally vacant; narrow but rigorous; publication-ready but adversarially incomplete</t>
  </si>
  <si>
    <t>15 + 15 = 100
David Lowe • Theophysics Institute
Previous
Series Home
Next 
Theophysics Home
MDA-052 of 54
Related Work
Core article, supporting evidence, and broader context
Ring 1 â€” This Article
The core argument
You are here.</t>
  </si>
  <si>
    <t>The Numbers
AA doesn't publish official success rates (anonymity), but research estimates:
5–10% achieve permanent sobriety through AA
40–60% achieve significant improvement
Those who work all 12 steps show highest recovery rates
For context: Addiction has near-zero spontaneous recovery rate.</t>
  </si>
  <si>
    <t>Not "might exist." Not "would be nice."
Came to believe.</t>
  </si>
  <si>
    <t>People below threshold who try to self-correct on their own succeed almost never.</t>
  </si>
  <si>
    <t>P-9a1a625d0214</t>
  </si>
  <si>
    <t>MDA-053-the-question.md</t>
  </si>
  <si>
    <t>C:\Users\lowes\Documents\Codex\2026-05-30\okay-let-find-the-open-ai\work\deploy_ready_extracted_md_20260530_220012\MDA-053-the-question.md</t>
  </si>
  <si>
    <t>2026-05-30T22:03:13.987073</t>
  </si>
  <si>
    <t>C:\Users\lowes\Documents\Codex\2026-05-30\okay-let-find-the-open-ai\outputs\deploy_ready_full_pipeline_20260530\paper_intelligence\snapshots\P-9a1a625d0214_snapshot.json</t>
  </si>
  <si>
    <t>Academic Method(0.0087) | Master HTMl(0.0112) | Standard active(0.0122) | bridge Standard(0.0122) | pressure Standard(0.0125) | Easy Plain-language(0.0127) | Standard Current(0.0133) | Coherence(0.0134) | Standard(0.0149) | Mode Standard(0.0153) | Question(0.017) | Moral Decline(0.0184)</t>
  </si>
  <si>
    <t>the question | below threshold | the mechanism | the pattern | the data | moral decline</t>
  </si>
  <si>
    <t>mda the question | the question moral | question moral decline | moral decline america</t>
  </si>
  <si>
    <t>The Question | Moral Decline of America</t>
  </si>
  <si>
    <t>But recovery requires what it has always required: Submission to the source of coherence.</t>
  </si>
  <si>
    <t>Ï‡ = 0.27 Threshold = 0.35 We're below it.</t>
  </si>
  <si>
    <t>If β increases to 0.05 Trajectory: Stabilization around Ï‡ = 0.30–0.35.</t>
  </si>
  <si>
    <t>15 + 15 = 100 David Lowe • Theophysics Institute Previous Series Home Next Theophysics Home MDA-053 of 54 Related Work Core article, supporting evidence, and broader context Ring 1 â€” This Article The core argument You are here.</t>
  </si>
  <si>
    <t>Measured across nine domains with hard data.</t>
  </si>
  <si>
    <t>peace:11, faithfulness:5, grace:4, hope:1, love:0</t>
  </si>
  <si>
    <t>Reader Mode
Standard, Standard, David Lowe • Theophysics Institute, Ordnung, Grace</t>
  </si>
  <si>
    <t>HTMl\K-Production-Ready\03-moral-decline\DEPLOY-READY\06-recovery-and-synthesis\MDA-053-the-question.html</t>
  </si>
  <si>
    <t>American, Amish, Christian, Jewish</t>
  </si>
  <si>
    <t>ORG, CARDINAL, PERSON, WORK_OF_ART, PRODUCT, GPE, NORP, DATE, MONEY, PERCENT, LANGUAGE</t>
  </si>
  <si>
    <t>---
source_html: "\\dlowenas\HPWorkstation\Desktop\Master HTMl\K-Production-Ready\03-moral-decline\DEPLOY-READY\06-recovery-and-synthesis\MDA-053-the-question</t>
  </si>
  <si>
    <t>html"
deploy_relative: "06-recovery-and-synthesis\MDA-053-the-question</t>
  </si>
  <si>
    <t>html"
title: "The Question | Moral Decline of America"
---
The Question | Moral Decline of America
﻿
The Question | Moral Decline of America
Home Home
Previous
|
Next
Series Home
Reader Mode
Standar</t>
  </si>
  <si>
    <t>What This Means
If the data is right—and we believe it is—then America faces a binary choice:
Option A: Continue Current Trajectory
Ï‡ continues declining
Social dysfunction deepens
Institutions continue failing
Meaning continues fragmenting
Historical outcome: collapse or absorption
Option B: National Repentance
Admission that we cannot fix this ourselves
Return to transcendent source of coherence
Restoration of the structures that generate and maintain coherence
Historical outcome: revival, recovery, renewal
There is no Option C.</t>
  </si>
  <si>
    <t>What We Know
The Decline is Real
American coherence has collapsed from Ï‡ = 0.85 (1900) to Ï‡ = 0.27 (2024).</t>
  </si>
  <si>
    <t>We could have maintained coherence.</t>
  </si>
  <si>
    <t>This pattern appears in every documented case of coherence restoration from below threshold.</t>
  </si>
  <si>
    <t>P-ca07295e7130</t>
  </si>
  <si>
    <t>MDA-054-way-back.md</t>
  </si>
  <si>
    <t>C:\Users\lowes\Documents\Codex\2026-05-30\okay-let-find-the-open-ai\work\deploy_ready_extracted_md_20260530_220012\MDA-054-way-back.md</t>
  </si>
  <si>
    <t>2026-05-30T22:03:15.078526</t>
  </si>
  <si>
    <t>C:\Users\lowes\Documents\Codex\2026-05-30\okay-let-find-the-open-ai\outputs\deploy_ready_full_pipeline_20260530\paper_intelligence\snapshots\P-ca07295e7130_snapshot.json</t>
  </si>
  <si>
    <t>Reader Mode(0.005) | Academic Method(0.0085) | Coherence(0.0109) | Master HTMl(0.0112) | Easy Plain-language(0.0125) | Decline(0.0163) | Semantic(0.017) | Plain-language bridge(0.0196) | Moral Decline(0.0206) | Semantic Reconstruction(0.0209) | system(0.0209) | Back(0.0233)</t>
  </si>
  <si>
    <t>the system | way back | moral decline | internal reform | semantic reconstruction | the way</t>
  </si>
  <si>
    <t>the way back | moral decline america | iii institutional ratification | mda way back</t>
  </si>
  <si>
    <t>The Way Back | Moral Decline of America</t>
  </si>
  <si>
    <t>thermodynamics, entropy, second law</t>
  </si>
  <si>
    <t>Therefore: Recovery = f(Grace) or f(ΔCoherence), but NOT f(Policy) The Cycle V1 Semantic Collapse Shared meaning dissolves.</t>
  </si>
  <si>
    <t>The equation doesn't prescribe what β must be.</t>
  </si>
  <si>
    <t>V1 → V2 → V3 → V4 → V1 (accelerating) Each vector feeds the next.</t>
  </si>
  <si>
    <t>It is pattern recognition applied to historical data.</t>
  </si>
  <si>
    <t>peace:14, self_control:5, faithfulness:4, grace:3, goodness:2</t>
  </si>
  <si>
    <t>Reader Mode
Standard, Standard, David Lowe • Theophysics Institute, •When β, •When β &gt; δ</t>
  </si>
  <si>
    <t>HTMl\K-Production-Ready\03-moral-decline\DEPLOY-READY\06-recovery-and-synthesis\MDA-054, Drift, V2
Familial Disintegration
Without, The Physics of Irreversibility
Phase, Meiji Japan</t>
  </si>
  <si>
    <t>Roman, Amish, Victorian, Northern</t>
  </si>
  <si>
    <t>ORG, CARDINAL, WORK_OF_ART, PERSON, QUANTITY, TIME, LAW, DATE, PERCENT, GPE, FAC, MONEY, NORP, LOC, PRODUCT, ORDINAL</t>
  </si>
  <si>
    <t>---
source_html: "\\dlowenas\HPWorkstation\Desktop\Master HTMl\K-Production-Ready\03-moral-decline\DEPLOY-READY\06-recovery-and-synthesis\MDA-054-way-back</t>
  </si>
  <si>
    <t>html"
deploy_relative: "06-recovery-and-synthesis\MDA-054-way-back</t>
  </si>
  <si>
    <t>html"
title: "The Way Back | Moral Decline of America"
---
The Way Back | Moral Decline of America
﻿
The Way Back | Moral Decline of America
Home Home
Previous
|
Next
Series Home
Reader Mode
Standar</t>
  </si>
  <si>
    <t>This requires the instruments of reform (courts, legislatures, media, money) to be uncorrupted enough to function — which is precisely what sub-threshold coherence prevents.</t>
  </si>
  <si>
    <t>If more than 50% of predictions fail outside their confidence intervals, the model requires revision.</t>
  </si>
  <si>
    <t>That's roughly where we are.</t>
  </si>
  <si>
    <t>The vacuum always gets filled.</t>
  </si>
  <si>
    <t>P-cf44e617aa1b</t>
  </si>
  <si>
    <t>MDA-900-appendix-original-introduction.md</t>
  </si>
  <si>
    <t>C:\Users\lowes\Documents\Codex\2026-05-30\okay-let-find-the-open-ai\work\deploy_ready_extracted_md_20260530_220012\MDA-900-appendix-original-introduction.md</t>
  </si>
  <si>
    <t>2026-05-30T22:03:17.303935</t>
  </si>
  <si>
    <t>C:\Users\lowes\Documents\Codex\2026-05-30\okay-let-find-the-open-ai\outputs\deploy_ready_full_pipeline_20260530\paper_intelligence\snapshots\P-cf44e617aa1b_snapshot.json</t>
  </si>
  <si>
    <t>Home Home(0.0016) | Home Previous(0.0026) | Home Reader(0.0026) | Reader Mode(0.0044) | Original Introduction(0.0049) | Academic Method(0.0074) | America Home(0.0074) | Easy Plain-language(0.0104) | Series Home(0.0107) | Plain-language bridge(0.0146) | Mode Standard(0.0209) | Coherence(0.022)</t>
  </si>
  <si>
    <t>the equation | appendix original | original introduction | the data | moral decline | began its</t>
  </si>
  <si>
    <t>appendix original introduction | mda appendix original | original introduction moral | introduction moral decline</t>
  </si>
  <si>
    <t>Appendix: Original Introduction | Moral Decline of America</t>
  </si>
  <si>
    <t>entropy, decoherence</t>
  </si>
  <si>
    <t>15 + 15 = 100 David Lowe • Theophysics Institute Related Work Core article, supporting evidence, and broader context Ring 1 â€” This Article The core argument You are here.</t>
  </si>
  <si>
    <t>Before 1968, the negentropic input G was high.</t>
  </si>
  <si>
    <t>Playboy circulation hit 7 million, up 536% from 1965.</t>
  </si>
  <si>
    <t>The work produced a mathematical framework â€” the Theophysics framework â€” with experimental correlations at 5.7 to 6.35 sigma across three independent datasets.</t>
  </si>
  <si>
    <t>kindness:2, love:1, faithfulness:1, grace:1, joy:0</t>
  </si>
  <si>
    <t>Reader Mode
Standard, Standard, David Lowe • Theophysics Institute, Eisenstadt, Kent State</t>
  </si>
  <si>
    <t>HTMl\K-Production-Ready\03-moral-decline\DEPLOY-READY\90-appendices-, The Dataset Nobody Compiled
For, Theophysics, Peak Coherence, Church Attendance49%
Trust</t>
  </si>
  <si>
    <t>Christian, Roe v. Wade</t>
  </si>
  <si>
    <t>ORG, CARDINAL, WORK_OF_ART, PERSON, PRODUCT, TIME, GPE, DATE, PERCENT, QUANTITY, LAW, EVENT, NORP, FAC, LOC</t>
  </si>
  <si>
    <t>---
source_html: "\\dlowenas\HPWorkstation\Desktop\Master HTMl\K-Production-Ready\03-moral-decline\DEPLOY-READY\90-appendices-and-source-packets\MDA-900-appendix-original-introduction</t>
  </si>
  <si>
    <t>html"
deploy_relative: "90-appendices-and-source-packets\MDA-900-appendix-original-introduction</t>
  </si>
  <si>
    <t xml:space="preserve">html"
title: "Appendix: Original Introduction | Moral Decline of America"
---
Appendix: Original Introduction | Moral Decline of America
﻿
Appendix: Original Introduction | Moral Decline of America
</t>
  </si>
  <si>
    <t>Theophysics Research • Series 6.2
Appendix: Original Introduction
Part 1 of 10: The Moral Decay of America
When a Nation's Coherence Goes to Zero
David Lowe • Theophysics Institute
Read Aloud
0:00
When G is strong and S is manageable, systems cohere.</t>
  </si>
  <si>
    <t>15 + 15 = 100
David Lowe • Theophysics Institute
Related Work
Core article, supporting evidence, and broader context
Ring 1 â€” This Article
The core argument
You are here.</t>
  </si>
  <si>
    <t>The entropy S existed â€” it always does â€” but it was contained.</t>
  </si>
  <si>
    <t>They produce order from chaos.</t>
  </si>
  <si>
    <t>P-5abc501ba058</t>
  </si>
  <si>
    <t>MDA-901-appendix-america-index.md</t>
  </si>
  <si>
    <t>C:\Users\lowes\Documents\Codex\2026-05-30\okay-let-find-the-open-ai\work\deploy_ready_extracted_md_20260530_220012\MDA-901-appendix-america-index.md</t>
  </si>
  <si>
    <t>2026-05-30T22:03:18.461072</t>
  </si>
  <si>
    <t>C:\Users\lowes\Documents\Codex\2026-05-30\okay-let-find-the-open-ai\outputs\deploy_ready_full_pipeline_20260530\paper_intelligence\snapshots\P-5abc501ba058_snapshot.json</t>
  </si>
  <si>
    <t>Moral Decline(0.0035) | Mode Standard(0.0038) | Standard Current(0.0038) | Reader Mode(0.0051) | America Index(0.0055) | Master HTMl(0.0082) | Academic Method(0.0088) | Standard active(0.0115) | bridge Standard(0.0115) | Easy Plain-language(0.013) | Decline(0.0134) | pressure Standard(0.0145)</t>
  </si>
  <si>
    <t>appendix america | america index | moral decline | mda appendix | index moral | decline america</t>
  </si>
  <si>
    <t>appendix america index | mda appendix america | america index moral | index moral decline</t>
  </si>
  <si>
    <t>Appendix: America Index | Moral Decline of America</t>
  </si>
  <si>
    <t>1971 Nixon Shock — Dollar decoupled from gold.</t>
  </si>
  <si>
    <t>Wade — Sanctity of life redefined by judicial fiat.</t>
  </si>
  <si>
    <t>Vitale — Supreme Court removes prayer from public schools.</t>
  </si>
  <si>
    <t>The same mathematics that governs phase transitions in physics (ice to water, water to steam) maps precisely onto the observed social data: gradual degradation, acceleration past critical thresholds, and irreversibility without external ene</t>
  </si>
  <si>
    <t>Read Part 01: Introduction 10 parts • ~45,000 words • 200+ cited data points 15 + 15 = 100 David Lowe • 2025 Home Part 01 Part 10 Stories Related Work Core article, supporting evidence, and broader context Ring 1 ï¿½ This Article The core a</t>
  </si>
  <si>
    <t>Reader Mode
Standard, Standard, David Lowe • Theophysics Institute, Critical Thresholds, Engel</t>
  </si>
  <si>
    <t>HTMl\K-Production-Ready\03-moral-decline\DEPLOY-READY\90-appendices-, FACTS Pillars, Supreme Court, FACTS, SAT</t>
  </si>
  <si>
    <t>Roe v. Wade</t>
  </si>
  <si>
    <t>ORG, CARDINAL, WORK_OF_ART, GPE, PERSON, PRODUCT, DATE, LAW, TIME</t>
  </si>
  <si>
    <t>---
source_html: "\\dlowenas\HPWorkstation\Desktop\Master HTMl\K-Production-Ready\03-moral-decline\DEPLOY-READY\90-appendices-and-source-packets\MDA-901-appendix-america-index</t>
  </si>
  <si>
    <t>html"
deploy_relative: "90-appendices-and-source-packets\MDA-901-appendix-america-index</t>
  </si>
  <si>
    <t>html"
title: "Appendix: America Index | Moral Decline of America"
---
Appendix: America Index | Moral Decline of America
﻿
Appendix: America Index | Moral Decline of America
Home Home
Previous
|
Nex</t>
  </si>
  <si>
    <t>Read Part 01: Introduction
10 parts • ~45,000 words • 200+ cited data points
15 + 15 = 100
David Lowe • 2025
Home
Part 01
Part 10
Stories
Related Work
Core article, supporting evidence, and broader context
Ring 1 ï¿½ This Article
The core argument
You are here.</t>
  </si>
  <si>
    <t>﻿
Appendix: America Index | Moral Decline of America
Home Home
Previous
|
Next
Series Home
Reader Mode
Standard active
Easy
Plain-language bridge
Standard
Current article
Academic
Method + caveats
Proof
Proof pressure
Standard is the live article.</t>
  </si>
  <si>
    <t>The inflection point across multiple independent datasets.</t>
  </si>
  <si>
    <t>Real wages decouple from productivity.</t>
  </si>
  <si>
    <t>P-f237b8383edd</t>
  </si>
  <si>
    <t>MDA-902-appendix-trans-domain-analysis.md</t>
  </si>
  <si>
    <t>C:\Users\lowes\Documents\Codex\2026-05-30\okay-let-find-the-open-ai\work\deploy_ready_extracted_md_20260530_220012\MDA-902-appendix-trans-domain-analysis.md</t>
  </si>
  <si>
    <t>2026-05-30T22:03:19.081620</t>
  </si>
  <si>
    <t>C:\Users\lowes\Documents\Codex\2026-05-30\okay-let-find-the-open-ai\outputs\deploy_ready_full_pipeline_20260530\paper_intelligence\snapshots\P-f237b8383edd_snapshot.json</t>
  </si>
  <si>
    <t>Reader Mode(0.0049) | Trans-Domain Analysis(0.0076) | Academic Method(0.0083) | Coherence(0.0101) | Coherence Factor(0.0109) | Easy Plain-language(0.0121) | Lowe(0.0124) | phase(0.0152) | years(0.0158) | Moral Decline(0.0159) | Moral(0.0165) | Lowe Family(0.0187)</t>
  </si>
  <si>
    <t>part the | trans domain | domain analysis | yrs yrs | appendix trans | fault divorce</t>
  </si>
  <si>
    <t>trans domain analysis | appendix trans domain | yrs yrs yrs | moral decline america</t>
  </si>
  <si>
    <t>Appendix: Trans-Domain Analysis | Moral Decline of America</t>
  </si>
  <si>
    <t>entropy, epistemology</t>
  </si>
  <si>
    <t>Federal Register: 14,479 pages (1960) → 87,012 (1980).</t>
  </si>
  <si>
    <t>A2 Linear Decay The δ term implies constant-rate decay.</t>
  </si>
  <si>
    <t>Proof Pressure Layer Vetted Claims for MDA-902-appendix-trans-domain-analysis Claim 1 | SURVIVES | 7QS 5/6 If a competing model explains the same data with equal or greater predictive accuracy, fewer parameters, and a different causal mecha</t>
  </si>
  <si>
    <t>DATA SOURCES • Census Bureau (family, demographics) • Gallup (trust, religion, polling) • FBI Uniform Crime Reports (safety) • College Board (SAT, education) • Federal Reserve (FRED — economic) • Google Ngram (linguistic/semantic) • CDC (he</t>
  </si>
  <si>
    <t>peace:9, goodness:6, patience:3, kindness:2, faithfulness:2</t>
  </si>
  <si>
    <t>Reader Mode
Standard, Standard, Proof Packet, David Lowe • Theophysics, Samuel Lowe</t>
  </si>
  <si>
    <t>HTMl\K-Production-Ready\03-moral-decline\DEPLOY-READY\90-appendices-, Trans-Domain Analysis, Trans-Domain Analysis of Civilizational Coherence Collapse
, Model, First Lowe</t>
  </si>
  <si>
    <t>American, Americans, Jake, Amish</t>
  </si>
  <si>
    <t>ORG, CARDINAL, WORK_OF_ART, PERSON, QUANTITY, EVENT, DATE, PERCENT, NORP, GPE, TIME, ORDINAL, PRODUCT, MONEY, LAW, LANGUAGE, FAC, LOC</t>
  </si>
  <si>
    <t>---
source_html: "\\dlowenas\HPWorkstation\Desktop\Master HTMl\K-Production-Ready\03-moral-decline\DEPLOY-READY\90-appendices-and-source-packets\MDA-902-appendix-trans-domain-analysis</t>
  </si>
  <si>
    <t>html"
deploy_relative: "90-appendices-and-source-packets\MDA-902-appendix-trans-domain-analysis</t>
  </si>
  <si>
    <t xml:space="preserve">html"
title: "Appendix: Trans-Domain Analysis | Moral Decline of America"
---
Appendix: Trans-Domain Analysis | Moral Decline of America
﻿
Appendix: Trans-Domain Analysis | Moral Decline of America
</t>
  </si>
  <si>
    <t>THE MORAL DECLINE OF AMERICA
“The only variable the math can't predict is whether anyone will choose to be β.”
David Lowe • The Moral Decline of America Project
With Claude (Anthropic), Gemini (Google), and Codex (OpenAI)
Series Index:
Part 1: The Lowe Family • Part 2: The Coherence Factor • Part 3: The Great Decoupling
Part 4: The Constitutional Overlay • Part 5: The Math • Part 6: The Restoration Protocol
23 domains analyzed
p = 0.003
4 civilizations tested
4 kill conditions
330% Amish divergence
← Back to Genesis to Quantum
Related Work
Core article, supporting evidence, and broader context
Ring 1 ï¿½ This Article
The core argument
You are here.</t>
  </si>
  <si>
    <t>DATA SOURCES
• Census Bureau (family, demographics)
• Gallup (trust, religion, polling)
• FBI Uniform Crime Reports (safety)
• College Board (SAT, education)
• Federal Reserve (FRED — economic)
• Google Ngram (linguistic/semantic)
• CDC (health, mortality, substance)
• GSS / ANES (social attitudes)
• Denominational records (religious)
CURVE FITTING
?(t) = ?0 · e−λ(t−t0) + A sin(ωt + φ) + C
• Mean λ = 0.045 ± 0.050
• Median λ = 0.023
• Mean R² &gt; 0.90
• K-S test: p = 0.003
• Inflection point: 1968.9
• 23 domains with sufficient time-series data
• 45 domains scanned total
Kill Conditions
K1
RECOVERY WITHOUT β
If any society recovers from ?</t>
  </si>
  <si>
    <t>Data could have refuted this.</t>
  </si>
  <si>
    <t>The last generation where every subsystem is still roughly aligned.</t>
  </si>
  <si>
    <t>P-e99bba60f06e</t>
  </si>
  <si>
    <t>MDA-903-appendix-series-home.md</t>
  </si>
  <si>
    <t>C:\Users\lowes\Documents\Codex\2026-05-30\okay-let-find-the-open-ai\work\deploy_ready_extracted_md_20260530_220012\MDA-903-appendix-series-home.md</t>
  </si>
  <si>
    <t>2026-05-30T22:03:22.204798</t>
  </si>
  <si>
    <t>C:\Users\lowes\Documents\Codex\2026-05-30\okay-let-find-the-open-ai\outputs\deploy_ready_full_pipeline_20260530\paper_intelligence\snapshots\P-e99bba60f06e_snapshot.json</t>
  </si>
  <si>
    <t>Mode Standard(0.0035) | Standard Current(0.0035) | Reader Mode(0.0052) | Series Home(0.0065) | Academic Method(0.009) | Home Previous(0.0095) | Home Reader(0.0098) | Master HTMl(0.0107) | Standard active(0.0127) | bridge Standard(0.0127) | Easy Plain-language(0.0133) | pressure Standard(0.0138)</t>
  </si>
  <si>
    <t>series home | moral decline | appendix series | decline america | internal alignment | mda appendix</t>
  </si>
  <si>
    <t>appendix series home | moral decline america | mda appendix series | series home moral</t>
  </si>
  <si>
    <t>Appendix: Series Home | Moral Decline of America</t>
  </si>
  <si>
    <t>decoherence</t>
  </si>
  <si>
    <t>If the data doesn't support it, the claim dies.</t>
  </si>
  <si>
    <t>The 1950s had Jim Crow, polio, and nuclear terror.</t>
  </si>
  <si>
    <t>© 2026 David Lowe | Theophysics Research Initiative</t>
  </si>
  <si>
    <t>Each domain is examined with independent evidence in its own chapter.</t>
  </si>
  <si>
    <t>peace:3, love:1, joy:0, patience:0, kindness:0</t>
  </si>
  <si>
    <t>Reader Mode
Standard, Standard, Decoherence, Jim Crow, David Lowe
Theophysics</t>
  </si>
  <si>
    <t>HTMl\K-Production-Ready\03-moral-decline\DEPLOY-READY\90-appendices-, Gallup, Google Ngram, The Mind Loses Carrying Capacity, SAT</t>
  </si>
  <si>
    <t>Americans, American, Conservatives, Amish</t>
  </si>
  <si>
    <t>ORG, CARDINAL, WORK_OF_ART, PERSON, PRODUCT, PERCENT, NORP, DATE, GPE, LAW</t>
  </si>
  <si>
    <t>---
source_html: "\\dlowenas\HPWorkstation\Desktop\Master HTMl\K-Production-Ready\03-moral-decline\DEPLOY-READY\90-appendices-and-source-packets\MDA-903-appendix-series-home</t>
  </si>
  <si>
    <t>html"
deploy_relative: "90-appendices-and-source-packets\MDA-903-appendix-series-home</t>
  </si>
  <si>
    <t>html"
title: "Appendix: Series Home | Moral Decline of America"
---
Appendix: Series Home | Moral Decline of America
﻿
Appendix: Series Home | Moral Decline of America
Home Home
Previous
|
Next
Seri</t>
  </si>
  <si>
    <t>Instead of arguing about whether America is "better" or "worse," 
we examine a structural question: Is American society maintaining coherence — the internal alignment that 
allows a system to function as a unified whole?</t>
  </si>
  <si>
    <t>The Five Domains
Where Decoherence Shows Up
01 Â· Semantic
Words Stop Meaning Stable Things
Google Ngram data shows vocabulary compression.</t>
  </si>
  <si>
    <t>Without shared definitions, coordination becomes impossible.</t>
  </si>
  <si>
    <t>Without stable self-concept, moral consistency becomes impossible.</t>
  </si>
  <si>
    <t>P-1f7fa63b8d1c</t>
  </si>
  <si>
    <t>MDA-904-appendix-sample.md</t>
  </si>
  <si>
    <t>C:\Users\lowes\Documents\Codex\2026-05-30\okay-let-find-the-open-ai\work\deploy_ready_extracted_md_20260530_220012\MDA-904-appendix-sample.md</t>
  </si>
  <si>
    <t>2026-05-30T22:03:23.067462</t>
  </si>
  <si>
    <t>C:\Users\lowes\Documents\Codex\2026-05-30\okay-let-find-the-open-ai\outputs\deploy_ready_full_pipeline_20260530\paper_intelligence\snapshots\P-1f7fa63b8d1c_snapshot.json</t>
  </si>
  <si>
    <t>America Home(0.0028) | Home Home(0.0033) | Home Previous(0.0038) | Home Reader(0.0041) | Mode Standard(0.0041) | Standard Current(0.0041) | Reader Mode(0.0052) | Master HTMl(0.0081) | Academic Method(0.0091) | Standard active(0.0122) | bridge Standard(0.0122) | Easy Plain-language(0.0137)</t>
  </si>
  <si>
    <t>appendix sample | moral decline | mda appendix | sample moral | decline america | appendices and</t>
  </si>
  <si>
    <t>mda appendix sample | appendix sample moral | sample moral decline | moral decline america</t>
  </si>
  <si>
    <t>Appendix: Sample | Moral Decline of America</t>
  </si>
  <si>
    <t>15 + 15 = 100 David Lowe • 2025 Related Work Core article, supporting evidence, and broader context Ring 1 ï¿½ This Article The core argument You are here.</t>
  </si>
  <si>
    <t>Wade ï¿½ Sanctity of life redefined by judicial fiat.</t>
  </si>
  <si>
    <t>Within one generation, every FACTS metric begins declining.</t>
  </si>
  <si>
    <t>love:0, joy:0, peace:0, patience:0, kindness:0</t>
  </si>
  <si>
    <t>HTMl\K-Production-Ready\03-moral-decline\DEPLOY-READY\90-appendices-, Vitale ï¿½, Supreme Court, FACTS, fiat</t>
  </si>
  <si>
    <t>American, Roe v. Wade ï¿½</t>
  </si>
  <si>
    <t>ORG, CARDINAL, PERSON, WORK_OF_ART, PRODUCT, DATE, ORDINAL, LAW, NORP, TIME</t>
  </si>
  <si>
    <t>---
source_html: "\\dlowenas\HPWorkstation\Desktop\Master HTMl\K-Production-Ready\03-moral-decline\DEPLOY-READY\90-appendices-and-source-packets\MDA-904-appendix-sample</t>
  </si>
  <si>
    <t>html"
deploy_relative: "90-appendices-and-source-packets\MDA-904-appendix-sample</t>
  </si>
  <si>
    <t xml:space="preserve">html"
title: "Appendix: Sample | Moral Decline of America"
---
Appendix: Sample | Moral Decline of America
﻿
Appendix: Sample | Moral Decline of America
Home Home
Previous
|
Next
Series Home
Reader </t>
  </si>
  <si>
    <t>15 + 15 = 100
David Lowe • 2025
Related Work
Core article, supporting evidence, and broader context
Ring 1 ï¿½ This Article
The core argument
You are here.</t>
  </si>
  <si>
    <t>﻿
Appendix: Sample | Moral Decline of America
Home Home
Previous
|
Next
Series Home
Reader Mode
Standard active
Easy
Plain-language bridge
Standard
Current article
Academic
Method + caveats
Proof
Proof pressure
Standard is the live article.</t>
  </si>
  <si>
    <t>03
Semantic Collapse
When words lose meaning, consensus becomes impossible.</t>
  </si>
  <si>
    <t>Words like "violence," "safety," and "justice" lose fixed meaning.</t>
  </si>
  <si>
    <t>P-8b7777a9ef8d</t>
  </si>
  <si>
    <t>MDA-905-appendix-timeline.md</t>
  </si>
  <si>
    <t>C:\Users\lowes\Documents\Codex\2026-05-30\okay-let-find-the-open-ai\work\deploy_ready_extracted_md_20260530_220012\MDA-905-appendix-timeline.md</t>
  </si>
  <si>
    <t>2026-05-30T22:03:23.512898</t>
  </si>
  <si>
    <t>C:\Users\lowes\Documents\Codex\2026-05-30\okay-let-find-the-open-ai\outputs\deploy_ready_full_pipeline_20260530\paper_intelligence\snapshots\P-8b7777a9ef8d_snapshot.json</t>
  </si>
  <si>
    <t>Moral Decline(0.0029) | Moral(0.004) | Decline(0.0111) | Master HTMl(0.0123) | Easy Plain-language(0.0134) | Ethics(0.0151) | Political Ethics(0.017) | Academic Method(0.0185) | Authority(0.0204) | Plain-language bridge(0.0211) | Political(0.0216) | Current article(0.0229)</t>
  </si>
  <si>
    <t>moral decline | appendix timeline | and the | decline america | and moral | political ethics</t>
  </si>
  <si>
    <t>moral decline america | mda appendix timeline | appendix timeline moral | timeline moral decline</t>
  </si>
  <si>
    <t>Appendix: Timeline | Moral Decline of America</t>
  </si>
  <si>
    <t>Non-marital births: 5% (1960) → 11% (1970) → 28% (1990) → 41% (2008).21,23 Political Ethics Watergate Scandal (1972–1974) Revealed high-level presidential abuse of power; cemented systemic distrust in political authority.</t>
  </si>
  <si>
    <t>Strict rules on depiction of crime, sexuality, and “immoral” behavior.</t>
  </si>
  <si>
    <t>Ring 3 — Broader Context Related topics across the framework No connections mapped yet.</t>
  </si>
  <si>
    <t>Senate [13] “Hays Code.” Wikipedia [16] “Moral Injury and the Vietnam War.” Psychology Today [18] “Lessons From Watergate.” Center for American Progress [20] “The Pill and the Sexual Revolution.” PBS American Experience [21] “The Rise of Di</t>
  </si>
  <si>
    <t>Platform architecture rewards outrage.38 2010s Data Privacy Institutional Digital Ethics Crises (Cambridge Analytica, 2018) Exposed the use of data for mass psychological and political manipulation.</t>
  </si>
  <si>
    <t>peace:2, goodness:2, patience:1, kindness:1, faithfulness:1</t>
  </si>
  <si>
    <t>Reader Mode
Standard, Standard, Titus Livius, Purity, Epoch</t>
  </si>
  <si>
    <t>HTMl\K-Production-Ready\03-moral-decline\DEPLOY-READY\90-appendices-, Home Home, Authority/Purity, Moral Foundations Theory, Authority</t>
  </si>
  <si>
    <t>Roman, Americans, Fairness, agrarian</t>
  </si>
  <si>
    <t>ORG, CARDINAL, WORK_OF_ART, PERSON, PRODUCT, TIME, EVENT, GPE, NORP, DATE, LOC, PERCENT, LAW</t>
  </si>
  <si>
    <t>---
source_html: "\\dlowenas\HPWorkstation\Desktop\Master HTMl\K-Production-Ready\03-moral-decline\DEPLOY-READY\90-appendices-and-source-packets\MDA-905-appendix-timeline</t>
  </si>
  <si>
    <t>html"
deploy_relative: "90-appendices-and-source-packets\MDA-905-appendix-timeline</t>
  </si>
  <si>
    <t>html"
title: "Appendix: Timeline | Moral Decline of America"
---
Appendix: Timeline | Moral Decline of America
﻿
Appendix: Timeline | Moral Decline of America
Reader Mode
Standard active
Easy
Plain-</t>
  </si>
  <si>
    <t>Academic research analyzing historical records suggests that objective indicators of severe immoral behavior—slavery, conquest, murder, and rape—have decreased significantly over the last few centuries.3
The Illusion of Decline and Cognitive Bias
Sociological analysis strongly supports the conclusion that the belief in societal moral decline constitutes an “illusion.”1 This erroneous belief is reinforced by two powerful cognitive biases: negativity bias (harmful events are more salient) and memory bias (idealizing the past).</t>
  </si>
  <si>
    <t>A large-scale study examining 107 surveys involving four million Americans between 1965 and 2020 found that daily morality—routine behaviors like performing acts of kindness or witnessing incivility—is remarkably stable, fluctuating by less than 0.3%.1
Defining the Shift: From Authority/Purity to Harm/Fairness
According to Moral Foundations Theory (MFT),4 morality is not monolithic.</t>
  </si>
  <si>
    <t>Messages containing moral and emotional words are significantly more likely to be shared.</t>
  </si>
  <si>
    <t>P-1ed5c6caa083</t>
  </si>
  <si>
    <t>MDA-906-appendix-93-year-floor.md</t>
  </si>
  <si>
    <t>C:\Users\lowes\Documents\Codex\2026-05-30\okay-let-find-the-open-ai\work\deploy_ready_extracted_md_20260530_220012\MDA-906-appendix-93-year-floor.md</t>
  </si>
  <si>
    <t>2026-05-30T22:03:25.238820</t>
  </si>
  <si>
    <t>C:\Users\lowes\Documents\Codex\2026-05-30\okay-let-find-the-open-ai\outputs\deploy_ready_full_pipeline_20260530\paper_intelligence\snapshots\P-1ed5c6caa083_snapshot.json</t>
  </si>
  <si>
    <t>America Home(0.0022) | Home Home(0.0022) | Home Reader(0.0035) | Floor(0.0049) | Reader Mode(0.0055) | years(0.009) | Academic Method(0.0096) | Series Home(0.0123) | Easy Plain-language(0.0146) | America(0.0155) | Master HTMl(0.0156) | Genesis(0.0182)</t>
  </si>
  <si>
    <t>the floor | the same | floor the | the curve | year floor | the model</t>
  </si>
  <si>
    <t>the floor the | great great great | appendix the year | the year floor</t>
  </si>
  <si>
    <t>Appendix: The 93-Year Floor | Moral Decline of America</t>
  </si>
  <si>
    <t>thermodynamics, entropy, decoherence</t>
  </si>
  <si>
    <t>Even at maximum entropy accumulation, the floor of common grace holds the human system coupled to the Logos at the minimum level required to sustain biological life.</t>
  </si>
  <si>
    <t>It is the minimum Logos-coupling that human biology requires to function.</t>
  </si>
  <si>
    <t>Goodness of Fit R2 = 0.888 Asymptotic Floor Lfloor ≈ 93 years Now here's the thing I want you to sit with before we interpret it.</t>
  </si>
  <si>
    <t>We fit a decoherence equation to the Genesis data.</t>
  </si>
  <si>
    <t>SECTION I THE RAW DATA Genesis gives us specific numbers.</t>
  </si>
  <si>
    <t>grace:9, peace:4, goodness:2, faithfulness:2, hope:1</t>
  </si>
  <si>
    <t>Reader Mode
Standard, Standard, David Lowe, Jacob14721
Joseph11022
Look, Methuselah</t>
  </si>
  <si>
    <t>HTMl\K-Production-Ready\03-moral-decline\DEPLOY-READY\90-appendices-, BC, Genesis, POF, Pre-Flood Patriarchs</t>
  </si>
  <si>
    <t>Lifespans, Genesis 11, Genesis 3</t>
  </si>
  <si>
    <t>ORG, DATE, CARDINAL, PERSON, WORK_OF_ART, QUANTITY, EVENT, LAW, GPE, PRODUCT, MONEY, PERCENT, NORP, LANGUAGE, ORDINAL, FAC, TIME</t>
  </si>
  <si>
    <t>---
source_html: "\\dlowenas\HPWorkstation\Desktop\Master HTMl\K-Production-Ready\03-moral-decline\DEPLOY-READY\90-appendices-and-source-packets\MDA-906-appendix-93-year-floor</t>
  </si>
  <si>
    <t>html"
deploy_relative: "90-appendices-and-source-packets\MDA-906-appendix-93-year-floor</t>
  </si>
  <si>
    <t>html"
title: "Appendix: The 93-Year Floor | Moral Decline of America"
---
Appendix: The 93-Year Floor | Moral Decline of America
﻿
Appendix: The 93-Year Floor | Moral Decline of America
Home Home
Pr</t>
  </si>
  <si>
    <t>David Lowe · POF 2828 · Theophysics Research Program
The Convergence Series · March 2026
"The days of our years are threescore years and ten; and if by reason of strength they be fourscore years, yet is their strength labour and sorrow; for it is soon cut off, and we fly away."
— Psalm 90:10
"LORD, you have been our dwelling place throughout all generations."
— Psalm 90:1
Ï‡ = ∭(G·M·E·S·T·K·R·Q·F·C) dx dy dt
POF 2828 · Theophysics · David Lowe · 15 + 15 = 100
Related Work
Core article, supporting evidence, and broader context
Ring 1 â€” This Article
The core argument
You are here.</t>
  </si>
  <si>
    <t>Then:
"The days of our years are threescore years and ten; and if by reason of strength they be fourscore years, yet is their strength labour and sorrow; for it is soon cut off, and we fly away."
The floor.</t>
  </si>
  <si>
    <t>A gradual erosion produces a roughly straight downward line.</t>
  </si>
  <si>
    <t>He always was closer than the model.</t>
  </si>
  <si>
    <t>timestamp</t>
  </si>
  <si>
    <t>original_column_name</t>
  </si>
  <si>
    <t>original_sheet</t>
  </si>
  <si>
    <t>original_col_index</t>
  </si>
  <si>
    <t>new_sheet</t>
  </si>
  <si>
    <t>new_col_or_cell</t>
  </si>
  <si>
    <t>change_type</t>
  </si>
  <si>
    <t>notes</t>
  </si>
  <si>
    <t>--- CHANGE TYPE LEGEND ---</t>
  </si>
  <si>
    <t>MOVED_TO_DASHBOARD</t>
  </si>
  <si>
    <t>Column surfaced on DASHBOARD sheet as a key metric</t>
  </si>
  <si>
    <t>HIDDEN</t>
  </si>
  <si>
    <t>Column hidden in ALL_METRICS (data still there)</t>
  </si>
  <si>
    <t>GROUPED</t>
  </si>
  <si>
    <t>Columns grouped under a collapsible section header</t>
  </si>
  <si>
    <t>RENAMED_DISPLAY</t>
  </si>
  <si>
    <t>Display label changed; original column name unchanged in row 2</t>
  </si>
  <si>
    <t>REORDERED</t>
  </si>
  <si>
    <t>Column moved to a new position within ALL_METRICS</t>
  </si>
  <si>
    <t>--- CHANGE LOG (newest first) ---</t>
  </si>
  <si>
    <t>Paper Intelligence — Academic Dashboard</t>
  </si>
  <si>
    <t>Series: MDA | Run: 20260530_220100 | Schema: 2026.04.07-B | 61 papers analyzed</t>
  </si>
  <si>
    <t>IDENTITY</t>
  </si>
  <si>
    <t>WRITING QUALITY</t>
  </si>
  <si>
    <t>ACADEMIC RIGOR</t>
  </si>
  <si>
    <t>THEOPHYSICS (L3)</t>
  </si>
  <si>
    <t>MORAL / SPIRITUAL (L6)</t>
  </si>
  <si>
    <t>EMOTION (L8)</t>
  </si>
  <si>
    <t>IDEA DENSITY (L10)</t>
  </si>
  <si>
    <t>Article</t>
  </si>
  <si>
    <t>Paper ID</t>
  </si>
  <si>
    <t>Word Count</t>
  </si>
  <si>
    <t>Type-Token Ratio</t>
  </si>
  <si>
    <t>Avg Words/Sentence</t>
  </si>
  <si>
    <t>Passive Voice %</t>
  </si>
  <si>
    <t>Argument Grade</t>
  </si>
  <si>
    <t>Flow Label</t>
  </si>
  <si>
    <t>Academic Grade</t>
  </si>
  <si>
    <t>Citation Count</t>
  </si>
  <si>
    <t>Evidence:Claim Ratio</t>
  </si>
  <si>
    <t>Falsifiability Density</t>
  </si>
  <si>
    <t>Hedge:Absolute Ratio</t>
  </si>
  <si>
    <t>Rubric Score /100</t>
  </si>
  <si>
    <t>χ Score</t>
  </si>
  <si>
    <t>χ Status</t>
  </si>
  <si>
    <t>Wisdom Score</t>
  </si>
  <si>
    <t>Knowledge Score</t>
  </si>
  <si>
    <t>W:K Ratio</t>
  </si>
  <si>
    <t>Dominant Fruit</t>
  </si>
  <si>
    <t>Truth Score</t>
  </si>
  <si>
    <t>Coherence Score</t>
  </si>
  <si>
    <t>Fruit Integrity</t>
  </si>
  <si>
    <t>Character Posture</t>
  </si>
  <si>
    <t>Fruit Emo Composite</t>
  </si>
  <si>
    <t>Anti-Emo Composite</t>
  </si>
  <si>
    <t>Net Emotional</t>
  </si>
  <si>
    <t>Dominant Emotion</t>
  </si>
  <si>
    <t>Idea Density (mean)</t>
  </si>
  <si>
    <t>Density Level</t>
  </si>
  <si>
    <t>ALL_METRICS::paper_id</t>
  </si>
  <si>
    <t>ALL_METRICS::PA_s_word_count</t>
  </si>
  <si>
    <t>ALL_METRICS::PA_s_ttr</t>
  </si>
  <si>
    <t>ALL_METRICS::PA_s_avg_words_per_sentence</t>
  </si>
  <si>
    <t>ALL_METRICS::PA_g_passive_pct</t>
  </si>
  <si>
    <t>ALL_METRICS::PA_a_argument_grade</t>
  </si>
  <si>
    <t>ALL_METRICS::PA_f_flow_label</t>
  </si>
  <si>
    <t>ALL_METRICS::L2_academic_grade</t>
  </si>
  <si>
    <t>ALL_METRICS::L2_citation_count</t>
  </si>
  <si>
    <t>ALL_METRICS::L2_evidence_to_claim_ratio</t>
  </si>
  <si>
    <t>ALL_METRICS::L2_falsifiability_density_per1k</t>
  </si>
  <si>
    <t>ALL_METRICS::L2_hedge_to_absolute_ratio</t>
  </si>
  <si>
    <t>ALL_METRICS::L2_academic_rubric_total</t>
  </si>
  <si>
    <t>ALL_METRICS::L3_chi_score</t>
  </si>
  <si>
    <t>ALL_METRICS::L3_chi_status</t>
  </si>
  <si>
    <t>ALL_METRICS::L3_wisdom_score</t>
  </si>
  <si>
    <t>ALL_METRICS::L3_knowledge_score</t>
  </si>
  <si>
    <t>ALL_METRICS::L3_wk_ratio</t>
  </si>
  <si>
    <t>ALL_METRICS::L3_dominant_fruit</t>
  </si>
  <si>
    <t>ALL_METRICS::L6_truth_score</t>
  </si>
  <si>
    <t>ALL_METRICS::L6_coherence_score</t>
  </si>
  <si>
    <t>ALL_METRICS::L6_fruit_integrity_score</t>
  </si>
  <si>
    <t>ALL_METRICS::L6_character_posture</t>
  </si>
  <si>
    <t>ALL_METRICS::L8_fruit_emo_composite</t>
  </si>
  <si>
    <t>ALL_METRICS::L8_anti_emo_composite</t>
  </si>
  <si>
    <t>ALL_METRICS::L8_fruit_emo_net</t>
  </si>
  <si>
    <t>ALL_METRICS::L8_emo_dominant</t>
  </si>
  <si>
    <t>ALL_METRICS::L10_idea_density_mean</t>
  </si>
  <si>
    <t>ALL_METRICS::L10_idea_density_level</t>
  </si>
  <si>
    <t>⬆ SOURCE MAPPING (Python reads this row)</t>
  </si>
  <si>
    <t>ALL_METRICS</t>
  </si>
  <si>
    <t>B</t>
  </si>
  <si>
    <t>DASHBOARD</t>
  </si>
  <si>
    <t>A</t>
  </si>
  <si>
    <t>Article name (filename). Full path still in ALL_METRICS col B</t>
  </si>
  <si>
    <t>Paper identifier</t>
  </si>
  <si>
    <t>J</t>
  </si>
  <si>
    <t>C</t>
  </si>
  <si>
    <t>Total word count</t>
  </si>
  <si>
    <t>L</t>
  </si>
  <si>
    <t>D</t>
  </si>
  <si>
    <t>Type-Token Ratio — lexical diversity (0-1)</t>
  </si>
  <si>
    <t>P</t>
  </si>
  <si>
    <t>E</t>
  </si>
  <si>
    <t>Avg words/sentence — sentence complexity</t>
  </si>
  <si>
    <t>X</t>
  </si>
  <si>
    <t>F</t>
  </si>
  <si>
    <t>Passive voice % — academic register signal</t>
  </si>
  <si>
    <t>AT</t>
  </si>
  <si>
    <t>G</t>
  </si>
  <si>
    <t>Argument quality grade (letter)</t>
  </si>
  <si>
    <t>AW</t>
  </si>
  <si>
    <t>H</t>
  </si>
  <si>
    <t>Prose flow label</t>
  </si>
  <si>
    <t>ED</t>
  </si>
  <si>
    <t>I</t>
  </si>
  <si>
    <t>Academic rigor letter grade</t>
  </si>
  <si>
    <t>CD</t>
  </si>
  <si>
    <t>Total citation count</t>
  </si>
  <si>
    <t>DC</t>
  </si>
  <si>
    <t>K</t>
  </si>
  <si>
    <t>Evidence:claim ratio — grounding quality</t>
  </si>
  <si>
    <t>DE</t>
  </si>
  <si>
    <t>Falsifiability markers per 1000 words</t>
  </si>
  <si>
    <t>DJ</t>
  </si>
  <si>
    <t>M</t>
  </si>
  <si>
    <t>Hedge:absolute ratio — epistemic calibration</t>
  </si>
  <si>
    <t>EB</t>
  </si>
  <si>
    <t>N</t>
  </si>
  <si>
    <t>Academic rubric total score /100</t>
  </si>
  <si>
    <t>EE</t>
  </si>
  <si>
    <t>O</t>
  </si>
  <si>
    <t>Theophysics χ coherence score</t>
  </si>
  <si>
    <t>EF</t>
  </si>
  <si>
    <t>χ status label</t>
  </si>
  <si>
    <t>EG</t>
  </si>
  <si>
    <t>Q</t>
  </si>
  <si>
    <t>Wisdom score (L3)</t>
  </si>
  <si>
    <t>EH</t>
  </si>
  <si>
    <t>R</t>
  </si>
  <si>
    <t>Knowledge score (L3)</t>
  </si>
  <si>
    <t>EI</t>
  </si>
  <si>
    <t>S</t>
  </si>
  <si>
    <t>Wisdom:Knowledge ratio</t>
  </si>
  <si>
    <t>EL</t>
  </si>
  <si>
    <t>T</t>
  </si>
  <si>
    <t>Dominant fruit of the Spirit detected</t>
  </si>
  <si>
    <t>FN</t>
  </si>
  <si>
    <t>U</t>
  </si>
  <si>
    <t>Truth score (L6 moral analysis)</t>
  </si>
  <si>
    <t>FO</t>
  </si>
  <si>
    <t>V</t>
  </si>
  <si>
    <t>Coherence score (L6)</t>
  </si>
  <si>
    <t>FY</t>
  </si>
  <si>
    <t>W</t>
  </si>
  <si>
    <t>Fruit integrity score (L6)</t>
  </si>
  <si>
    <t>JD</t>
  </si>
  <si>
    <t>Character posture classification (L6)</t>
  </si>
  <si>
    <t>LI</t>
  </si>
  <si>
    <t>Y</t>
  </si>
  <si>
    <t>Fruit emotion composite (L8 NRC+GoEmotions)</t>
  </si>
  <si>
    <t>LJ</t>
  </si>
  <si>
    <t>Z</t>
  </si>
  <si>
    <t>Anti-fruit emotion composite (L8)</t>
  </si>
  <si>
    <t>LK</t>
  </si>
  <si>
    <t>AA</t>
  </si>
  <si>
    <t>Net emotional score (fruit minus anti)</t>
  </si>
  <si>
    <t>LL</t>
  </si>
  <si>
    <t>AB</t>
  </si>
  <si>
    <t>Dominant emotion detected</t>
  </si>
  <si>
    <t>LX</t>
  </si>
  <si>
    <t>AC</t>
  </si>
  <si>
    <t>Mean idea/propositional density</t>
  </si>
  <si>
    <t>ME</t>
  </si>
  <si>
    <t>AD</t>
  </si>
  <si>
    <t>Idea density level label</t>
  </si>
  <si>
    <t>P-d03a0e6c62da</t>
  </si>
  <si>
    <t>SERIES-8fe9ab9f87</t>
  </si>
  <si>
    <t>20260604_224847</t>
  </si>
  <si>
    <t>\\dlowenas\brain\WORKFLOWS\MDA-PUBLICATION\01_LOSSLESS\articles\MDA-001-story-introduction.md</t>
  </si>
  <si>
    <t>2026-06-04T22:48:47.779283</t>
  </si>
  <si>
    <t>X:\WORKFLOWS\MDA-PUBLICATION\03_SCORED\local-nlp\MDA-001-test\grader\snapshots\P-d03a0e6c62da_snapshot.json</t>
  </si>
  <si>
    <t>L1:ok,L10:ok,L13:skipped,L2:ok,L3:ok,L4:skipped,L5:ok,L6:ok,L8:ok,L9:ok,PA:ok</t>
  </si>
  <si>
    <t>Moral Decline(0.0013) | Master HTMl(0.0153) | main(0.0217) | Decline(0.0253) | Story(0.0254) | Moral(0.0258) | Main Index(0.0272) | LOWE(0.0288) | American Story(0.0303) | full source(0.0305) | Story Illustration(0.0348) | Samuel(0.0362)</t>
  </si>
  <si>
    <t>the father | lowe the | the son | the truth | truth and | moral decline</t>
  </si>
  <si>
    <t>the truth and | was once imposed | moral decline america | jacob jake lowe</t>
  </si>
  <si>
    <t>An American Story in Six Generations</t>
  </si>
  <si>
    <t>## The Technology Thread Each generation lives inside a different technological environment: | Era | Technology | Pace | Silence | | --- | --- | --- | --- | | 1900 | None | Walk pace; 6-mile journey to see a girl | Total; stars and crickets</t>
  </si>
  <si>
    <t>![Story Illustration](../images/mda/Phantom_Money_Phantom_Morals conv 12.webp) Each of these requires time and structure to develop.</t>
  </si>
  <si>
    <t>Part I: Samuel (1900) - The Baseline 2.</t>
  </si>
  <si>
    <t>## Related Work Core article, supporting evidence, and broader context Ring 1 â€” This Article The core argument You are here.</t>
  </si>
  <si>
    <t>WISDOM-LED</t>
  </si>
  <si>
    <t>goodness:4, love:2, peace:2, patience:2, faithfulness:2</t>
  </si>
  <si>
    <t>Story Illustration, Henry Lowe, Tom" Lowe, Jacob "Jake" Lowe, Samuel</t>
  </si>
  <si>
    <t>HTMl\K-Production-Ready\03, Choice, Delta, The Thesis
Behavior, Radio</t>
  </si>
  <si>
    <t>ORG, DATE, WORK_OF_ART, PERSON, CARDINAL, NORP, QUANTITY, LOC, GPE, ORDINAL, PRODUCT, TIME</t>
  </si>
  <si>
    <t>---
scrape_mode: markitdown_full
source_path: "\\dlowenas\HPWorkstation\Desktop\Master HTMl\K-Production-Ready\03-moral-decline\MDA-001-story-introduction</t>
  </si>
  <si>
    <t>html"
source_sha256: 984af80588299caa39a10c1631fe5864254af12e2f5d40a8a508bde5940ffdd9
title: "Introduction () -- The Moral Decline of America"
main_selector: "main"
scraped_at: "2026-05-25T13:22:46"
-</t>
  </si>
  <si>
    <t>It is a story about structure - the invisible architecture that holds a society together, and what happens when that architecture is removed</t>
  </si>
  <si>
    <t>agitated or reactionary; charitable; disciplined; morally unstable; technically strong, spiritually ordered</t>
  </si>
  <si>
    <t>**Delta is small.**
* -Bill tells Tom the truth, and *Tom feels the gap.* **Delta is growing.**
* -Tom tells Jake almost nothing - because what can he say?</t>
  </si>
  <si>
    <t>![Story Illustration](../images/mda/Phantom_Money_Phantom_Morals conv 12.webp)
Each of these requires time and structure to develop.</t>
  </si>
  <si>
    <t>Each man facing the same fundamental questions: *Who will I marry?</t>
  </si>
  <si>
    <t>positive:0.301, trust:0.205, anticipation:0.102, negative:0.096, fear:0.078</t>
  </si>
  <si>
    <t>confusion:0.065, curiosity:0.065, optimism:0.015, realization:0.013, approval:0.007</t>
  </si>
  <si>
    <t>confusion</t>
  </si>
  <si>
    <t>faithfulness</t>
  </si>
  <si>
    <t>ALL_METRICS (2) → ALL_METRICS row 63</t>
  </si>
  <si>
    <t>ALL_METRICS (2)</t>
  </si>
  <si>
    <t>A2</t>
  </si>
  <si>
    <t>A63</t>
  </si>
  <si>
    <t>APPEND_ROW</t>
  </si>
  <si>
    <t>New paper P-d03a0e6c62da (MDA-001-story-introduction.md) merged. 336/343 cols matched. 100 new columns in schema 2026.04.07-B not yet in ALL_METRICS — added to gaps for next schema sync.</t>
  </si>
  <si>
    <t>Schema drift detected</t>
  </si>
  <si>
    <t>SCHEMA_NOTE</t>
  </si>
  <si>
    <t>New schema has 100 cols not in original ALL_METRICS (e.g. PA_sm_topic_drift_*, L1_readability_*, L3_anti_fruits_*, L8_emo_* GoEmotions expanded). Python should add these cols when it next runs a full batch.</t>
  </si>
  <si>
    <t>PAPER INTELLIGENCE  —  SINGLE PAPER SCORECARD</t>
  </si>
  <si>
    <t>Paper row # in ALL_METRICS →</t>
  </si>
  <si>
    <t>Metric</t>
  </si>
  <si>
    <t>This Paper</t>
  </si>
  <si>
    <t>Series Avg (n=61)</t>
  </si>
  <si>
    <t>Rank in Series</t>
  </si>
  <si>
    <t>✍  WRITING QUALITY</t>
  </si>
  <si>
    <t>Type-Token Ratio (lexical diversity)</t>
  </si>
  <si>
    <t>Avg Words per Sentence</t>
  </si>
  <si>
    <t>Flesch-Kincaid Grade</t>
  </si>
  <si>
    <t>Reading Time (min)</t>
  </si>
  <si>
    <t>🎓  ACADEMIC RIGOR  (L2)</t>
  </si>
  <si>
    <t>Academic Rubric Score /100</t>
  </si>
  <si>
    <t>Evidence-to-Claim Ratio</t>
  </si>
  <si>
    <t>Falsifiability Density /1k words</t>
  </si>
  <si>
    <t>Hedge-to-Absolute Ratio</t>
  </si>
  <si>
    <t>Counterargument Count</t>
  </si>
  <si>
    <t>Novelty Marker Count</t>
  </si>
  <si>
    <t>⚛  THEOPHYSICS  (L3)</t>
  </si>
  <si>
    <t>χ (Chi) Coherence Score</t>
  </si>
  <si>
    <t>Wisdom:Knowledge Ratio</t>
  </si>
  <si>
    <t>Dominant Fruit of the Spirit</t>
  </si>
  <si>
    <t>ME Avg Score (Master Equation)</t>
  </si>
  <si>
    <t>Scripture References</t>
  </si>
  <si>
    <t>Cross-Domain Bridges</t>
  </si>
  <si>
    <t>🌿  MORAL &amp; SPIRITUAL POSTURE  (L6)</t>
  </si>
  <si>
    <t>Fruit Integrity Score</t>
  </si>
  <si>
    <t>Anti-Fruit Pressure</t>
  </si>
  <si>
    <t>Warmth Score</t>
  </si>
  <si>
    <t>Discipline Score</t>
  </si>
  <si>
    <t>Anchored Claims</t>
  </si>
  <si>
    <t>Overstated Claims</t>
  </si>
  <si>
    <t>❤  EMOTION PROFILE  (L8)</t>
  </si>
  <si>
    <t>Fruit Emotion Composite</t>
  </si>
  <si>
    <t>Anti-Emotion Composite</t>
  </si>
  <si>
    <t>Net Emotional Score</t>
  </si>
  <si>
    <t>NRC Trust</t>
  </si>
  <si>
    <t>NRC Positive</t>
  </si>
  <si>
    <t>NRC Negative</t>
  </si>
  <si>
    <t>💡  IDEA DENSITY  (L10)</t>
  </si>
  <si>
    <t>Mean Idea Density</t>
  </si>
  <si>
    <t>Idea Density Level</t>
  </si>
  <si>
    <t>Total Propositions</t>
  </si>
  <si>
    <t>Paragraphs Analyzed</t>
  </si>
  <si>
    <t>SOURCE: ALL_METRICS  |  DASHBOARD tab for multi-paper view  |  CHANGELOG for column tracking</t>
  </si>
  <si>
    <t xml:space="preserve">  ← auto-tracks latest paper  |  override with any row number (2 = first paper) to pin a specific paper</t>
  </si>
  <si>
    <t>COMPOSITE SCORES  —  derived from raw metrics  |  0–100 scale</t>
  </si>
  <si>
    <t>✍ Writing</t>
  </si>
  <si>
    <t>🎓 Acad. Rigor</t>
  </si>
  <si>
    <t>⚛ Theophysics</t>
  </si>
  <si>
    <t>🌿 Moral</t>
  </si>
  <si>
    <t>❤ Emotion</t>
  </si>
  <si>
    <t>💡 Idea Density</t>
  </si>
  <si>
    <t>★ OVERALL</t>
  </si>
  <si>
    <t>COMPOSITE SCORES — All Papers</t>
  </si>
  <si>
    <t>Writing</t>
  </si>
  <si>
    <t>Acad. Rigor</t>
  </si>
  <si>
    <t>Theophysics</t>
  </si>
  <si>
    <t>Moral</t>
  </si>
  <si>
    <t>Emotion</t>
  </si>
  <si>
    <t>Idea Density</t>
  </si>
  <si>
    <t>OVERALL</t>
  </si>
  <si>
    <t>Acad. Grade</t>
  </si>
  <si>
    <t>SERIES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</si>
</sst>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1"/>
      <color rgb="FFFFFFFF"/>
      <name val="Calibri"/>
      <family val="2"/>
      <scheme val="minor"/>
    </font>
    <font>
      <b/>
      <sz val="11"/>
      <color rgb="FF7F7F7F"/>
      <name val="Calibri"/>
      <family val="2"/>
      <scheme val="minor"/>
    </font>
    <font>
      <i/>
      <sz val="11"/>
      <color rgb="FF595959"/>
      <name val="Calibri"/>
      <family val="2"/>
      <scheme val="minor"/>
    </font>
    <font>
      <b/>
      <i/>
      <sz val="11"/>
      <color rgb="FF1F3864"/>
      <name val="Calibri"/>
      <family val="2"/>
      <scheme val="minor"/>
    </font>
    <font>
      <b/>
      <sz val="16"/>
      <color rgb="FF1F3864"/>
      <name val="Calibri"/>
      <family val="2"/>
      <scheme val="minor"/>
    </font>
    <font>
      <i/>
      <sz val="10"/>
      <color rgb="FF595959"/>
      <name val="Calibri"/>
      <family val="2"/>
      <scheme val="minor"/>
    </font>
    <font>
      <b/>
      <sz val="9"/>
      <color theme="1"/>
      <name val="Calibri"/>
      <family val="2"/>
      <scheme val="minor"/>
    </font>
    <font>
      <i/>
      <sz val="8"/>
      <color rgb="FF7F7F7F"/>
      <name val="Calibri"/>
      <family val="2"/>
      <scheme val="minor"/>
    </font>
    <font>
      <b/>
      <i/>
      <sz val="8"/>
      <color rgb="FFC55A11"/>
      <name val="Calibri"/>
      <family val="2"/>
      <scheme val="minor"/>
    </font>
    <font>
      <sz val="9"/>
      <color theme="1"/>
      <name val="Calibri"/>
      <family val="2"/>
      <scheme val="minor"/>
    </font>
    <font>
      <b/>
      <sz val="11"/>
      <color rgb="FF156082"/>
      <name val="Calibri"/>
      <family val="2"/>
      <scheme val="minor"/>
    </font>
    <font>
      <b/>
      <sz val="8"/>
      <color rgb="FFFFFFFF"/>
      <name val="Calibri"/>
    </font>
    <font>
      <b/>
      <sz val="11"/>
      <color rgb="FFC55A11"/>
      <name val="Calibri"/>
      <family val="2"/>
      <scheme val="minor"/>
    </font>
    <font>
      <b/>
      <sz val="14"/>
      <color rgb="FFFFFFFF"/>
      <name val="Calibri"/>
      <family val="2"/>
      <scheme val="minor"/>
    </font>
    <font>
      <b/>
      <sz val="9"/>
      <color rgb="FFBDD7EE"/>
      <name val="Calibri"/>
      <family val="2"/>
      <scheme val="minor"/>
    </font>
    <font>
      <b/>
      <sz val="11"/>
      <color rgb="FF1F3864"/>
      <name val="Calibri"/>
      <family val="2"/>
      <scheme val="minor"/>
    </font>
    <font>
      <i/>
      <sz val="8"/>
      <color rgb="FFBDD7EE"/>
      <name val="Calibri"/>
      <family val="2"/>
      <scheme val="minor"/>
    </font>
    <font>
      <i/>
      <sz val="9"/>
      <color rgb="FF9DC3E6"/>
      <name val="Calibri"/>
      <family val="2"/>
      <scheme val="minor"/>
    </font>
    <font>
      <sz val="9"/>
      <color rgb="FF9DC3E6"/>
      <name val="Calibri"/>
      <family val="2"/>
      <scheme val="minor"/>
    </font>
    <font>
      <b/>
      <sz val="8"/>
      <color rgb="FF1F3864"/>
      <name val="Calibri"/>
      <family val="2"/>
      <scheme val="minor"/>
    </font>
    <font>
      <b/>
      <sz val="10"/>
      <color rgb="FFFFFFFF"/>
      <name val="Calibri"/>
      <family val="2"/>
      <scheme val="minor"/>
    </font>
    <font>
      <sz val="9"/>
      <color rgb="FF595959"/>
      <name val="Calibri"/>
      <family val="2"/>
      <scheme val="minor"/>
    </font>
    <font>
      <i/>
      <sz val="9"/>
      <color rgb="FF4472C4"/>
      <name val="Calibri"/>
      <family val="2"/>
      <scheme val="minor"/>
    </font>
    <font>
      <i/>
      <sz val="8"/>
      <color rgb="FF9DC3E6"/>
      <name val="Calibri"/>
      <family val="2"/>
      <scheme val="minor"/>
    </font>
    <font>
      <b/>
      <i/>
      <sz val="9"/>
      <color rgb="FF9DC3E6"/>
      <name val="Calibri"/>
      <family val="2"/>
      <scheme val="minor"/>
    </font>
    <font>
      <b/>
      <sz val="9"/>
      <color rgb="FFFFFFFF"/>
      <name val="Calibri"/>
      <family val="2"/>
      <scheme val="minor"/>
    </font>
    <font>
      <b/>
      <i/>
      <sz val="9"/>
      <color rgb="FFFFFFFF"/>
      <name val="Calibri"/>
      <family val="2"/>
      <scheme val="minor"/>
    </font>
    <font>
      <b/>
      <sz val="22"/>
      <color rgb="FF156082"/>
      <name val="Calibri"/>
      <family val="2"/>
      <scheme val="minor"/>
    </font>
    <font>
      <b/>
      <sz val="22"/>
      <color rgb="FF1F3864"/>
      <name val="Calibri"/>
      <family val="2"/>
      <scheme val="minor"/>
    </font>
    <font>
      <b/>
      <sz val="22"/>
      <color rgb="FF4B2E83"/>
      <name val="Calibri"/>
      <family val="2"/>
      <scheme val="minor"/>
    </font>
    <font>
      <b/>
      <sz val="22"/>
      <color rgb="FF375623"/>
      <name val="Calibri"/>
      <family val="2"/>
      <scheme val="minor"/>
    </font>
    <font>
      <b/>
      <sz val="22"/>
      <color rgb="FF7B2D2D"/>
      <name val="Calibri"/>
      <family val="2"/>
      <scheme val="minor"/>
    </font>
    <font>
      <b/>
      <sz val="22"/>
      <color rgb="FF595959"/>
      <name val="Calibri"/>
      <family val="2"/>
      <scheme val="minor"/>
    </font>
    <font>
      <b/>
      <i/>
      <sz val="28"/>
      <color rgb="FF1F3864"/>
      <name val="Calibri"/>
      <family val="2"/>
      <scheme val="minor"/>
    </font>
    <font>
      <b/>
      <i/>
      <sz val="8"/>
      <color rgb="FF9DC3E6"/>
      <name val="Calibri"/>
      <family val="2"/>
      <scheme val="minor"/>
    </font>
    <font>
      <b/>
      <sz val="10"/>
      <color theme="1"/>
      <name val="Calibri"/>
      <family val="2"/>
      <scheme val="minor"/>
    </font>
  </fonts>
  <fills count="22">
    <fill>
      <patternFill patternType="none"/>
    </fill>
    <fill>
      <patternFill patternType="gray125"/>
    </fill>
    <fill>
      <patternFill patternType="solid">
        <fgColor rgb="FF1F3864"/>
        <bgColor indexed="64"/>
      </patternFill>
    </fill>
    <fill>
      <patternFill patternType="solid">
        <fgColor rgb="FF44546A"/>
        <bgColor indexed="64"/>
      </patternFill>
    </fill>
    <fill>
      <patternFill patternType="solid">
        <fgColor rgb="FF156082"/>
        <bgColor indexed="64"/>
      </patternFill>
    </fill>
    <fill>
      <patternFill patternType="solid">
        <fgColor rgb="FF4B2E83"/>
        <bgColor indexed="64"/>
      </patternFill>
    </fill>
    <fill>
      <patternFill patternType="solid">
        <fgColor rgb="FF375623"/>
        <bgColor indexed="64"/>
      </patternFill>
    </fill>
    <fill>
      <patternFill patternType="solid">
        <fgColor rgb="FF833232"/>
        <bgColor indexed="64"/>
      </patternFill>
    </fill>
    <fill>
      <patternFill patternType="solid">
        <fgColor rgb="FF595959"/>
        <bgColor indexed="64"/>
      </patternFill>
    </fill>
    <fill>
      <patternFill patternType="solid">
        <fgColor rgb="FFF2F2F2"/>
        <bgColor indexed="64"/>
      </patternFill>
    </fill>
    <fill>
      <patternFill patternType="solid">
        <fgColor rgb="FFFFFBF0"/>
        <bgColor indexed="64"/>
      </patternFill>
    </fill>
    <fill>
      <patternFill patternType="solid">
        <fgColor rgb="FFF7F9FC"/>
        <bgColor indexed="64"/>
      </patternFill>
    </fill>
    <fill>
      <patternFill patternType="solid">
        <fgColor rgb="FFFFFFFF"/>
        <bgColor indexed="64"/>
      </patternFill>
    </fill>
    <fill>
      <patternFill patternType="solid">
        <fgColor rgb="FF4472C4"/>
        <bgColor indexed="64"/>
      </patternFill>
    </fill>
    <fill>
      <patternFill patternType="solid">
        <fgColor rgb="FF7B7B00"/>
        <bgColor indexed="64"/>
      </patternFill>
    </fill>
    <fill>
      <patternFill patternType="solid">
        <fgColor rgb="FF7B2D2D"/>
        <bgColor indexed="64"/>
      </patternFill>
    </fill>
    <fill>
      <patternFill patternType="solid">
        <fgColor rgb="FF203864"/>
        <bgColor indexed="64"/>
      </patternFill>
    </fill>
    <fill>
      <patternFill patternType="solid">
        <fgColor rgb="FF2E4B7A"/>
        <bgColor indexed="64"/>
      </patternFill>
    </fill>
    <fill>
      <patternFill patternType="solid">
        <fgColor rgb="FFFFFF00"/>
        <bgColor indexed="64"/>
      </patternFill>
    </fill>
    <fill>
      <patternFill patternType="solid">
        <fgColor rgb="FFD6E4F0"/>
        <bgColor indexed="64"/>
      </patternFill>
    </fill>
    <fill>
      <patternFill patternType="solid">
        <fgColor rgb="FF0D1F3C"/>
        <bgColor indexed="64"/>
      </patternFill>
    </fill>
    <fill>
      <patternFill patternType="solid">
        <fgColor rgb="FFF2F6FB"/>
        <bgColor indexed="64"/>
      </patternFill>
    </fill>
  </fills>
  <borders count="29">
    <border>
      <left/>
      <right/>
      <top/>
      <bottom/>
      <diagonal/>
    </border>
    <border>
      <left/>
      <right/>
      <top style="medium">
        <color auto="1"/>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style="medium">
        <color rgb="FF44546A"/>
      </right>
      <top/>
      <bottom style="thin">
        <color rgb="FFD9D9D9"/>
      </bottom>
      <diagonal/>
    </border>
    <border>
      <left style="thin">
        <color rgb="FFD9D9D9"/>
      </left>
      <right style="medium">
        <color rgb="FF44546A"/>
      </right>
      <top style="thin">
        <color rgb="FFD9D9D9"/>
      </top>
      <bottom style="thin">
        <color rgb="FFD9D9D9"/>
      </bottom>
      <diagonal/>
    </border>
    <border>
      <left style="thin">
        <color rgb="FFD9D9D9"/>
      </left>
      <right style="medium">
        <color rgb="FF44546A"/>
      </right>
      <top style="thin">
        <color rgb="FFD9D9D9"/>
      </top>
      <bottom/>
      <diagonal/>
    </border>
    <border>
      <left style="thin">
        <color rgb="FFD9D9D9"/>
      </left>
      <right style="medium">
        <color rgb="FF156082"/>
      </right>
      <top/>
      <bottom style="thin">
        <color rgb="FFD9D9D9"/>
      </bottom>
      <diagonal/>
    </border>
    <border>
      <left style="thin">
        <color rgb="FFD9D9D9"/>
      </left>
      <right style="medium">
        <color rgb="FF156082"/>
      </right>
      <top style="thin">
        <color rgb="FFD9D9D9"/>
      </top>
      <bottom style="thin">
        <color rgb="FFD9D9D9"/>
      </bottom>
      <diagonal/>
    </border>
    <border>
      <left style="thin">
        <color rgb="FFD9D9D9"/>
      </left>
      <right style="medium">
        <color rgb="FF156082"/>
      </right>
      <top style="thin">
        <color rgb="FFD9D9D9"/>
      </top>
      <bottom/>
      <diagonal/>
    </border>
    <border>
      <left style="thin">
        <color rgb="FFD9D9D9"/>
      </left>
      <right style="medium">
        <color rgb="FF1F3864"/>
      </right>
      <top/>
      <bottom style="thin">
        <color rgb="FFD9D9D9"/>
      </bottom>
      <diagonal/>
    </border>
    <border>
      <left style="thin">
        <color rgb="FFD9D9D9"/>
      </left>
      <right style="medium">
        <color rgb="FF1F3864"/>
      </right>
      <top style="thin">
        <color rgb="FFD9D9D9"/>
      </top>
      <bottom style="thin">
        <color rgb="FFD9D9D9"/>
      </bottom>
      <diagonal/>
    </border>
    <border>
      <left style="thin">
        <color rgb="FFD9D9D9"/>
      </left>
      <right style="medium">
        <color rgb="FF1F3864"/>
      </right>
      <top style="thin">
        <color rgb="FFD9D9D9"/>
      </top>
      <bottom/>
      <diagonal/>
    </border>
    <border>
      <left style="thin">
        <color rgb="FFD9D9D9"/>
      </left>
      <right style="medium">
        <color rgb="FF4B2E83"/>
      </right>
      <top/>
      <bottom style="thin">
        <color rgb="FFD9D9D9"/>
      </bottom>
      <diagonal/>
    </border>
    <border>
      <left style="thin">
        <color rgb="FFD9D9D9"/>
      </left>
      <right style="medium">
        <color rgb="FF4B2E83"/>
      </right>
      <top style="thin">
        <color rgb="FFD9D9D9"/>
      </top>
      <bottom style="thin">
        <color rgb="FFD9D9D9"/>
      </bottom>
      <diagonal/>
    </border>
    <border>
      <left style="thin">
        <color rgb="FFD9D9D9"/>
      </left>
      <right style="medium">
        <color rgb="FF4B2E83"/>
      </right>
      <top style="thin">
        <color rgb="FFD9D9D9"/>
      </top>
      <bottom/>
      <diagonal/>
    </border>
    <border>
      <left style="thin">
        <color rgb="FFD9D9D9"/>
      </left>
      <right style="medium">
        <color rgb="FF375623"/>
      </right>
      <top/>
      <bottom style="thin">
        <color rgb="FFD9D9D9"/>
      </bottom>
      <diagonal/>
    </border>
    <border>
      <left style="thin">
        <color rgb="FFD9D9D9"/>
      </left>
      <right style="medium">
        <color rgb="FF375623"/>
      </right>
      <top style="thin">
        <color rgb="FFD9D9D9"/>
      </top>
      <bottom style="thin">
        <color rgb="FFD9D9D9"/>
      </bottom>
      <diagonal/>
    </border>
    <border>
      <left style="thin">
        <color rgb="FFD9D9D9"/>
      </left>
      <right style="medium">
        <color rgb="FF375623"/>
      </right>
      <top style="thin">
        <color rgb="FFD9D9D9"/>
      </top>
      <bottom/>
      <diagonal/>
    </border>
    <border>
      <left style="thin">
        <color rgb="FFD9D9D9"/>
      </left>
      <right style="medium">
        <color rgb="FF833232"/>
      </right>
      <top/>
      <bottom style="thin">
        <color rgb="FFD9D9D9"/>
      </bottom>
      <diagonal/>
    </border>
    <border>
      <left style="thin">
        <color rgb="FFD9D9D9"/>
      </left>
      <right style="medium">
        <color rgb="FF833232"/>
      </right>
      <top style="thin">
        <color rgb="FFD9D9D9"/>
      </top>
      <bottom style="thin">
        <color rgb="FFD9D9D9"/>
      </bottom>
      <diagonal/>
    </border>
    <border>
      <left style="thin">
        <color rgb="FFD9D9D9"/>
      </left>
      <right style="medium">
        <color rgb="FF833232"/>
      </right>
      <top style="thin">
        <color rgb="FFD9D9D9"/>
      </top>
      <bottom/>
      <diagonal/>
    </border>
  </borders>
  <cellStyleXfs count="1">
    <xf numFmtId="0" fontId="0" fillId="0" borderId="0"/>
  </cellStyleXfs>
  <cellXfs count="140">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1" fillId="3" borderId="0" xfId="0" applyFont="1" applyFill="1"/>
    <xf numFmtId="0" fontId="0" fillId="4" borderId="0" xfId="0" applyFill="1"/>
    <xf numFmtId="0" fontId="1" fillId="4" borderId="0" xfId="0" applyFont="1" applyFill="1"/>
    <xf numFmtId="0" fontId="0" fillId="2" borderId="0" xfId="0" applyFill="1"/>
    <xf numFmtId="0" fontId="0" fillId="5" borderId="0" xfId="0" applyFill="1"/>
    <xf numFmtId="0" fontId="1" fillId="5" borderId="0" xfId="0" applyFont="1" applyFill="1"/>
    <xf numFmtId="0" fontId="0" fillId="6" borderId="0" xfId="0" applyFill="1"/>
    <xf numFmtId="0" fontId="1" fillId="6" borderId="0" xfId="0" applyFont="1" applyFill="1"/>
    <xf numFmtId="0" fontId="1" fillId="7" borderId="0" xfId="0" applyFont="1" applyFill="1"/>
    <xf numFmtId="0" fontId="0" fillId="8" borderId="0" xfId="0" applyFill="1"/>
    <xf numFmtId="0" fontId="1" fillId="8" borderId="0" xfId="0" applyFont="1" applyFill="1"/>
    <xf numFmtId="0" fontId="7" fillId="0" borderId="0" xfId="0" applyFont="1"/>
    <xf numFmtId="0" fontId="0" fillId="11" borderId="0" xfId="0" applyFill="1"/>
    <xf numFmtId="0" fontId="7" fillId="9" borderId="2" xfId="0" applyFont="1" applyFill="1" applyBorder="1"/>
    <xf numFmtId="0" fontId="7" fillId="9" borderId="3" xfId="0" applyFont="1" applyFill="1" applyBorder="1"/>
    <xf numFmtId="0" fontId="7" fillId="9" borderId="4" xfId="0" applyFont="1" applyFill="1" applyBorder="1"/>
    <xf numFmtId="0" fontId="9" fillId="10" borderId="5" xfId="0" applyFont="1" applyFill="1" applyBorder="1"/>
    <xf numFmtId="0" fontId="8" fillId="10" borderId="6" xfId="0" applyFont="1" applyFill="1" applyBorder="1"/>
    <xf numFmtId="0" fontId="8" fillId="10" borderId="7" xfId="0" applyFont="1" applyFill="1" applyBorder="1"/>
    <xf numFmtId="0" fontId="0" fillId="11" borderId="5" xfId="0" applyFill="1" applyBorder="1"/>
    <xf numFmtId="0" fontId="0" fillId="11" borderId="6" xfId="0" applyFill="1" applyBorder="1"/>
    <xf numFmtId="0" fontId="0" fillId="11" borderId="7" xfId="0" applyFill="1" applyBorder="1"/>
    <xf numFmtId="0" fontId="0" fillId="12" borderId="5" xfId="0" applyFill="1" applyBorder="1"/>
    <xf numFmtId="0" fontId="0" fillId="12" borderId="6" xfId="0" applyFill="1" applyBorder="1"/>
    <xf numFmtId="0" fontId="0" fillId="12" borderId="7" xfId="0" applyFill="1" applyBorder="1"/>
    <xf numFmtId="0" fontId="0" fillId="11" borderId="8" xfId="0" applyFill="1" applyBorder="1"/>
    <xf numFmtId="0" fontId="0" fillId="11" borderId="9" xfId="0" applyFill="1" applyBorder="1"/>
    <xf numFmtId="0" fontId="0" fillId="11" borderId="10" xfId="0" applyFill="1" applyBorder="1"/>
    <xf numFmtId="0" fontId="8" fillId="10" borderId="5" xfId="0" applyFont="1" applyFill="1" applyBorder="1"/>
    <xf numFmtId="0" fontId="7" fillId="9" borderId="11" xfId="0" applyFont="1" applyFill="1" applyBorder="1"/>
    <xf numFmtId="0" fontId="8" fillId="10" borderId="12" xfId="0" applyFont="1" applyFill="1" applyBorder="1"/>
    <xf numFmtId="0" fontId="0" fillId="11" borderId="12" xfId="0" applyFill="1" applyBorder="1"/>
    <xf numFmtId="0" fontId="0" fillId="12" borderId="12" xfId="0" applyFill="1" applyBorder="1"/>
    <xf numFmtId="0" fontId="0" fillId="11" borderId="13" xfId="0" applyFill="1" applyBorder="1"/>
    <xf numFmtId="0" fontId="7" fillId="9" borderId="14" xfId="0" applyFont="1" applyFill="1" applyBorder="1"/>
    <xf numFmtId="0" fontId="8" fillId="10" borderId="15" xfId="0" applyFont="1" applyFill="1" applyBorder="1"/>
    <xf numFmtId="0" fontId="0" fillId="11" borderId="15" xfId="0" applyFill="1" applyBorder="1"/>
    <xf numFmtId="0" fontId="0" fillId="12" borderId="15" xfId="0" applyFill="1" applyBorder="1"/>
    <xf numFmtId="0" fontId="0" fillId="11" borderId="16" xfId="0" applyFill="1" applyBorder="1"/>
    <xf numFmtId="0" fontId="7" fillId="9" borderId="17" xfId="0" applyFont="1" applyFill="1" applyBorder="1"/>
    <xf numFmtId="0" fontId="8" fillId="10" borderId="18" xfId="0" applyFont="1" applyFill="1" applyBorder="1"/>
    <xf numFmtId="0" fontId="0" fillId="11" borderId="18" xfId="0" applyFill="1" applyBorder="1"/>
    <xf numFmtId="0" fontId="0" fillId="12" borderId="18" xfId="0" applyFill="1" applyBorder="1"/>
    <xf numFmtId="0" fontId="0" fillId="11" borderId="19" xfId="0" applyFill="1" applyBorder="1"/>
    <xf numFmtId="0" fontId="7" fillId="9" borderId="20" xfId="0" applyFont="1" applyFill="1" applyBorder="1"/>
    <xf numFmtId="0" fontId="8" fillId="10" borderId="21" xfId="0" applyFont="1" applyFill="1" applyBorder="1"/>
    <xf numFmtId="0" fontId="0" fillId="11" borderId="21" xfId="0" applyFill="1" applyBorder="1"/>
    <xf numFmtId="0" fontId="0" fillId="12" borderId="21" xfId="0" applyFill="1" applyBorder="1"/>
    <xf numFmtId="0" fontId="0" fillId="11" borderId="22" xfId="0" applyFill="1" applyBorder="1"/>
    <xf numFmtId="0" fontId="7" fillId="9" borderId="23" xfId="0" applyFont="1" applyFill="1" applyBorder="1"/>
    <xf numFmtId="0" fontId="8" fillId="10" borderId="24" xfId="0" applyFont="1" applyFill="1" applyBorder="1"/>
    <xf numFmtId="0" fontId="0" fillId="11" borderId="24" xfId="0" applyFill="1" applyBorder="1"/>
    <xf numFmtId="0" fontId="0" fillId="12" borderId="24" xfId="0" applyFill="1" applyBorder="1"/>
    <xf numFmtId="0" fontId="0" fillId="11" borderId="25" xfId="0" applyFill="1" applyBorder="1"/>
    <xf numFmtId="0" fontId="7" fillId="9" borderId="26" xfId="0" applyFont="1" applyFill="1" applyBorder="1"/>
    <xf numFmtId="0" fontId="8" fillId="10" borderId="27" xfId="0" applyFont="1" applyFill="1" applyBorder="1"/>
    <xf numFmtId="0" fontId="0" fillId="11" borderId="27" xfId="0" applyFill="1" applyBorder="1"/>
    <xf numFmtId="0" fontId="0" fillId="12" borderId="27" xfId="0" applyFill="1" applyBorder="1"/>
    <xf numFmtId="0" fontId="0" fillId="11" borderId="28" xfId="0" applyFill="1" applyBorder="1"/>
    <xf numFmtId="0" fontId="10" fillId="11" borderId="5" xfId="0" applyFont="1" applyFill="1" applyBorder="1"/>
    <xf numFmtId="0" fontId="10" fillId="12" borderId="5" xfId="0" applyFont="1" applyFill="1" applyBorder="1"/>
    <xf numFmtId="0" fontId="10" fillId="11" borderId="8" xfId="0" applyFont="1" applyFill="1" applyBorder="1"/>
    <xf numFmtId="22" fontId="0" fillId="0" borderId="0" xfId="0" applyNumberFormat="1"/>
    <xf numFmtId="0" fontId="11" fillId="0" borderId="0" xfId="0" applyFont="1"/>
    <xf numFmtId="22" fontId="0" fillId="11" borderId="0" xfId="0" applyNumberFormat="1" applyFill="1"/>
    <xf numFmtId="0" fontId="11" fillId="11" borderId="0" xfId="0" applyFont="1" applyFill="1"/>
    <xf numFmtId="0" fontId="12" fillId="3" borderId="0" xfId="0" applyFont="1" applyFill="1" applyAlignment="1">
      <alignment vertical="center" wrapText="1"/>
    </xf>
    <xf numFmtId="0" fontId="12" fillId="4" borderId="0" xfId="0" applyFont="1" applyFill="1" applyAlignment="1">
      <alignment vertical="center" wrapText="1"/>
    </xf>
    <xf numFmtId="0" fontId="12" fillId="13" borderId="0" xfId="0" applyFont="1" applyFill="1" applyAlignment="1">
      <alignment vertical="center" wrapText="1"/>
    </xf>
    <xf numFmtId="0" fontId="12" fillId="2" borderId="0" xfId="0" applyFont="1" applyFill="1" applyAlignment="1">
      <alignment vertical="center" wrapText="1"/>
    </xf>
    <xf numFmtId="0" fontId="12" fillId="5" borderId="0" xfId="0" applyFont="1" applyFill="1" applyAlignment="1">
      <alignment vertical="center" wrapText="1"/>
    </xf>
    <xf numFmtId="0" fontId="12" fillId="14" borderId="0" xfId="0" applyFont="1" applyFill="1" applyAlignment="1">
      <alignment vertical="center" wrapText="1"/>
    </xf>
    <xf numFmtId="0" fontId="12" fillId="7" borderId="0" xfId="0" applyFont="1" applyFill="1" applyAlignment="1">
      <alignment vertical="center" wrapText="1"/>
    </xf>
    <xf numFmtId="0" fontId="12" fillId="6" borderId="0" xfId="0" applyFont="1" applyFill="1" applyAlignment="1">
      <alignment vertical="center" wrapText="1"/>
    </xf>
    <xf numFmtId="0" fontId="12" fillId="15" borderId="0" xfId="0" applyFont="1" applyFill="1" applyAlignment="1">
      <alignment vertical="center" wrapText="1"/>
    </xf>
    <xf numFmtId="0" fontId="12" fillId="16" borderId="0" xfId="0" applyFont="1" applyFill="1" applyAlignment="1">
      <alignment vertical="center" wrapText="1"/>
    </xf>
    <xf numFmtId="0" fontId="12" fillId="8" borderId="0" xfId="0" applyFont="1" applyFill="1" applyAlignment="1">
      <alignment vertical="center" wrapText="1"/>
    </xf>
    <xf numFmtId="14" fontId="0" fillId="0" borderId="0" xfId="0" applyNumberFormat="1"/>
    <xf numFmtId="0" fontId="13" fillId="0" borderId="0" xfId="0" applyFont="1"/>
    <xf numFmtId="0" fontId="14" fillId="2" borderId="0" xfId="0" applyFont="1" applyFill="1"/>
    <xf numFmtId="0" fontId="0" fillId="17" borderId="0" xfId="0" applyFill="1"/>
    <xf numFmtId="0" fontId="15" fillId="17" borderId="0" xfId="0" applyFont="1" applyFill="1"/>
    <xf numFmtId="0" fontId="16" fillId="18" borderId="0" xfId="0" applyFont="1" applyFill="1"/>
    <xf numFmtId="0" fontId="17" fillId="17" borderId="0" xfId="0" applyFont="1" applyFill="1"/>
    <xf numFmtId="0" fontId="18" fillId="2" borderId="0" xfId="0" applyFont="1" applyFill="1"/>
    <xf numFmtId="0" fontId="19" fillId="2" borderId="0" xfId="0" applyFont="1" applyFill="1"/>
    <xf numFmtId="0" fontId="0" fillId="19" borderId="0" xfId="0" applyFill="1"/>
    <xf numFmtId="0" fontId="20" fillId="19" borderId="0" xfId="0" applyFont="1" applyFill="1"/>
    <xf numFmtId="0" fontId="21" fillId="4" borderId="0" xfId="0" applyFont="1" applyFill="1"/>
    <xf numFmtId="0" fontId="10" fillId="0" borderId="0" xfId="0" applyFont="1"/>
    <xf numFmtId="0" fontId="22" fillId="0" borderId="0" xfId="0" applyFont="1"/>
    <xf numFmtId="0" fontId="23" fillId="0" borderId="0" xfId="0" applyFont="1"/>
    <xf numFmtId="0" fontId="10" fillId="11" borderId="0" xfId="0" applyFont="1" applyFill="1"/>
    <xf numFmtId="0" fontId="7" fillId="11" borderId="0" xfId="0" applyFont="1" applyFill="1"/>
    <xf numFmtId="0" fontId="22" fillId="11" borderId="0" xfId="0" applyFont="1" applyFill="1"/>
    <xf numFmtId="0" fontId="23" fillId="11" borderId="0" xfId="0" applyFont="1" applyFill="1"/>
    <xf numFmtId="0" fontId="21" fillId="2" borderId="0" xfId="0" applyFont="1" applyFill="1"/>
    <xf numFmtId="0" fontId="21" fillId="5" borderId="0" xfId="0" applyFont="1" applyFill="1"/>
    <xf numFmtId="0" fontId="21" fillId="6" borderId="0" xfId="0" applyFont="1" applyFill="1"/>
    <xf numFmtId="0" fontId="0" fillId="15" borderId="0" xfId="0" applyFill="1"/>
    <xf numFmtId="0" fontId="21" fillId="15" borderId="0" xfId="0" applyFont="1" applyFill="1"/>
    <xf numFmtId="0" fontId="21" fillId="8" borderId="0" xfId="0" applyFont="1" applyFill="1"/>
    <xf numFmtId="0" fontId="24" fillId="2" borderId="0" xfId="0" applyFont="1" applyFill="1"/>
    <xf numFmtId="0" fontId="0" fillId="20" borderId="0" xfId="0" applyFill="1"/>
    <xf numFmtId="0" fontId="18" fillId="20" borderId="0" xfId="0" applyFont="1" applyFill="1"/>
    <xf numFmtId="0" fontId="25" fillId="20" borderId="0" xfId="0" applyFont="1" applyFill="1"/>
    <xf numFmtId="0" fontId="26" fillId="4" borderId="0" xfId="0" applyFont="1" applyFill="1" applyAlignment="1">
      <alignment horizontal="center"/>
    </xf>
    <xf numFmtId="0" fontId="26" fillId="2" borderId="0" xfId="0" applyFont="1" applyFill="1" applyAlignment="1">
      <alignment horizontal="center"/>
    </xf>
    <xf numFmtId="0" fontId="26" fillId="5" borderId="0" xfId="0" applyFont="1" applyFill="1" applyAlignment="1">
      <alignment horizontal="center"/>
    </xf>
    <xf numFmtId="0" fontId="26" fillId="6" borderId="0" xfId="0" applyFont="1" applyFill="1" applyAlignment="1">
      <alignment horizontal="center"/>
    </xf>
    <xf numFmtId="0" fontId="26" fillId="15" borderId="0" xfId="0" applyFont="1" applyFill="1" applyAlignment="1">
      <alignment horizontal="center"/>
    </xf>
    <xf numFmtId="0" fontId="26" fillId="8" borderId="0" xfId="0" applyFont="1" applyFill="1" applyAlignment="1">
      <alignment horizontal="center"/>
    </xf>
    <xf numFmtId="0" fontId="26" fillId="20" borderId="0" xfId="0" applyFont="1" applyFill="1" applyAlignment="1">
      <alignment horizontal="center"/>
    </xf>
    <xf numFmtId="0" fontId="27" fillId="20" borderId="0" xfId="0" applyFont="1" applyFill="1" applyAlignment="1">
      <alignment horizontal="center"/>
    </xf>
    <xf numFmtId="0" fontId="28" fillId="20" borderId="0" xfId="0" applyFont="1" applyFill="1" applyAlignment="1">
      <alignment horizontal="center"/>
    </xf>
    <xf numFmtId="0" fontId="29" fillId="20" borderId="0" xfId="0" applyFont="1" applyFill="1" applyAlignment="1">
      <alignment horizontal="center"/>
    </xf>
    <xf numFmtId="0" fontId="30" fillId="20" borderId="0" xfId="0" applyFont="1" applyFill="1" applyAlignment="1">
      <alignment horizontal="center"/>
    </xf>
    <xf numFmtId="0" fontId="31" fillId="20" borderId="0" xfId="0" applyFont="1" applyFill="1" applyAlignment="1">
      <alignment horizontal="center"/>
    </xf>
    <xf numFmtId="0" fontId="32" fillId="20" borderId="0" xfId="0" applyFont="1" applyFill="1" applyAlignment="1">
      <alignment horizontal="center"/>
    </xf>
    <xf numFmtId="0" fontId="33" fillId="20" borderId="0" xfId="0" applyFont="1" applyFill="1" applyAlignment="1">
      <alignment horizontal="center"/>
    </xf>
    <xf numFmtId="0" fontId="34" fillId="20" borderId="0" xfId="0" applyFont="1" applyFill="1" applyAlignment="1">
      <alignment horizontal="center"/>
    </xf>
    <xf numFmtId="0" fontId="35" fillId="20" borderId="0" xfId="0" applyFont="1" applyFill="1" applyAlignment="1">
      <alignment horizontal="center"/>
    </xf>
    <xf numFmtId="0" fontId="24" fillId="20" borderId="0" xfId="0" applyFont="1" applyFill="1" applyAlignment="1">
      <alignment horizontal="center"/>
    </xf>
    <xf numFmtId="0" fontId="26" fillId="3" borderId="0" xfId="0" applyFont="1" applyFill="1" applyAlignment="1">
      <alignment horizontal="left"/>
    </xf>
    <xf numFmtId="0" fontId="10" fillId="12" borderId="0" xfId="0" applyFont="1" applyFill="1"/>
    <xf numFmtId="0" fontId="10" fillId="12" borderId="0" xfId="0" applyFont="1" applyFill="1" applyAlignment="1">
      <alignment horizontal="center"/>
    </xf>
    <xf numFmtId="0" fontId="10" fillId="21" borderId="0" xfId="0" applyFont="1" applyFill="1"/>
    <xf numFmtId="0" fontId="10" fillId="21" borderId="0" xfId="0" applyFont="1" applyFill="1" applyAlignment="1">
      <alignment horizontal="center"/>
    </xf>
    <xf numFmtId="0" fontId="7" fillId="19" borderId="1" xfId="0" applyFont="1" applyFill="1" applyBorder="1"/>
    <xf numFmtId="0" fontId="7" fillId="19" borderId="1" xfId="0" applyFont="1" applyFill="1" applyBorder="1" applyAlignment="1">
      <alignment horizontal="center"/>
    </xf>
    <xf numFmtId="0" fontId="0" fillId="19" borderId="1" xfId="0" applyFill="1" applyBorder="1"/>
    <xf numFmtId="0" fontId="36" fillId="12" borderId="0" xfId="0" applyFont="1" applyFill="1" applyAlignment="1">
      <alignment horizontal="center"/>
    </xf>
    <xf numFmtId="0" fontId="36" fillId="21"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6CD3ED-88D3-4FCA-B22B-34296E363ED2}">
  <we:reference id="wa200009404" version="1.0.0.8" store="en-US" storeType="OMEX"/>
  <we:alternateReferences>
    <we:reference id="WA200009404" version="1.0.0.8" store="" storeType="OMEX"/>
  </we:alternateReferences>
  <we:properties>
    <we:property name="claude.fileId" value="&quot;194e9e1d-6ba3-4c3d-b4c4-53dc90c0f2c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DE46-0740-49C9-A98E-A8BDEB6027CC}">
  <dimension ref="A1:N71"/>
  <sheetViews>
    <sheetView tabSelected="1" workbookViewId="0">
      <pane ySplit="9" topLeftCell="A10" activePane="bottomLeft" state="frozen"/>
      <selection pane="bottomLeft"/>
    </sheetView>
  </sheetViews>
  <sheetFormatPr defaultRowHeight="14.4" x14ac:dyDescent="0.3"/>
  <cols>
    <col min="1" max="1" width="37" customWidth="1"/>
    <col min="2" max="2" width="1.88671875" customWidth="1"/>
    <col min="3" max="3" width="22.21875" customWidth="1"/>
    <col min="4" max="4" width="1.88671875" customWidth="1"/>
    <col min="5" max="5" width="20.33203125" customWidth="1"/>
    <col min="6" max="6" width="1.88671875" customWidth="1"/>
    <col min="7" max="7" width="16.6640625" customWidth="1"/>
    <col min="8" max="14" width="7.44140625" customWidth="1"/>
  </cols>
  <sheetData>
    <row r="1" spans="1:14" ht="36" customHeight="1" x14ac:dyDescent="0.35">
      <c r="A1" s="86" t="s">
        <v>2177</v>
      </c>
      <c r="B1" s="10"/>
      <c r="C1" s="10"/>
      <c r="D1" s="10"/>
      <c r="E1" s="10"/>
      <c r="F1" s="10"/>
      <c r="G1" s="10"/>
      <c r="H1" s="10"/>
      <c r="I1" s="10"/>
      <c r="J1" s="10"/>
      <c r="K1" s="10"/>
      <c r="L1" s="10"/>
      <c r="M1" s="10"/>
      <c r="N1" s="10"/>
    </row>
    <row r="2" spans="1:14" ht="24" customHeight="1" x14ac:dyDescent="0.3">
      <c r="A2" s="88" t="s">
        <v>2178</v>
      </c>
      <c r="B2" s="87"/>
      <c r="C2" s="89">
        <f>COUNTA(ALL_METRICS!A:A)</f>
        <v>63</v>
      </c>
      <c r="D2" s="90" t="s">
        <v>2222</v>
      </c>
      <c r="E2" s="87"/>
      <c r="F2" s="87"/>
      <c r="G2" s="87"/>
      <c r="H2" s="87"/>
      <c r="I2" s="87"/>
      <c r="J2" s="87"/>
      <c r="K2" s="87"/>
      <c r="L2" s="87"/>
      <c r="M2" s="87"/>
      <c r="N2" s="87"/>
    </row>
    <row r="3" spans="1:14" ht="22.05" customHeight="1" x14ac:dyDescent="0.3">
      <c r="A3" s="1" t="str" cm="1">
        <f t="array" ref="A3">INDEX(ALL_METRICS!B:B,C2)</f>
        <v>MDA-001-story-introduction.md</v>
      </c>
      <c r="B3" s="10"/>
      <c r="C3" s="10"/>
      <c r="D3" s="10"/>
      <c r="E3" s="10"/>
      <c r="F3" s="10"/>
      <c r="G3" s="91" t="str" cm="1">
        <f t="array" ref="G3">"Paper ID: "&amp;INDEX(ALL_METRICS!A:A,C2)</f>
        <v>Paper ID: P-d03a0e6c62da</v>
      </c>
      <c r="H3" s="10"/>
      <c r="I3" s="10"/>
      <c r="J3" s="92" t="str" cm="1">
        <f t="array" ref="J3">"Words: "&amp;INDEX(ALL_METRICS!J:J,C2)</f>
        <v>Words: 958</v>
      </c>
      <c r="K3" s="10"/>
      <c r="L3" s="92" t="str" cm="1">
        <f t="array" ref="L3">"Run: "&amp;INDEX(ALL_METRICS!D:D,C2)</f>
        <v>Run: 20260604_224847</v>
      </c>
      <c r="M3" s="10"/>
      <c r="N3" s="10"/>
    </row>
    <row r="4" spans="1:14" ht="18" customHeight="1" x14ac:dyDescent="0.3">
      <c r="A4" s="112" t="s">
        <v>2223</v>
      </c>
      <c r="B4" s="110"/>
      <c r="C4" s="110"/>
      <c r="D4" s="110"/>
      <c r="E4" s="110"/>
      <c r="F4" s="110"/>
      <c r="G4" s="111"/>
      <c r="H4" s="10"/>
      <c r="I4" s="10"/>
      <c r="J4" s="92"/>
      <c r="K4" s="10"/>
      <c r="L4" s="92"/>
      <c r="M4" s="10"/>
      <c r="N4" s="10"/>
    </row>
    <row r="5" spans="1:14" ht="22.05" customHeight="1" x14ac:dyDescent="0.3">
      <c r="A5" s="119" t="s">
        <v>2224</v>
      </c>
      <c r="B5" s="119" t="s">
        <v>2225</v>
      </c>
      <c r="C5" s="119" t="s">
        <v>2226</v>
      </c>
      <c r="D5" s="119" t="s">
        <v>2227</v>
      </c>
      <c r="E5" s="119" t="s">
        <v>2228</v>
      </c>
      <c r="F5" s="119" t="s">
        <v>2229</v>
      </c>
      <c r="G5" s="120" t="s">
        <v>2230</v>
      </c>
      <c r="H5" s="10"/>
      <c r="I5" s="10"/>
      <c r="J5" s="92"/>
      <c r="K5" s="10"/>
      <c r="L5" s="92"/>
      <c r="M5" s="10"/>
      <c r="N5" s="10"/>
    </row>
    <row r="6" spans="1:14" ht="40.049999999999997" customHeight="1" x14ac:dyDescent="0.7">
      <c r="A6" s="121" cm="1">
        <f t="array" ref="A6">ROUND( MIN(INDEX(ALL_METRICS!L:L,C2),0.6)/0.6*40 + MAX(0,(0.4-INDEX(ALL_METRICS!X:X,C2))/0.4)*20 + IF(INDEX(ALL_METRICS!AT:AT,C2)="A — Evidence-Rich",30,IF(LEFT(INDEX(ALL_METRICS!AT:AT,C2),1)="B",20,IF(LEFT(INDEX(ALL_METRICS!AT:AT,C2),1)="C",10,5))) + IF(AND(INDEX(ALL_METRICS!AM:AM,C2)&gt;=6,INDEX(ALL_METRICS!AM:AM,C2)&lt;=12),15,IF(INDEX(ALL_METRICS!AM:AM,C2)&lt;6,10,5)),1)</f>
        <v>61.7</v>
      </c>
      <c r="B6" s="122" cm="1">
        <f t="array" ref="B6">ROUND( MIN(INDEX(ALL_METRICS!EB:EB,C2),20)/20*50 + MIN(INDEX(ALL_METRICS!DC:DC,C2),5)/5*25 + MIN(INDEX(ALL_METRICS!DE:DE,C2),2)/2*15 + (1-MIN(ABS(INDEX(ALL_METRICS!DJ:DJ,C2)-0.5),0.5)/0.5)*10,1)</f>
        <v>31</v>
      </c>
      <c r="C6" s="123">
        <f>ROUND( MIN(INDEX(ALL_METRICS!EE:EE,C2),10)/10*40 + MIN(MAX(INDEX(ALL_METRICS!EI:EI,C2),0),3)/3*30 + MIN(INDEX(ALL_METRICS!EN:EN,C2),10)/10*30,1)</f>
        <v>42.9</v>
      </c>
      <c r="D6" s="124" cm="1">
        <f t="array" ref="D6">ROUND( INDEX(ALL_METRICS!FN:FN,C2)*30 + INDEX(ALL_METRICS!FO:FO,C2)*30 + INDEX(ALL_METRICS!FY:FY,C2)*25 + MAX(0,(1-INDEX(ALL_METRICS!FZ:FZ,C2)/0.5))*15,1)</f>
        <v>50.6</v>
      </c>
      <c r="E6" s="125" cm="1">
        <f t="array" ref="E6">ROUND( MIN(INDEX(ALL_METRICS!LI:LI,C2),1)*50 + MAX(0,(1-INDEX(ALL_METRICS!LJ:LJ,C2)*5))*30 + MIN(MAX(INDEX(ALL_METRICS!LK:LK,C2),0),1)*20,1)</f>
        <v>57.8</v>
      </c>
      <c r="F6" s="126" cm="1">
        <f t="array" ref="F6">ROUND(MIN(MAX(INDEX(ALL_METRICS!LX:LX,C2)-0.2,0)/0.45*100,100),1)</f>
        <v>63.6</v>
      </c>
      <c r="G6" s="127">
        <f>ROUND(AVERAGE(A6:F6),1)</f>
        <v>51.3</v>
      </c>
      <c r="H6" s="10"/>
      <c r="I6" s="10"/>
      <c r="J6" s="92"/>
      <c r="K6" s="10"/>
      <c r="L6" s="92"/>
      <c r="M6" s="10"/>
      <c r="N6" s="10"/>
    </row>
    <row r="7" spans="1:14" ht="13.95" customHeight="1" x14ac:dyDescent="0.3">
      <c r="A7" s="128" t="str">
        <f>IFERROR(AVERAGE(ALL_METRICS!L2:L62)*66.7&amp;" ser.avg","—")</f>
        <v>28.0100636065574 ser.avg</v>
      </c>
      <c r="B7" s="129" t="str">
        <f>IFERROR(AVERAGE(ALL_METRICS!EB2:EB62)*2.5&amp;" ser.avg","—")</f>
        <v>27.3004098360656 ser.avg</v>
      </c>
      <c r="C7" s="129" t="str">
        <f>IFERROR(AVERAGE(ALL_METRICS!EE2:EE62)*4&amp;" ser.avg","—")</f>
        <v>21.0806557377049 ser.avg</v>
      </c>
      <c r="D7" s="129" t="str">
        <f>IFERROR(AVERAGE(ALL_METRICS!FN2:FN62)*30&amp;" ser.avg","—")</f>
        <v>16.4261803278689 ser.avg</v>
      </c>
      <c r="E7" s="129" t="str">
        <f>IFERROR(AVERAGE(ALL_METRICS!LI2:LI62)*50&amp;" ser.avg","—")</f>
        <v>0 ser.avg</v>
      </c>
      <c r="F7" s="129" t="str">
        <f>IFERROR(AVERAGE(ALL_METRICS!LX2:LX62)*222.2&amp;" ser.avg","—")</f>
        <v>119.669270491803 ser.avg</v>
      </c>
      <c r="G7" s="129" t="e">
        <f>"ser. avg: "&amp;ROUND(AVERAGE(A7:F7),1)</f>
        <v>#DIV/0!</v>
      </c>
      <c r="H7" s="10"/>
      <c r="I7" s="10"/>
      <c r="J7" s="92"/>
      <c r="K7" s="10"/>
      <c r="L7" s="92"/>
      <c r="M7" s="10"/>
      <c r="N7" s="10"/>
    </row>
    <row r="8" spans="1:14" ht="4.05" customHeight="1" x14ac:dyDescent="0.3">
      <c r="A8" s="1"/>
      <c r="B8" s="10"/>
      <c r="C8" s="10"/>
      <c r="D8" s="10"/>
      <c r="E8" s="10"/>
      <c r="F8" s="10"/>
      <c r="G8" s="91"/>
      <c r="H8" s="10"/>
      <c r="I8" s="10"/>
      <c r="J8" s="92"/>
      <c r="K8" s="10"/>
      <c r="L8" s="92"/>
      <c r="M8" s="10"/>
      <c r="N8" s="10"/>
    </row>
    <row r="9" spans="1:14" ht="22.05" customHeight="1" x14ac:dyDescent="0.3">
      <c r="A9" s="1"/>
      <c r="B9" s="10"/>
      <c r="C9" s="10"/>
      <c r="D9" s="10"/>
      <c r="E9" s="10"/>
      <c r="F9" s="10"/>
      <c r="G9" s="91"/>
      <c r="H9" s="10"/>
      <c r="I9" s="10"/>
      <c r="J9" s="92"/>
      <c r="K9" s="10"/>
      <c r="L9" s="92"/>
      <c r="M9" s="10"/>
      <c r="N9" s="10"/>
    </row>
    <row r="10" spans="1:14" ht="22.05" customHeight="1" x14ac:dyDescent="0.3">
      <c r="A10" s="1"/>
      <c r="B10" s="10"/>
      <c r="C10" s="10"/>
      <c r="D10" s="10"/>
      <c r="E10" s="10"/>
      <c r="F10" s="10"/>
      <c r="G10" s="91"/>
      <c r="H10" s="10"/>
      <c r="I10" s="10"/>
      <c r="J10" s="92"/>
      <c r="K10" s="10"/>
      <c r="L10" s="92"/>
      <c r="M10" s="10"/>
      <c r="N10" s="10"/>
    </row>
    <row r="11" spans="1:14" ht="22.05" customHeight="1" x14ac:dyDescent="0.3">
      <c r="A11" s="1"/>
      <c r="B11" s="10"/>
      <c r="C11" s="10"/>
      <c r="D11" s="10"/>
      <c r="E11" s="10"/>
      <c r="F11" s="10"/>
      <c r="G11" s="91"/>
      <c r="H11" s="10"/>
      <c r="I11" s="10"/>
      <c r="J11" s="92"/>
      <c r="K11" s="10"/>
      <c r="L11" s="92"/>
      <c r="M11" s="10"/>
      <c r="N11" s="10"/>
    </row>
    <row r="13" spans="1:14" ht="16.05" customHeight="1" x14ac:dyDescent="0.3">
      <c r="A13" s="94" t="s">
        <v>2179</v>
      </c>
      <c r="B13" s="94"/>
      <c r="C13" s="94" t="s">
        <v>2180</v>
      </c>
      <c r="D13" s="94"/>
      <c r="E13" s="94" t="s">
        <v>2181</v>
      </c>
      <c r="F13" s="94"/>
      <c r="G13" s="94" t="s">
        <v>2182</v>
      </c>
      <c r="H13" s="93"/>
      <c r="I13" s="93"/>
      <c r="J13" s="93"/>
      <c r="K13" s="93"/>
      <c r="L13" s="93"/>
      <c r="M13" s="93"/>
      <c r="N13" s="93"/>
    </row>
    <row r="14" spans="1:14" ht="19.95" customHeight="1" x14ac:dyDescent="0.3">
      <c r="A14" s="95" t="s">
        <v>2183</v>
      </c>
      <c r="B14" s="8"/>
      <c r="C14" s="8"/>
      <c r="D14" s="8"/>
      <c r="E14" s="8"/>
      <c r="F14" s="8"/>
      <c r="G14" s="8"/>
    </row>
    <row r="15" spans="1:14" ht="16.95" customHeight="1" x14ac:dyDescent="0.3">
      <c r="A15" s="99" t="s">
        <v>1993</v>
      </c>
      <c r="B15" s="19"/>
      <c r="C15" s="100" cm="1">
        <f t="array" ref="C15">INDEX(ALL_METRICS!J:J,C2)</f>
        <v>958</v>
      </c>
      <c r="D15" s="19"/>
      <c r="E15" s="101">
        <f>IFERROR(AVERAGE(ALL_METRICS!J2:J62),"")</f>
        <v>1867.2786885245901</v>
      </c>
      <c r="F15" s="19"/>
      <c r="G15" s="102" t="str" cm="1">
        <f t="array" ref="G15">IFERROR(RANK(INDEX(ALL_METRICS!J:J,C2),ALL_METRICS!J2:J62,0)&amp;" / 62","")</f>
        <v/>
      </c>
    </row>
    <row r="16" spans="1:14" ht="16.95" customHeight="1" x14ac:dyDescent="0.3">
      <c r="A16" s="96" t="s">
        <v>2184</v>
      </c>
      <c r="C16" s="18" cm="1">
        <f t="array" ref="C16">INDEX(ALL_METRICS!L:L,C2)</f>
        <v>0.39979999999999999</v>
      </c>
      <c r="E16" s="97">
        <f>IFERROR(AVERAGE(ALL_METRICS!L2:L62),"")</f>
        <v>0.41994098360655752</v>
      </c>
      <c r="G16" s="98" t="str" cm="1">
        <f t="array" ref="G16">IFERROR(RANK(INDEX(ALL_METRICS!L:L,C2),ALL_METRICS!L2:L62,0)&amp;" / 62","")</f>
        <v/>
      </c>
    </row>
    <row r="17" spans="1:7" ht="16.95" customHeight="1" x14ac:dyDescent="0.3">
      <c r="A17" s="99" t="s">
        <v>2185</v>
      </c>
      <c r="B17" s="19"/>
      <c r="C17" s="100" cm="1">
        <f t="array" ref="C17">INDEX(ALL_METRICS!P:P,C2)</f>
        <v>14.7</v>
      </c>
      <c r="D17" s="19"/>
      <c r="E17" s="101">
        <f>IFERROR(AVERAGE(ALL_METRICS!P2:P62),"")</f>
        <v>18.160655737704921</v>
      </c>
      <c r="F17" s="19"/>
      <c r="G17" s="102" t="str" cm="1">
        <f t="array" ref="G17">IFERROR(RANK(INDEX(ALL_METRICS!P:P,C2),ALL_METRICS!P2:P62,0)&amp;" / 62","")</f>
        <v/>
      </c>
    </row>
    <row r="18" spans="1:7" ht="16.95" customHeight="1" x14ac:dyDescent="0.3">
      <c r="A18" s="96" t="s">
        <v>1996</v>
      </c>
      <c r="C18" s="18" cm="1">
        <f t="array" ref="C18">INDEX(ALL_METRICS!X:X,C2)</f>
        <v>1</v>
      </c>
      <c r="E18" s="97">
        <f>IFERROR(AVERAGE(ALL_METRICS!X2:X62),"")</f>
        <v>4.421311475409837</v>
      </c>
      <c r="G18" s="98" t="str" cm="1">
        <f t="array" ref="G18">IFERROR(RANK(INDEX(ALL_METRICS!X:X,C2),ALL_METRICS!X2:X62,0)&amp;" / 62","")</f>
        <v/>
      </c>
    </row>
    <row r="19" spans="1:7" ht="16.95" customHeight="1" x14ac:dyDescent="0.3">
      <c r="A19" s="99" t="s">
        <v>1997</v>
      </c>
      <c r="B19" s="19"/>
      <c r="C19" s="100" t="str" cm="1">
        <f t="array" ref="C19">INDEX(ALL_METRICS!AT:AT,C2)</f>
        <v>A — Evidence-Rich</v>
      </c>
      <c r="D19" s="19"/>
      <c r="E19" s="19"/>
      <c r="F19" s="19"/>
      <c r="G19" s="19"/>
    </row>
    <row r="20" spans="1:7" ht="16.95" customHeight="1" x14ac:dyDescent="0.3">
      <c r="A20" s="96" t="s">
        <v>1998</v>
      </c>
      <c r="C20" s="18" t="str" cm="1">
        <f t="array" ref="C20">INDEX(ALL_METRICS!AW:AW,C2)</f>
        <v>MODERATE</v>
      </c>
    </row>
    <row r="21" spans="1:7" ht="16.95" customHeight="1" x14ac:dyDescent="0.3">
      <c r="A21" s="99" t="s">
        <v>2186</v>
      </c>
      <c r="B21" s="19"/>
      <c r="C21" s="100" t="str" cm="1">
        <f t="array" ref="C21">INDEX(ALL_METRICS!AM:AM,C2)</f>
        <v>MODERATE</v>
      </c>
      <c r="D21" s="19"/>
      <c r="E21" s="101" t="str">
        <f>IFERROR(AVERAGE(ALL_METRICS!AM2:AM62),"")</f>
        <v/>
      </c>
      <c r="F21" s="19"/>
      <c r="G21" s="102" t="str" cm="1">
        <f t="array" ref="G21">IFERROR(RANK(INDEX(ALL_METRICS!AM:AM,C2),ALL_METRICS!AM2:AM62,0)&amp;" / 62","")</f>
        <v/>
      </c>
    </row>
    <row r="22" spans="1:7" ht="16.95" customHeight="1" x14ac:dyDescent="0.3">
      <c r="A22" s="96" t="s">
        <v>2187</v>
      </c>
      <c r="C22" s="18" cm="1">
        <f t="array" ref="C22">INDEX(ALL_METRICS!AQ:AQ,C2)</f>
        <v>2.09</v>
      </c>
      <c r="E22" s="97">
        <f>IFERROR(AVERAGE(ALL_METRICS!AQ2:AQ62),"")</f>
        <v>8.609508196721313</v>
      </c>
      <c r="G22" s="98" t="str" cm="1">
        <f t="array" ref="G22">IFERROR(RANK(INDEX(ALL_METRICS!AQ:AQ,C2),ALL_METRICS!AQ2:AQ62,0)&amp;" / 62","")</f>
        <v/>
      </c>
    </row>
    <row r="23" spans="1:7" ht="6" customHeight="1" x14ac:dyDescent="0.3"/>
    <row r="24" spans="1:7" ht="19.95" customHeight="1" x14ac:dyDescent="0.3">
      <c r="A24" s="103" t="s">
        <v>2188</v>
      </c>
      <c r="B24" s="10"/>
      <c r="C24" s="10"/>
      <c r="D24" s="10"/>
      <c r="E24" s="10"/>
      <c r="F24" s="10"/>
      <c r="G24" s="10"/>
    </row>
    <row r="25" spans="1:7" ht="16.95" customHeight="1" x14ac:dyDescent="0.3">
      <c r="A25" s="99" t="s">
        <v>1999</v>
      </c>
      <c r="B25" s="19"/>
      <c r="C25" s="100" t="str" cm="1">
        <f t="array" ref="C25">INDEX(ALL_METRICS!ED:ED,C2)</f>
        <v>F (Needs Citations)</v>
      </c>
      <c r="D25" s="19"/>
      <c r="E25" s="19"/>
      <c r="F25" s="19"/>
      <c r="G25" s="19"/>
    </row>
    <row r="26" spans="1:7" ht="16.95" customHeight="1" x14ac:dyDescent="0.3">
      <c r="A26" s="96" t="s">
        <v>2189</v>
      </c>
      <c r="C26" s="18" cm="1">
        <f t="array" ref="C26">INDEX(ALL_METRICS!EB:EB,C2)</f>
        <v>8.3800000000000008</v>
      </c>
      <c r="E26" s="97">
        <f>IFERROR(AVERAGE(ALL_METRICS!EB2:EB62),"")</f>
        <v>10.920163934426231</v>
      </c>
      <c r="G26" s="98" t="str" cm="1">
        <f t="array" ref="G26">IFERROR(RANK(INDEX(ALL_METRICS!EB:EB,C2),ALL_METRICS!EB2:EB62,0)&amp;" / 62","")</f>
        <v/>
      </c>
    </row>
    <row r="27" spans="1:7" ht="16.95" customHeight="1" x14ac:dyDescent="0.3">
      <c r="A27" s="99" t="s">
        <v>2000</v>
      </c>
      <c r="B27" s="19"/>
      <c r="C27" s="100" cm="1">
        <f t="array" ref="C27">INDEX(ALL_METRICS!CD:CD,C2)</f>
        <v>0</v>
      </c>
      <c r="D27" s="19"/>
      <c r="E27" s="101">
        <f>IFERROR(AVERAGE(ALL_METRICS!CD2:CD62),"")</f>
        <v>2.622950819672131</v>
      </c>
      <c r="F27" s="19"/>
      <c r="G27" s="102" t="str" cm="1">
        <f t="array" ref="G27">IFERROR(RANK(INDEX(ALL_METRICS!CD:CD,C2),ALL_METRICS!CD2:CD62,0)&amp;" / 62","")</f>
        <v>11 / 62</v>
      </c>
    </row>
    <row r="28" spans="1:7" ht="16.95" customHeight="1" x14ac:dyDescent="0.3">
      <c r="A28" s="96" t="s">
        <v>2190</v>
      </c>
      <c r="C28" s="18" cm="1">
        <f t="array" ref="C28">INDEX(ALL_METRICS!DC:DC,C2)</f>
        <v>2</v>
      </c>
      <c r="E28" s="97">
        <f>IFERROR(AVERAGE(ALL_METRICS!DC2:DC62),"")</f>
        <v>11.848032786885245</v>
      </c>
      <c r="G28" s="98" t="str" cm="1">
        <f t="array" ref="G28">IFERROR(RANK(INDEX(ALL_METRICS!DC:DC,C2),ALL_METRICS!DC2:DC62,0)&amp;" / 62","")</f>
        <v/>
      </c>
    </row>
    <row r="29" spans="1:7" ht="16.95" customHeight="1" x14ac:dyDescent="0.3">
      <c r="A29" s="99" t="s">
        <v>2191</v>
      </c>
      <c r="B29" s="19"/>
      <c r="C29" s="100" cm="1">
        <f t="array" ref="C29">INDEX(ALL_METRICS!DE:DE,C2)</f>
        <v>0</v>
      </c>
      <c r="D29" s="19"/>
      <c r="E29" s="101">
        <f>IFERROR(AVERAGE(ALL_METRICS!DE2:DE62),"")</f>
        <v>0.64491803278688542</v>
      </c>
      <c r="F29" s="19"/>
      <c r="G29" s="102" t="str" cm="1">
        <f t="array" ref="G29">IFERROR(RANK(INDEX(ALL_METRICS!DE:DE,C2),ALL_METRICS!DE2:DE62,0)&amp;" / 62","")</f>
        <v>24 / 62</v>
      </c>
    </row>
    <row r="30" spans="1:7" ht="16.95" customHeight="1" x14ac:dyDescent="0.3">
      <c r="A30" s="96" t="s">
        <v>2192</v>
      </c>
      <c r="C30" s="18" cm="1">
        <f t="array" ref="C30">INDEX(ALL_METRICS!DJ:DJ,C2)</f>
        <v>0</v>
      </c>
      <c r="E30" s="97">
        <f>IFERROR(AVERAGE(ALL_METRICS!DJ2:DJ62),"")</f>
        <v>0.55622950819672157</v>
      </c>
      <c r="G30" s="98" t="str" cm="1">
        <f t="array" ref="G30">IFERROR(RANK(INDEX(ALL_METRICS!DJ:DJ,C2),ALL_METRICS!DJ2:DJ62,0)&amp;" / 62","")</f>
        <v>47 / 62</v>
      </c>
    </row>
    <row r="31" spans="1:7" ht="16.95" customHeight="1" x14ac:dyDescent="0.3">
      <c r="A31" s="99" t="s">
        <v>2193</v>
      </c>
      <c r="B31" s="19"/>
      <c r="C31" s="100" cm="1">
        <f t="array" ref="C31">INDEX(ALL_METRICS!DK:DK,C2)</f>
        <v>0</v>
      </c>
      <c r="D31" s="19"/>
      <c r="E31" s="101">
        <f>IFERROR(AVERAGE(ALL_METRICS!DK2:DK62),"")</f>
        <v>0.31147540983606559</v>
      </c>
      <c r="F31" s="19"/>
      <c r="G31" s="102" t="str" cm="1">
        <f t="array" ref="G31">IFERROR(RANK(INDEX(ALL_METRICS!DK:DK,C2),ALL_METRICS!DK2:DK62,0)&amp;" / 62","")</f>
        <v>13 / 62</v>
      </c>
    </row>
    <row r="32" spans="1:7" ht="16.95" customHeight="1" x14ac:dyDescent="0.3">
      <c r="A32" s="96" t="s">
        <v>2194</v>
      </c>
      <c r="C32" s="18" cm="1">
        <f t="array" ref="C32">INDEX(ALL_METRICS!DN:DN,C2)</f>
        <v>0</v>
      </c>
      <c r="E32" s="97">
        <f>IFERROR(AVERAGE(ALL_METRICS!DN2:DN62),"")</f>
        <v>0.32786885245901637</v>
      </c>
      <c r="G32" s="98" t="str" cm="1">
        <f t="array" ref="G32">IFERROR(RANK(INDEX(ALL_METRICS!DN:DN,C2),ALL_METRICS!DN2:DN62,0)&amp;" / 62","")</f>
        <v>16 / 62</v>
      </c>
    </row>
    <row r="33" spans="1:7" ht="6" customHeight="1" x14ac:dyDescent="0.3"/>
    <row r="34" spans="1:7" ht="19.95" customHeight="1" x14ac:dyDescent="0.3">
      <c r="A34" s="104" t="s">
        <v>2195</v>
      </c>
      <c r="B34" s="11"/>
      <c r="C34" s="11"/>
      <c r="D34" s="11"/>
      <c r="E34" s="11"/>
      <c r="F34" s="11"/>
      <c r="G34" s="11"/>
    </row>
    <row r="35" spans="1:7" ht="16.95" customHeight="1" x14ac:dyDescent="0.3">
      <c r="A35" s="99" t="s">
        <v>2196</v>
      </c>
      <c r="B35" s="19"/>
      <c r="C35" s="100" cm="1">
        <f t="array" ref="C35">INDEX(ALL_METRICS!EE:EE,C2)</f>
        <v>3.46</v>
      </c>
      <c r="D35" s="19"/>
      <c r="E35" s="101">
        <f>IFERROR(AVERAGE(ALL_METRICS!EE2:EE62),"")</f>
        <v>5.2701639344262308</v>
      </c>
      <c r="F35" s="19"/>
      <c r="G35" s="102" t="str" cm="1">
        <f t="array" ref="G35">IFERROR(RANK(INDEX(ALL_METRICS!EE:EE,C2),ALL_METRICS!EE2:EE62,0)&amp;" / 62","")</f>
        <v/>
      </c>
    </row>
    <row r="36" spans="1:7" ht="16.95" customHeight="1" x14ac:dyDescent="0.3">
      <c r="A36" s="96" t="s">
        <v>2006</v>
      </c>
      <c r="C36" s="18" t="str" cm="1">
        <f t="array" ref="C36">INDEX(ALL_METRICS!EF:EF,C2)</f>
        <v>WEAK</v>
      </c>
    </row>
    <row r="37" spans="1:7" ht="16.95" customHeight="1" x14ac:dyDescent="0.3">
      <c r="A37" s="99" t="s">
        <v>2007</v>
      </c>
      <c r="B37" s="19"/>
      <c r="C37" s="100" cm="1">
        <f t="array" ref="C37">INDEX(ALL_METRICS!EG:EG,C2)</f>
        <v>1.43</v>
      </c>
      <c r="D37" s="19"/>
      <c r="E37" s="101">
        <f>IFERROR(AVERAGE(ALL_METRICS!EG2:EG62),"")</f>
        <v>0.40573770491803274</v>
      </c>
      <c r="F37" s="19"/>
      <c r="G37" s="102" t="str" cm="1">
        <f t="array" ref="G37">IFERROR(RANK(INDEX(ALL_METRICS!EG:EG,C2),ALL_METRICS!EG2:EG62,0)&amp;" / 62","")</f>
        <v/>
      </c>
    </row>
    <row r="38" spans="1:7" ht="16.95" customHeight="1" x14ac:dyDescent="0.3">
      <c r="A38" s="96" t="s">
        <v>2008</v>
      </c>
      <c r="C38" s="18" cm="1">
        <f t="array" ref="C38">INDEX(ALL_METRICS!EH:EH,C2)</f>
        <v>0.61</v>
      </c>
      <c r="E38" s="97">
        <f>IFERROR(AVERAGE(ALL_METRICS!EH2:EH62),"")</f>
        <v>1.9636065573770489</v>
      </c>
      <c r="G38" s="98" t="str" cm="1">
        <f t="array" ref="G38">IFERROR(RANK(INDEX(ALL_METRICS!EH:EH,C2),ALL_METRICS!EH2:EH62,0)&amp;" / 62","")</f>
        <v/>
      </c>
    </row>
    <row r="39" spans="1:7" ht="16.95" customHeight="1" x14ac:dyDescent="0.3">
      <c r="A39" s="99" t="s">
        <v>2197</v>
      </c>
      <c r="B39" s="19"/>
      <c r="C39" s="100" cm="1">
        <f t="array" ref="C39">INDEX(ALL_METRICS!EI:EI,C2)</f>
        <v>2.3330000000000002</v>
      </c>
      <c r="D39" s="19"/>
      <c r="E39" s="101">
        <f>IFERROR(AVERAGE(ALL_METRICS!EI2:EI62),"")</f>
        <v>0.26068852459016389</v>
      </c>
      <c r="F39" s="19"/>
      <c r="G39" s="102" t="str" cm="1">
        <f t="array" ref="G39">IFERROR(RANK(INDEX(ALL_METRICS!EI:EI,C2),ALL_METRICS!EI2:EI62,0)&amp;" / 62","")</f>
        <v/>
      </c>
    </row>
    <row r="40" spans="1:7" ht="16.95" customHeight="1" x14ac:dyDescent="0.3">
      <c r="A40" s="96" t="s">
        <v>2198</v>
      </c>
      <c r="C40" s="18" t="str" cm="1">
        <f t="array" ref="C40">INDEX(ALL_METRICS!EL:EL,C2)</f>
        <v>goodness</v>
      </c>
    </row>
    <row r="41" spans="1:7" ht="16.95" customHeight="1" x14ac:dyDescent="0.3">
      <c r="A41" s="99" t="s">
        <v>2199</v>
      </c>
      <c r="B41" s="19"/>
      <c r="C41" s="100" cm="1">
        <f t="array" ref="C41">INDEX(ALL_METRICS!EN:EN,C2)</f>
        <v>1.9</v>
      </c>
      <c r="D41" s="19"/>
      <c r="E41" s="101">
        <f>IFERROR(AVERAGE(ALL_METRICS!EN2:EN62),"")</f>
        <v>1.7960655737704911</v>
      </c>
      <c r="F41" s="19"/>
      <c r="G41" s="102" t="str" cm="1">
        <f t="array" ref="G41">IFERROR(RANK(INDEX(ALL_METRICS!EN:EN,C2),ALL_METRICS!EN2:EN62,0)&amp;" / 62","")</f>
        <v/>
      </c>
    </row>
    <row r="42" spans="1:7" ht="16.95" customHeight="1" x14ac:dyDescent="0.3">
      <c r="A42" s="96" t="s">
        <v>2200</v>
      </c>
      <c r="C42" s="18" cm="1">
        <f t="array" ref="C42">INDEX(ALL_METRICS!EQ:EQ,C2)</f>
        <v>0</v>
      </c>
      <c r="E42" s="97">
        <f>IFERROR(AVERAGE(ALL_METRICS!EQ2:EQ62),"")</f>
        <v>1.0491803278688525</v>
      </c>
      <c r="G42" s="98" t="str" cm="1">
        <f t="array" ref="G42">IFERROR(RANK(INDEX(ALL_METRICS!EQ:EQ,C2),ALL_METRICS!EQ2:EQ62,0)&amp;" / 62","")</f>
        <v>30 / 62</v>
      </c>
    </row>
    <row r="43" spans="1:7" ht="16.95" customHeight="1" x14ac:dyDescent="0.3">
      <c r="A43" s="99" t="s">
        <v>2201</v>
      </c>
      <c r="B43" s="19"/>
      <c r="C43" s="100" cm="1">
        <f t="array" ref="C43">INDEX(ALL_METRICS!EP:EP,C2)</f>
        <v>0</v>
      </c>
      <c r="D43" s="19"/>
      <c r="E43" s="101">
        <f>IFERROR(AVERAGE(ALL_METRICS!EP2:EP62),"")</f>
        <v>0.32786885245901637</v>
      </c>
      <c r="F43" s="19"/>
      <c r="G43" s="102" t="str" cm="1">
        <f t="array" ref="G43">IFERROR(RANK(INDEX(ALL_METRICS!EP:EP,C2),ALL_METRICS!EP2:EP62,0)&amp;" / 62","")</f>
        <v>13 / 62</v>
      </c>
    </row>
    <row r="44" spans="1:7" ht="6" customHeight="1" x14ac:dyDescent="0.3"/>
    <row r="45" spans="1:7" ht="19.95" customHeight="1" x14ac:dyDescent="0.3">
      <c r="A45" s="105" t="s">
        <v>2202</v>
      </c>
      <c r="B45" s="13"/>
      <c r="C45" s="13"/>
      <c r="D45" s="13"/>
      <c r="E45" s="13"/>
      <c r="F45" s="13"/>
      <c r="G45" s="13"/>
    </row>
    <row r="46" spans="1:7" ht="16.95" customHeight="1" x14ac:dyDescent="0.3">
      <c r="A46" s="96" t="s">
        <v>2011</v>
      </c>
      <c r="C46" s="18" cm="1">
        <f t="array" ref="C46">INDEX(ALL_METRICS!FN:FN,C2)</f>
        <v>0.5343</v>
      </c>
      <c r="E46" s="97">
        <f>IFERROR(AVERAGE(ALL_METRICS!FN2:FN62),"")</f>
        <v>0.54753934426229511</v>
      </c>
      <c r="G46" s="98" t="str" cm="1">
        <f t="array" ref="G46">IFERROR(RANK(INDEX(ALL_METRICS!FN:FN,C2),ALL_METRICS!FN2:FN62,0)&amp;" / 62","")</f>
        <v/>
      </c>
    </row>
    <row r="47" spans="1:7" ht="16.95" customHeight="1" x14ac:dyDescent="0.3">
      <c r="A47" s="99" t="s">
        <v>2012</v>
      </c>
      <c r="B47" s="19"/>
      <c r="C47" s="100" cm="1">
        <f t="array" ref="C47">INDEX(ALL_METRICS!FO:FO,C2)</f>
        <v>0.36180000000000001</v>
      </c>
      <c r="D47" s="19"/>
      <c r="E47" s="101">
        <f>IFERROR(AVERAGE(ALL_METRICS!FO2:FO62),"")</f>
        <v>0.77499999999999913</v>
      </c>
      <c r="F47" s="19"/>
      <c r="G47" s="102" t="str" cm="1">
        <f t="array" ref="G47">IFERROR(RANK(INDEX(ALL_METRICS!FO:FO,C2),ALL_METRICS!FO2:FO62,0)&amp;" / 62","")</f>
        <v/>
      </c>
    </row>
    <row r="48" spans="1:7" ht="16.95" customHeight="1" x14ac:dyDescent="0.3">
      <c r="A48" s="96" t="s">
        <v>2203</v>
      </c>
      <c r="C48" s="18" cm="1">
        <f t="array" ref="C48">INDEX(ALL_METRICS!FY:FY,C2)</f>
        <v>0.46939999999999998</v>
      </c>
      <c r="E48" s="97">
        <f>IFERROR(AVERAGE(ALL_METRICS!FY2:FY62),"")</f>
        <v>0.28967704918032799</v>
      </c>
      <c r="G48" s="98" t="str" cm="1">
        <f t="array" ref="G48">IFERROR(RANK(INDEX(ALL_METRICS!FY:FY,C2),ALL_METRICS!FY2:FY62,0)&amp;" / 62","")</f>
        <v/>
      </c>
    </row>
    <row r="49" spans="1:7" ht="16.95" customHeight="1" x14ac:dyDescent="0.3">
      <c r="A49" s="99" t="s">
        <v>2204</v>
      </c>
      <c r="B49" s="19"/>
      <c r="C49" s="100" cm="1">
        <f t="array" ref="C49">INDEX(ALL_METRICS!FZ:FZ,C2)</f>
        <v>0.10050000000000001</v>
      </c>
      <c r="D49" s="19"/>
      <c r="E49" s="101">
        <f>IFERROR(AVERAGE(ALL_METRICS!FZ2:FZ62),"")</f>
        <v>8.3786885245901617E-3</v>
      </c>
      <c r="F49" s="19"/>
      <c r="G49" s="102" t="str" cm="1">
        <f t="array" ref="G49">IFERROR(RANK(INDEX(ALL_METRICS!FZ:FZ,C2),ALL_METRICS!FZ2:FZ62,0)&amp;" / 62","")</f>
        <v/>
      </c>
    </row>
    <row r="50" spans="1:7" ht="16.95" customHeight="1" x14ac:dyDescent="0.3">
      <c r="A50" s="96" t="s">
        <v>2014</v>
      </c>
      <c r="C50" s="18" t="str" cm="1">
        <f t="array" ref="C50">INDEX(ALL_METRICS!JD:JD,C2)</f>
        <v>agitated or reactionary; charitable; disciplined; morally unstable; technically strong, spiritually ordered</v>
      </c>
    </row>
    <row r="51" spans="1:7" ht="16.95" customHeight="1" x14ac:dyDescent="0.3">
      <c r="A51" s="99" t="s">
        <v>2205</v>
      </c>
      <c r="B51" s="19"/>
      <c r="C51" s="100" cm="1">
        <f t="array" ref="C51">INDEX(ALL_METRICS!FV:FV,C2)</f>
        <v>0.1484</v>
      </c>
      <c r="D51" s="19"/>
      <c r="E51" s="101">
        <f>IFERROR(AVERAGE(ALL_METRICS!FV2:FV62),"")</f>
        <v>0.16077049180327876</v>
      </c>
      <c r="F51" s="19"/>
      <c r="G51" s="102" t="str" cm="1">
        <f t="array" ref="G51">IFERROR(RANK(INDEX(ALL_METRICS!FV:FV,C2),ALL_METRICS!FV2:FV62,0)&amp;" / 62","")</f>
        <v/>
      </c>
    </row>
    <row r="52" spans="1:7" ht="16.95" customHeight="1" x14ac:dyDescent="0.3">
      <c r="A52" s="96" t="s">
        <v>2206</v>
      </c>
      <c r="C52" s="18" cm="1">
        <f t="array" ref="C52">INDEX(ALL_METRICS!FW:FW,C2)</f>
        <v>0.22620000000000001</v>
      </c>
      <c r="E52" s="97">
        <f>IFERROR(AVERAGE(ALL_METRICS!FW2:FW62),"")</f>
        <v>2.8963934426229503E-2</v>
      </c>
      <c r="G52" s="98" t="str" cm="1">
        <f t="array" ref="G52">IFERROR(RANK(INDEX(ALL_METRICS!FW:FW,C2),ALL_METRICS!FW2:FW62,0)&amp;" / 62","")</f>
        <v/>
      </c>
    </row>
    <row r="53" spans="1:7" ht="16.95" customHeight="1" x14ac:dyDescent="0.3">
      <c r="A53" s="99" t="s">
        <v>2207</v>
      </c>
      <c r="B53" s="19"/>
      <c r="C53" s="100" cm="1">
        <f t="array" ref="C53">INDEX(ALL_METRICS!GF:GF,C2)</f>
        <v>15</v>
      </c>
      <c r="D53" s="19"/>
      <c r="E53" s="101">
        <f>IFERROR(AVERAGE(ALL_METRICS!GF2:GF62),"")</f>
        <v>22.311475409836067</v>
      </c>
      <c r="F53" s="19"/>
      <c r="G53" s="102" t="str" cm="1">
        <f t="array" ref="G53">IFERROR(RANK(INDEX(ALL_METRICS!GF:GF,C2),ALL_METRICS!GF2:GF62,0)&amp;" / 62","")</f>
        <v>40 / 62</v>
      </c>
    </row>
    <row r="54" spans="1:7" ht="16.95" customHeight="1" x14ac:dyDescent="0.3">
      <c r="A54" s="96" t="s">
        <v>2208</v>
      </c>
      <c r="C54" s="18" cm="1">
        <f t="array" ref="C54">INDEX(ALL_METRICS!GI:GI,C2)</f>
        <v>0</v>
      </c>
      <c r="E54" s="97">
        <f>IFERROR(AVERAGE(ALL_METRICS!GI2:GI62),"")</f>
        <v>0.11475409836065574</v>
      </c>
      <c r="G54" s="98" t="str" cm="1">
        <f t="array" ref="G54">IFERROR(RANK(INDEX(ALL_METRICS!GI:GI,C2),ALL_METRICS!GI2:GI62,0)&amp;" / 62","")</f>
        <v>7 / 62</v>
      </c>
    </row>
    <row r="55" spans="1:7" ht="6" customHeight="1" x14ac:dyDescent="0.3"/>
    <row r="56" spans="1:7" ht="19.95" customHeight="1" x14ac:dyDescent="0.3">
      <c r="A56" s="107" t="s">
        <v>2209</v>
      </c>
      <c r="B56" s="106"/>
      <c r="C56" s="106"/>
      <c r="D56" s="106"/>
      <c r="E56" s="106"/>
      <c r="F56" s="106"/>
      <c r="G56" s="106"/>
    </row>
    <row r="57" spans="1:7" ht="16.95" customHeight="1" x14ac:dyDescent="0.3">
      <c r="A57" s="99" t="s">
        <v>2210</v>
      </c>
      <c r="B57" s="19"/>
      <c r="C57" s="100" cm="1">
        <f t="array" ref="C57">INDEX(ALL_METRICS!LI:LI,C2)</f>
        <v>0.40179999999999999</v>
      </c>
      <c r="D57" s="19"/>
      <c r="E57" s="101">
        <f>IFERROR(AVERAGE(ALL_METRICS!LI2:LI62),"")</f>
        <v>0</v>
      </c>
      <c r="F57" s="19"/>
      <c r="G57" s="102" t="str" cm="1">
        <f t="array" ref="G57">IFERROR(RANK(INDEX(ALL_METRICS!LI:LI,C2),ALL_METRICS!LI2:LI62,0)&amp;" / 62","")</f>
        <v/>
      </c>
    </row>
    <row r="58" spans="1:7" ht="16.95" customHeight="1" x14ac:dyDescent="0.3">
      <c r="A58" s="96" t="s">
        <v>2211</v>
      </c>
      <c r="C58" s="18" cm="1">
        <f t="array" ref="C58">INDEX(ALL_METRICS!LJ:LJ,C2)</f>
        <v>2.0999999999999999E-3</v>
      </c>
      <c r="E58" s="97">
        <f>IFERROR(AVERAGE(ALL_METRICS!LJ2:LJ62),"")</f>
        <v>0</v>
      </c>
      <c r="G58" s="98" t="str" cm="1">
        <f t="array" ref="G58">IFERROR(RANK(INDEX(ALL_METRICS!LJ:LJ,C2),ALL_METRICS!LJ2:LJ62,0)&amp;" / 62","")</f>
        <v/>
      </c>
    </row>
    <row r="59" spans="1:7" ht="16.95" customHeight="1" x14ac:dyDescent="0.3">
      <c r="A59" s="99" t="s">
        <v>2212</v>
      </c>
      <c r="B59" s="19"/>
      <c r="C59" s="100" cm="1">
        <f t="array" ref="C59">INDEX(ALL_METRICS!LK:LK,C2)</f>
        <v>0.3997</v>
      </c>
      <c r="D59" s="19"/>
      <c r="E59" s="101">
        <f>IFERROR(AVERAGE(ALL_METRICS!LK2:LK62),"")</f>
        <v>0</v>
      </c>
      <c r="F59" s="19"/>
      <c r="G59" s="102" t="str" cm="1">
        <f t="array" ref="G59">IFERROR(RANK(INDEX(ALL_METRICS!LK:LK,C2),ALL_METRICS!LK2:LK62,0)&amp;" / 62","")</f>
        <v/>
      </c>
    </row>
    <row r="60" spans="1:7" ht="16.95" customHeight="1" x14ac:dyDescent="0.3">
      <c r="A60" s="96" t="s">
        <v>2018</v>
      </c>
      <c r="C60" s="18" t="str" cm="1">
        <f t="array" ref="C60">INDEX(ALL_METRICS!LL:LL,C2)</f>
        <v>confusion</v>
      </c>
    </row>
    <row r="61" spans="1:7" ht="16.95" customHeight="1" x14ac:dyDescent="0.3">
      <c r="A61" s="99" t="s">
        <v>2213</v>
      </c>
      <c r="B61" s="19"/>
      <c r="C61" s="100" cm="1">
        <f t="array" ref="C61">INDEX(ALL_METRICS!JT:JT,C2)</f>
        <v>5.4199999999999998E-2</v>
      </c>
      <c r="D61" s="19"/>
      <c r="E61" s="101">
        <f>IFERROR(AVERAGE(ALL_METRICS!JT2:JT62),"")</f>
        <v>0</v>
      </c>
      <c r="F61" s="19"/>
      <c r="G61" s="102" t="str" cm="1">
        <f t="array" ref="G61">IFERROR(RANK(INDEX(ALL_METRICS!JT:JT,C2),ALL_METRICS!JT2:JT62,0)&amp;" / 62","")</f>
        <v/>
      </c>
    </row>
    <row r="62" spans="1:7" ht="16.95" customHeight="1" x14ac:dyDescent="0.3">
      <c r="A62" s="96" t="s">
        <v>2214</v>
      </c>
      <c r="C62" s="18" cm="1">
        <f t="array" ref="C62">INDEX(ALL_METRICS!JX:JX,C2)</f>
        <v>0</v>
      </c>
      <c r="E62" s="97" t="str">
        <f>IFERROR(AVERAGE(ALL_METRICS!JX2:JX62),"")</f>
        <v/>
      </c>
      <c r="G62" s="98" t="str" cm="1">
        <f t="array" ref="G62">IFERROR(RANK(INDEX(ALL_METRICS!JX:JX,C2),ALL_METRICS!JX2:JX62,0)&amp;" / 62","")</f>
        <v/>
      </c>
    </row>
    <row r="63" spans="1:7" ht="16.95" customHeight="1" x14ac:dyDescent="0.3">
      <c r="A63" s="99" t="s">
        <v>2215</v>
      </c>
      <c r="B63" s="19"/>
      <c r="C63" s="100" cm="1">
        <f t="array" ref="C63">INDEX(ALL_METRICS!JY:JY,C2)</f>
        <v>0.40010000000000001</v>
      </c>
      <c r="D63" s="19"/>
      <c r="E63" s="101">
        <f>IFERROR(AVERAGE(ALL_METRICS!JY2:JY62),"")</f>
        <v>0</v>
      </c>
      <c r="F63" s="19"/>
      <c r="G63" s="102" t="str" cm="1">
        <f t="array" ref="G63">IFERROR(RANK(INDEX(ALL_METRICS!JY:JY,C2),ALL_METRICS!JY2:JY62,0)&amp;" / 62","")</f>
        <v/>
      </c>
    </row>
    <row r="64" spans="1:7" ht="6" customHeight="1" x14ac:dyDescent="0.3"/>
    <row r="65" spans="1:7" ht="19.95" customHeight="1" x14ac:dyDescent="0.3">
      <c r="A65" s="108" t="s">
        <v>2216</v>
      </c>
      <c r="B65" s="16"/>
      <c r="C65" s="16"/>
      <c r="D65" s="16"/>
      <c r="E65" s="16"/>
      <c r="F65" s="16"/>
      <c r="G65" s="16"/>
    </row>
    <row r="66" spans="1:7" ht="16.95" customHeight="1" x14ac:dyDescent="0.3">
      <c r="A66" s="96" t="s">
        <v>2217</v>
      </c>
      <c r="C66" s="18" cm="1">
        <f t="array" ref="C66">INDEX(ALL_METRICS!LX:LX,C2)</f>
        <v>0.4864</v>
      </c>
      <c r="E66" s="97">
        <f>IFERROR(AVERAGE(ALL_METRICS!LX2:LX62),"")</f>
        <v>0.53856557377049186</v>
      </c>
      <c r="G66" s="98" t="str" cm="1">
        <f t="array" ref="G66">IFERROR(RANK(INDEX(ALL_METRICS!LX:LX,C2),ALL_METRICS!LX2:LX62,0)&amp;" / 62","")</f>
        <v/>
      </c>
    </row>
    <row r="67" spans="1:7" ht="16.95" customHeight="1" x14ac:dyDescent="0.3">
      <c r="A67" s="99" t="s">
        <v>2218</v>
      </c>
      <c r="B67" s="19"/>
      <c r="C67" s="100" t="str" cm="1">
        <f t="array" ref="C67">INDEX(ALL_METRICS!ME:ME,C2)</f>
        <v>HIGH (academic)</v>
      </c>
      <c r="D67" s="19"/>
      <c r="E67" s="19"/>
      <c r="F67" s="19"/>
      <c r="G67" s="19"/>
    </row>
    <row r="68" spans="1:7" ht="16.95" customHeight="1" x14ac:dyDescent="0.3">
      <c r="A68" s="96" t="s">
        <v>2219</v>
      </c>
      <c r="C68" s="18" cm="1">
        <f t="array" ref="C68">INDEX(ALL_METRICS!LB:LB,C2)</f>
        <v>0</v>
      </c>
      <c r="E68" s="97">
        <f>IFERROR(AVERAGE(ALL_METRICS!LB2:LB62),"")</f>
        <v>0</v>
      </c>
      <c r="G68" s="98" t="str" cm="1">
        <f t="array" ref="G68">IFERROR(RANK(INDEX(ALL_METRICS!LB:LB,C2),ALL_METRICS!LB2:LB62,0)&amp;" / 62","")</f>
        <v>1 / 62</v>
      </c>
    </row>
    <row r="69" spans="1:7" ht="16.95" customHeight="1" x14ac:dyDescent="0.3">
      <c r="A69" s="99" t="s">
        <v>2220</v>
      </c>
      <c r="B69" s="19"/>
      <c r="C69" s="100" cm="1">
        <f t="array" ref="C69">INDEX(ALL_METRICS!LC:LC,C2)</f>
        <v>2.0000000000000001E-4</v>
      </c>
      <c r="D69" s="19"/>
      <c r="E69" s="101">
        <f>IFERROR(AVERAGE(ALL_METRICS!LC2:LC62),"")</f>
        <v>0</v>
      </c>
      <c r="F69" s="19"/>
      <c r="G69" s="102" t="str" cm="1">
        <f t="array" ref="G69">IFERROR(RANK(INDEX(ALL_METRICS!LC:LC,C2),ALL_METRICS!LC2:LC62,0)&amp;" / 62","")</f>
        <v/>
      </c>
    </row>
    <row r="71" spans="1:7" ht="13.95" customHeight="1" x14ac:dyDescent="0.3">
      <c r="A71" s="109" t="s">
        <v>2221</v>
      </c>
      <c r="B71" s="10"/>
      <c r="C71" s="10"/>
      <c r="D71" s="10"/>
      <c r="E71" s="10"/>
      <c r="F71" s="10"/>
      <c r="G7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BD36-94A6-4DF1-907F-62839F59884B}">
  <dimension ref="A1:H42"/>
  <sheetViews>
    <sheetView workbookViewId="0">
      <pane ySplit="1" topLeftCell="A2" activePane="bottomLeft" state="frozen"/>
      <selection pane="bottomLeft"/>
    </sheetView>
  </sheetViews>
  <sheetFormatPr defaultRowHeight="14.4" x14ac:dyDescent="0.3"/>
  <cols>
    <col min="1" max="1" width="29.6640625" customWidth="1"/>
    <col min="2" max="2" width="40.77734375" customWidth="1"/>
    <col min="3" max="3" width="22.21875" customWidth="1"/>
    <col min="4" max="4" width="18.5546875" customWidth="1"/>
    <col min="5" max="5" width="22.21875" customWidth="1"/>
    <col min="6" max="7" width="24.109375" customWidth="1"/>
    <col min="8" max="8" width="46.33203125" customWidth="1"/>
  </cols>
  <sheetData>
    <row r="1" spans="1:8" x14ac:dyDescent="0.3">
      <c r="A1" s="1" t="s">
        <v>1962</v>
      </c>
      <c r="B1" s="1" t="s">
        <v>1963</v>
      </c>
      <c r="C1" s="1" t="s">
        <v>1964</v>
      </c>
      <c r="D1" s="1" t="s">
        <v>1965</v>
      </c>
      <c r="E1" s="1" t="s">
        <v>1966</v>
      </c>
      <c r="F1" s="1" t="s">
        <v>1967</v>
      </c>
      <c r="G1" s="1" t="s">
        <v>1968</v>
      </c>
      <c r="H1" s="1" t="s">
        <v>1969</v>
      </c>
    </row>
    <row r="3" spans="1:8" x14ac:dyDescent="0.3">
      <c r="A3" s="2" t="s">
        <v>1970</v>
      </c>
    </row>
    <row r="4" spans="1:8" x14ac:dyDescent="0.3">
      <c r="A4" s="3" t="s">
        <v>1971</v>
      </c>
      <c r="B4" s="3" t="s">
        <v>1972</v>
      </c>
    </row>
    <row r="5" spans="1:8" x14ac:dyDescent="0.3">
      <c r="A5" s="3" t="s">
        <v>1973</v>
      </c>
      <c r="B5" s="3" t="s">
        <v>1974</v>
      </c>
    </row>
    <row r="6" spans="1:8" x14ac:dyDescent="0.3">
      <c r="A6" s="3" t="s">
        <v>1975</v>
      </c>
      <c r="B6" s="3" t="s">
        <v>1976</v>
      </c>
    </row>
    <row r="7" spans="1:8" x14ac:dyDescent="0.3">
      <c r="A7" s="3" t="s">
        <v>1977</v>
      </c>
      <c r="B7" s="3" t="s">
        <v>1978</v>
      </c>
    </row>
    <row r="8" spans="1:8" x14ac:dyDescent="0.3">
      <c r="A8" s="3" t="s">
        <v>1979</v>
      </c>
      <c r="B8" s="3" t="s">
        <v>1980</v>
      </c>
    </row>
    <row r="9" spans="1:8" x14ac:dyDescent="0.3">
      <c r="A9" s="4" t="s">
        <v>1981</v>
      </c>
    </row>
    <row r="10" spans="1:8" ht="18" customHeight="1" x14ac:dyDescent="0.3">
      <c r="A10" s="71">
        <v>46177</v>
      </c>
      <c r="B10" s="19" t="s">
        <v>1</v>
      </c>
      <c r="C10" s="19" t="s">
        <v>2051</v>
      </c>
      <c r="D10" s="19" t="s">
        <v>2052</v>
      </c>
      <c r="E10" s="19" t="s">
        <v>2053</v>
      </c>
      <c r="F10" s="19" t="s">
        <v>2054</v>
      </c>
      <c r="G10" s="72" t="s">
        <v>1971</v>
      </c>
      <c r="H10" s="19" t="s">
        <v>2055</v>
      </c>
    </row>
    <row r="11" spans="1:8" ht="18" customHeight="1" x14ac:dyDescent="0.3">
      <c r="A11" s="69">
        <v>46177</v>
      </c>
      <c r="B11" t="s">
        <v>0</v>
      </c>
      <c r="C11" t="s">
        <v>2051</v>
      </c>
      <c r="D11" t="s">
        <v>2054</v>
      </c>
      <c r="E11" t="s">
        <v>2053</v>
      </c>
      <c r="F11" t="s">
        <v>2052</v>
      </c>
      <c r="G11" s="70" t="s">
        <v>1971</v>
      </c>
      <c r="H11" t="s">
        <v>2056</v>
      </c>
    </row>
    <row r="12" spans="1:8" ht="18" customHeight="1" x14ac:dyDescent="0.3">
      <c r="A12" s="71">
        <v>46177</v>
      </c>
      <c r="B12" s="19" t="s">
        <v>9</v>
      </c>
      <c r="C12" s="19" t="s">
        <v>2051</v>
      </c>
      <c r="D12" s="19" t="s">
        <v>2057</v>
      </c>
      <c r="E12" s="19" t="s">
        <v>2053</v>
      </c>
      <c r="F12" s="19" t="s">
        <v>2058</v>
      </c>
      <c r="G12" s="72" t="s">
        <v>1971</v>
      </c>
      <c r="H12" s="19" t="s">
        <v>2059</v>
      </c>
    </row>
    <row r="13" spans="1:8" ht="18" customHeight="1" x14ac:dyDescent="0.3">
      <c r="A13" s="69">
        <v>46177</v>
      </c>
      <c r="B13" t="s">
        <v>11</v>
      </c>
      <c r="C13" t="s">
        <v>2051</v>
      </c>
      <c r="D13" t="s">
        <v>2060</v>
      </c>
      <c r="E13" t="s">
        <v>2053</v>
      </c>
      <c r="F13" t="s">
        <v>2061</v>
      </c>
      <c r="G13" s="70" t="s">
        <v>1971</v>
      </c>
      <c r="H13" t="s">
        <v>2062</v>
      </c>
    </row>
    <row r="14" spans="1:8" ht="18" customHeight="1" x14ac:dyDescent="0.3">
      <c r="A14" s="71">
        <v>46177</v>
      </c>
      <c r="B14" s="19" t="s">
        <v>15</v>
      </c>
      <c r="C14" s="19" t="s">
        <v>2051</v>
      </c>
      <c r="D14" s="19" t="s">
        <v>2063</v>
      </c>
      <c r="E14" s="19" t="s">
        <v>2053</v>
      </c>
      <c r="F14" s="19" t="s">
        <v>2064</v>
      </c>
      <c r="G14" s="72" t="s">
        <v>1971</v>
      </c>
      <c r="H14" s="19" t="s">
        <v>2065</v>
      </c>
    </row>
    <row r="15" spans="1:8" ht="18" customHeight="1" x14ac:dyDescent="0.3">
      <c r="A15" s="69">
        <v>46177</v>
      </c>
      <c r="B15" t="s">
        <v>23</v>
      </c>
      <c r="C15" t="s">
        <v>2051</v>
      </c>
      <c r="D15" t="s">
        <v>2066</v>
      </c>
      <c r="E15" t="s">
        <v>2053</v>
      </c>
      <c r="F15" t="s">
        <v>2067</v>
      </c>
      <c r="G15" s="70" t="s">
        <v>1971</v>
      </c>
      <c r="H15" t="s">
        <v>2068</v>
      </c>
    </row>
    <row r="16" spans="1:8" ht="18" customHeight="1" x14ac:dyDescent="0.3">
      <c r="A16" s="71">
        <v>46177</v>
      </c>
      <c r="B16" s="19" t="s">
        <v>45</v>
      </c>
      <c r="C16" s="19" t="s">
        <v>2051</v>
      </c>
      <c r="D16" s="19" t="s">
        <v>2069</v>
      </c>
      <c r="E16" s="19" t="s">
        <v>2053</v>
      </c>
      <c r="F16" s="19" t="s">
        <v>2070</v>
      </c>
      <c r="G16" s="72" t="s">
        <v>1971</v>
      </c>
      <c r="H16" s="19" t="s">
        <v>2071</v>
      </c>
    </row>
    <row r="17" spans="1:8" ht="18" customHeight="1" x14ac:dyDescent="0.3">
      <c r="A17" s="69">
        <v>46177</v>
      </c>
      <c r="B17" t="s">
        <v>48</v>
      </c>
      <c r="C17" t="s">
        <v>2051</v>
      </c>
      <c r="D17" t="s">
        <v>2072</v>
      </c>
      <c r="E17" t="s">
        <v>2053</v>
      </c>
      <c r="F17" t="s">
        <v>2073</v>
      </c>
      <c r="G17" s="70" t="s">
        <v>1971</v>
      </c>
      <c r="H17" t="s">
        <v>2074</v>
      </c>
    </row>
    <row r="18" spans="1:8" ht="18" customHeight="1" x14ac:dyDescent="0.3">
      <c r="A18" s="71">
        <v>46177</v>
      </c>
      <c r="B18" s="19" t="s">
        <v>133</v>
      </c>
      <c r="C18" s="19" t="s">
        <v>2051</v>
      </c>
      <c r="D18" s="19" t="s">
        <v>2075</v>
      </c>
      <c r="E18" s="19" t="s">
        <v>2053</v>
      </c>
      <c r="F18" s="19" t="s">
        <v>2076</v>
      </c>
      <c r="G18" s="72" t="s">
        <v>1971</v>
      </c>
      <c r="H18" s="19" t="s">
        <v>2077</v>
      </c>
    </row>
    <row r="19" spans="1:8" ht="18" customHeight="1" x14ac:dyDescent="0.3">
      <c r="A19" s="69">
        <v>46177</v>
      </c>
      <c r="B19" t="s">
        <v>81</v>
      </c>
      <c r="C19" t="s">
        <v>2051</v>
      </c>
      <c r="D19" t="s">
        <v>2078</v>
      </c>
      <c r="E19" t="s">
        <v>2053</v>
      </c>
      <c r="F19" t="s">
        <v>2057</v>
      </c>
      <c r="G19" s="70" t="s">
        <v>1971</v>
      </c>
      <c r="H19" t="s">
        <v>2079</v>
      </c>
    </row>
    <row r="20" spans="1:8" ht="18" customHeight="1" x14ac:dyDescent="0.3">
      <c r="A20" s="71">
        <v>46177</v>
      </c>
      <c r="B20" s="19" t="s">
        <v>106</v>
      </c>
      <c r="C20" s="19" t="s">
        <v>2051</v>
      </c>
      <c r="D20" s="19" t="s">
        <v>2080</v>
      </c>
      <c r="E20" s="19" t="s">
        <v>2053</v>
      </c>
      <c r="F20" s="19" t="s">
        <v>2081</v>
      </c>
      <c r="G20" s="72" t="s">
        <v>1971</v>
      </c>
      <c r="H20" s="19" t="s">
        <v>2082</v>
      </c>
    </row>
    <row r="21" spans="1:8" ht="18" customHeight="1" x14ac:dyDescent="0.3">
      <c r="A21" s="69">
        <v>46177</v>
      </c>
      <c r="B21" t="s">
        <v>108</v>
      </c>
      <c r="C21" t="s">
        <v>2051</v>
      </c>
      <c r="D21" t="s">
        <v>2083</v>
      </c>
      <c r="E21" t="s">
        <v>2053</v>
      </c>
      <c r="F21" t="s">
        <v>2060</v>
      </c>
      <c r="G21" s="70" t="s">
        <v>1971</v>
      </c>
      <c r="H21" t="s">
        <v>2084</v>
      </c>
    </row>
    <row r="22" spans="1:8" ht="18" customHeight="1" x14ac:dyDescent="0.3">
      <c r="A22" s="71">
        <v>46177</v>
      </c>
      <c r="B22" s="19" t="s">
        <v>113</v>
      </c>
      <c r="C22" s="19" t="s">
        <v>2051</v>
      </c>
      <c r="D22" s="19" t="s">
        <v>2085</v>
      </c>
      <c r="E22" s="19" t="s">
        <v>2053</v>
      </c>
      <c r="F22" s="19" t="s">
        <v>2086</v>
      </c>
      <c r="G22" s="72" t="s">
        <v>1971</v>
      </c>
      <c r="H22" s="19" t="s">
        <v>2087</v>
      </c>
    </row>
    <row r="23" spans="1:8" ht="18" customHeight="1" x14ac:dyDescent="0.3">
      <c r="A23" s="69">
        <v>46177</v>
      </c>
      <c r="B23" t="s">
        <v>131</v>
      </c>
      <c r="C23" t="s">
        <v>2051</v>
      </c>
      <c r="D23" t="s">
        <v>2088</v>
      </c>
      <c r="E23" t="s">
        <v>2053</v>
      </c>
      <c r="F23" t="s">
        <v>2089</v>
      </c>
      <c r="G23" s="70" t="s">
        <v>1971</v>
      </c>
      <c r="H23" t="s">
        <v>2090</v>
      </c>
    </row>
    <row r="24" spans="1:8" ht="18" customHeight="1" x14ac:dyDescent="0.3">
      <c r="A24" s="71">
        <v>46177</v>
      </c>
      <c r="B24" s="19" t="s">
        <v>134</v>
      </c>
      <c r="C24" s="19" t="s">
        <v>2051</v>
      </c>
      <c r="D24" s="19" t="s">
        <v>2091</v>
      </c>
      <c r="E24" s="19" t="s">
        <v>2053</v>
      </c>
      <c r="F24" s="19" t="s">
        <v>2092</v>
      </c>
      <c r="G24" s="72" t="s">
        <v>1971</v>
      </c>
      <c r="H24" s="19" t="s">
        <v>2093</v>
      </c>
    </row>
    <row r="25" spans="1:8" ht="18" customHeight="1" x14ac:dyDescent="0.3">
      <c r="A25" s="69">
        <v>46177</v>
      </c>
      <c r="B25" t="s">
        <v>135</v>
      </c>
      <c r="C25" t="s">
        <v>2051</v>
      </c>
      <c r="D25" t="s">
        <v>2094</v>
      </c>
      <c r="E25" t="s">
        <v>2053</v>
      </c>
      <c r="F25" t="s">
        <v>2063</v>
      </c>
      <c r="G25" s="70" t="s">
        <v>1971</v>
      </c>
      <c r="H25" t="s">
        <v>2095</v>
      </c>
    </row>
    <row r="26" spans="1:8" ht="18" customHeight="1" x14ac:dyDescent="0.3">
      <c r="A26" s="71">
        <v>46177</v>
      </c>
      <c r="B26" s="19" t="s">
        <v>136</v>
      </c>
      <c r="C26" s="19" t="s">
        <v>2051</v>
      </c>
      <c r="D26" s="19" t="s">
        <v>2096</v>
      </c>
      <c r="E26" s="19" t="s">
        <v>2053</v>
      </c>
      <c r="F26" s="19" t="s">
        <v>2097</v>
      </c>
      <c r="G26" s="72" t="s">
        <v>1971</v>
      </c>
      <c r="H26" s="19" t="s">
        <v>2098</v>
      </c>
    </row>
    <row r="27" spans="1:8" ht="18" customHeight="1" x14ac:dyDescent="0.3">
      <c r="A27" s="69">
        <v>46177</v>
      </c>
      <c r="B27" t="s">
        <v>137</v>
      </c>
      <c r="C27" t="s">
        <v>2051</v>
      </c>
      <c r="D27" t="s">
        <v>2099</v>
      </c>
      <c r="E27" t="s">
        <v>2053</v>
      </c>
      <c r="F27" t="s">
        <v>2100</v>
      </c>
      <c r="G27" s="70" t="s">
        <v>1971</v>
      </c>
      <c r="H27" t="s">
        <v>2101</v>
      </c>
    </row>
    <row r="28" spans="1:8" ht="18" customHeight="1" x14ac:dyDescent="0.3">
      <c r="A28" s="71">
        <v>46177</v>
      </c>
      <c r="B28" s="19" t="s">
        <v>138</v>
      </c>
      <c r="C28" s="19" t="s">
        <v>2051</v>
      </c>
      <c r="D28" s="19" t="s">
        <v>2102</v>
      </c>
      <c r="E28" s="19" t="s">
        <v>2053</v>
      </c>
      <c r="F28" s="19" t="s">
        <v>2103</v>
      </c>
      <c r="G28" s="72" t="s">
        <v>1971</v>
      </c>
      <c r="H28" s="19" t="s">
        <v>2104</v>
      </c>
    </row>
    <row r="29" spans="1:8" ht="18" customHeight="1" x14ac:dyDescent="0.3">
      <c r="A29" s="69">
        <v>46177</v>
      </c>
      <c r="B29" t="s">
        <v>141</v>
      </c>
      <c r="C29" t="s">
        <v>2051</v>
      </c>
      <c r="D29" t="s">
        <v>2105</v>
      </c>
      <c r="E29" t="s">
        <v>2053</v>
      </c>
      <c r="F29" t="s">
        <v>2106</v>
      </c>
      <c r="G29" s="70" t="s">
        <v>1971</v>
      </c>
      <c r="H29" t="s">
        <v>2107</v>
      </c>
    </row>
    <row r="30" spans="1:8" ht="18" customHeight="1" x14ac:dyDescent="0.3">
      <c r="A30" s="71">
        <v>46177</v>
      </c>
      <c r="B30" s="19" t="s">
        <v>169</v>
      </c>
      <c r="C30" s="19" t="s">
        <v>2051</v>
      </c>
      <c r="D30" s="19" t="s">
        <v>2108</v>
      </c>
      <c r="E30" s="19" t="s">
        <v>2053</v>
      </c>
      <c r="F30" s="19" t="s">
        <v>2109</v>
      </c>
      <c r="G30" s="72" t="s">
        <v>1971</v>
      </c>
      <c r="H30" s="19" t="s">
        <v>2110</v>
      </c>
    </row>
    <row r="31" spans="1:8" ht="18" customHeight="1" x14ac:dyDescent="0.3">
      <c r="A31" s="69">
        <v>46177</v>
      </c>
      <c r="B31" t="s">
        <v>170</v>
      </c>
      <c r="C31" t="s">
        <v>2051</v>
      </c>
      <c r="D31" t="s">
        <v>2111</v>
      </c>
      <c r="E31" t="s">
        <v>2053</v>
      </c>
      <c r="F31" t="s">
        <v>2112</v>
      </c>
      <c r="G31" s="70" t="s">
        <v>1971</v>
      </c>
      <c r="H31" t="s">
        <v>2113</v>
      </c>
    </row>
    <row r="32" spans="1:8" ht="18" customHeight="1" x14ac:dyDescent="0.3">
      <c r="A32" s="71">
        <v>46177</v>
      </c>
      <c r="B32" s="19" t="s">
        <v>180</v>
      </c>
      <c r="C32" s="19" t="s">
        <v>2051</v>
      </c>
      <c r="D32" s="19" t="s">
        <v>2114</v>
      </c>
      <c r="E32" s="19" t="s">
        <v>2053</v>
      </c>
      <c r="F32" s="19" t="s">
        <v>2115</v>
      </c>
      <c r="G32" s="72" t="s">
        <v>1971</v>
      </c>
      <c r="H32" s="19" t="s">
        <v>2116</v>
      </c>
    </row>
    <row r="33" spans="1:8" ht="18" customHeight="1" x14ac:dyDescent="0.3">
      <c r="A33" s="69">
        <v>46177</v>
      </c>
      <c r="B33" t="s">
        <v>263</v>
      </c>
      <c r="C33" t="s">
        <v>2051</v>
      </c>
      <c r="D33" t="s">
        <v>2117</v>
      </c>
      <c r="E33" t="s">
        <v>2053</v>
      </c>
      <c r="F33" t="s">
        <v>2066</v>
      </c>
      <c r="G33" s="70" t="s">
        <v>1971</v>
      </c>
      <c r="H33" t="s">
        <v>2118</v>
      </c>
    </row>
    <row r="34" spans="1:8" ht="18" customHeight="1" x14ac:dyDescent="0.3">
      <c r="A34" s="71">
        <v>46177</v>
      </c>
      <c r="B34" s="19" t="s">
        <v>320</v>
      </c>
      <c r="C34" s="19" t="s">
        <v>2051</v>
      </c>
      <c r="D34" s="19" t="s">
        <v>2119</v>
      </c>
      <c r="E34" s="19" t="s">
        <v>2053</v>
      </c>
      <c r="F34" s="19" t="s">
        <v>2120</v>
      </c>
      <c r="G34" s="72" t="s">
        <v>1971</v>
      </c>
      <c r="H34" s="19" t="s">
        <v>2121</v>
      </c>
    </row>
    <row r="35" spans="1:8" ht="18" customHeight="1" x14ac:dyDescent="0.3">
      <c r="A35" s="69">
        <v>46177</v>
      </c>
      <c r="B35" t="s">
        <v>321</v>
      </c>
      <c r="C35" t="s">
        <v>2051</v>
      </c>
      <c r="D35" t="s">
        <v>2122</v>
      </c>
      <c r="E35" t="s">
        <v>2053</v>
      </c>
      <c r="F35" t="s">
        <v>2123</v>
      </c>
      <c r="G35" s="70" t="s">
        <v>1971</v>
      </c>
      <c r="H35" t="s">
        <v>2124</v>
      </c>
    </row>
    <row r="36" spans="1:8" ht="18" customHeight="1" x14ac:dyDescent="0.3">
      <c r="A36" s="71">
        <v>46177</v>
      </c>
      <c r="B36" s="19" t="s">
        <v>322</v>
      </c>
      <c r="C36" s="19" t="s">
        <v>2051</v>
      </c>
      <c r="D36" s="19" t="s">
        <v>2125</v>
      </c>
      <c r="E36" s="19" t="s">
        <v>2053</v>
      </c>
      <c r="F36" s="19" t="s">
        <v>2126</v>
      </c>
      <c r="G36" s="72" t="s">
        <v>1971</v>
      </c>
      <c r="H36" s="19" t="s">
        <v>2127</v>
      </c>
    </row>
    <row r="37" spans="1:8" ht="18" customHeight="1" x14ac:dyDescent="0.3">
      <c r="A37" s="69">
        <v>46177</v>
      </c>
      <c r="B37" t="s">
        <v>323</v>
      </c>
      <c r="C37" t="s">
        <v>2051</v>
      </c>
      <c r="D37" t="s">
        <v>2128</v>
      </c>
      <c r="E37" t="s">
        <v>2053</v>
      </c>
      <c r="F37" t="s">
        <v>2129</v>
      </c>
      <c r="G37" s="70" t="s">
        <v>1971</v>
      </c>
      <c r="H37" t="s">
        <v>2130</v>
      </c>
    </row>
    <row r="38" spans="1:8" ht="18" customHeight="1" x14ac:dyDescent="0.3">
      <c r="A38" s="71">
        <v>46177</v>
      </c>
      <c r="B38" s="19" t="s">
        <v>335</v>
      </c>
      <c r="C38" s="19" t="s">
        <v>2051</v>
      </c>
      <c r="D38" s="19" t="s">
        <v>2131</v>
      </c>
      <c r="E38" s="19" t="s">
        <v>2053</v>
      </c>
      <c r="F38" s="19" t="s">
        <v>2132</v>
      </c>
      <c r="G38" s="72" t="s">
        <v>1971</v>
      </c>
      <c r="H38" s="19" t="s">
        <v>2133</v>
      </c>
    </row>
    <row r="39" spans="1:8" ht="18" customHeight="1" x14ac:dyDescent="0.3">
      <c r="A39" s="69">
        <v>46177</v>
      </c>
      <c r="B39" t="s">
        <v>342</v>
      </c>
      <c r="C39" t="s">
        <v>2051</v>
      </c>
      <c r="D39" t="s">
        <v>2134</v>
      </c>
      <c r="E39" t="s">
        <v>2053</v>
      </c>
      <c r="F39" t="s">
        <v>2135</v>
      </c>
      <c r="G39" s="70" t="s">
        <v>1971</v>
      </c>
      <c r="H39" t="s">
        <v>2136</v>
      </c>
    </row>
    <row r="41" spans="1:8" ht="18" customHeight="1" x14ac:dyDescent="0.3">
      <c r="A41" s="84">
        <v>46177</v>
      </c>
      <c r="B41" t="s">
        <v>2168</v>
      </c>
      <c r="C41" t="s">
        <v>2169</v>
      </c>
      <c r="D41" t="s">
        <v>2170</v>
      </c>
      <c r="E41" t="s">
        <v>2051</v>
      </c>
      <c r="F41" t="s">
        <v>2171</v>
      </c>
      <c r="G41" s="70" t="s">
        <v>2172</v>
      </c>
      <c r="H41" t="s">
        <v>2173</v>
      </c>
    </row>
    <row r="42" spans="1:8" ht="18" customHeight="1" x14ac:dyDescent="0.3">
      <c r="A42" s="84">
        <v>46177</v>
      </c>
      <c r="B42" t="s">
        <v>2174</v>
      </c>
      <c r="C42" t="s">
        <v>2169</v>
      </c>
      <c r="E42" t="s">
        <v>2051</v>
      </c>
      <c r="G42" s="85" t="s">
        <v>2175</v>
      </c>
      <c r="H42" t="s">
        <v>2176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781A-FAC6-4EB4-AF79-6AA8EF54AB18}">
  <dimension ref="A1:I65"/>
  <sheetViews>
    <sheetView workbookViewId="0">
      <pane ySplit="2" topLeftCell="A41" activePane="bottomLeft" state="frozen"/>
      <selection pane="bottomLeft"/>
    </sheetView>
  </sheetViews>
  <sheetFormatPr defaultRowHeight="14.4" x14ac:dyDescent="0.3"/>
  <cols>
    <col min="1" max="1" width="38.88671875" customWidth="1"/>
    <col min="2" max="7" width="13.88671875" customWidth="1"/>
    <col min="8" max="8" width="14.77734375" customWidth="1"/>
    <col min="9" max="9" width="18.5546875" customWidth="1"/>
  </cols>
  <sheetData>
    <row r="1" spans="1:9" ht="31.95" customHeight="1" x14ac:dyDescent="0.35">
      <c r="A1" s="86" t="s">
        <v>2231</v>
      </c>
      <c r="B1" s="10"/>
      <c r="C1" s="10"/>
      <c r="D1" s="10"/>
      <c r="E1" s="10"/>
      <c r="F1" s="10"/>
      <c r="G1" s="10"/>
      <c r="H1" s="10"/>
      <c r="I1" s="10"/>
    </row>
    <row r="2" spans="1:9" ht="19.95" customHeight="1" x14ac:dyDescent="0.3">
      <c r="A2" s="130" t="s">
        <v>1991</v>
      </c>
      <c r="B2" s="113" t="s">
        <v>2232</v>
      </c>
      <c r="C2" s="114" t="s">
        <v>2233</v>
      </c>
      <c r="D2" s="115" t="s">
        <v>2234</v>
      </c>
      <c r="E2" s="116" t="s">
        <v>2235</v>
      </c>
      <c r="F2" s="117" t="s">
        <v>2236</v>
      </c>
      <c r="G2" s="118" t="s">
        <v>2237</v>
      </c>
      <c r="H2" s="119" t="s">
        <v>2238</v>
      </c>
      <c r="I2" s="114" t="s">
        <v>2239</v>
      </c>
    </row>
    <row r="3" spans="1:9" ht="16.05" customHeight="1" x14ac:dyDescent="0.3">
      <c r="A3" s="131" t="str">
        <f>ALL_METRICS!B2</f>
        <v>MDA-000-series-map.md</v>
      </c>
      <c r="B3" s="132">
        <f>ROUND(MIN(ALL_METRICS!L2,0.6)/0.6*40+MAX(0,(0.4-ALL_METRICS!X2)/0.4)*20+IF(ALL_METRICS!AT2="A — Evidence-Rich",30,IF(LEFT(ALL_METRICS!AT2,1)="B",20,IF(LEFT(ALL_METRICS!AT2,1)="C",10,5)))+IF(AND(ALL_METRICS!AM2&gt;=6,ALL_METRICS!AM2&lt;=12),15,IF(ALL_METRICS!AM2&lt;6,10,5)),1)</f>
        <v>89.3</v>
      </c>
      <c r="C3" s="132">
        <f>ROUND(MIN(ALL_METRICS!EB2,20)/20*50+MIN(ALL_METRICS!DC2,5)/5*25+MIN(ALL_METRICS!DE2,2)/2*15+(1-MIN(ABS(ALL_METRICS!DJ2-0.5),0.5)/0.5)*10,1)</f>
        <v>47.9</v>
      </c>
      <c r="D3" s="132">
        <f>ROUND(MIN(ALL_METRICS!EE2,10)/10*40+MIN(MAX(ALL_METRICS!EI2,0),3)/3*30+MIN(ALL_METRICS!EN2,10)/10*30,1)</f>
        <v>48.1</v>
      </c>
      <c r="E3" s="132">
        <f>ROUND(ALL_METRICS!FN2*30+ALL_METRICS!FO2*30+ALL_METRICS!FY2*25+MAX(0,(1-ALL_METRICS!FZ2/0.5))*15,1)</f>
        <v>66.7</v>
      </c>
      <c r="F3" s="132">
        <f>ROUND(MIN(ALL_METRICS!LI2,1)*50+MAX(0,(1-ALL_METRICS!LJ2*5))*30+MIN(MAX(ALL_METRICS!LK2,0),1)*20,1)</f>
        <v>30</v>
      </c>
      <c r="G3" s="132">
        <f>ROUND(MIN(MAX(ALL_METRICS!LX2-0.2,0)/0.45*100,100),1)</f>
        <v>72.7</v>
      </c>
      <c r="H3" s="138">
        <f>ROUND(AVERAGE(B3:G3),1)</f>
        <v>59.1</v>
      </c>
      <c r="I3" s="131" t="str">
        <f>ALL_METRICS!ED2</f>
        <v>D (Light)</v>
      </c>
    </row>
    <row r="4" spans="1:9" ht="16.05" customHeight="1" x14ac:dyDescent="0.3">
      <c r="A4" s="133" t="str">
        <f>ALL_METRICS!B3</f>
        <v>MDA-001-story-introduction.md</v>
      </c>
      <c r="B4" s="134">
        <f>ROUND(MIN(ALL_METRICS!L3,0.6)/0.6*40+MAX(0,(0.4-ALL_METRICS!X3)/0.4)*20+IF(ALL_METRICS!AT3="A — Evidence-Rich",30,IF(LEFT(ALL_METRICS!AT3,1)="B",20,IF(LEFT(ALL_METRICS!AT3,1)="C",10,5)))+IF(AND(ALL_METRICS!AM3&gt;=6,ALL_METRICS!AM3&lt;=12),15,IF(ALL_METRICS!AM3&lt;6,10,5)),1)</f>
        <v>65.099999999999994</v>
      </c>
      <c r="C4" s="134">
        <f>ROUND(MIN(ALL_METRICS!EB3,20)/20*50+MIN(ALL_METRICS!DC3,5)/5*25+MIN(ALL_METRICS!DE3,2)/2*15+(1-MIN(ABS(ALL_METRICS!DJ3-0.5),0.5)/0.5)*10,1)</f>
        <v>37.299999999999997</v>
      </c>
      <c r="D4" s="134">
        <f>ROUND(MIN(ALL_METRICS!EE3,10)/10*40+MIN(MAX(ALL_METRICS!EI3,0),3)/3*30+MIN(ALL_METRICS!EN3,10)/10*30,1)</f>
        <v>30.9</v>
      </c>
      <c r="E4" s="134">
        <f>ROUND(ALL_METRICS!FN3*30+ALL_METRICS!FO3*30+ALL_METRICS!FY3*25+MAX(0,(1-ALL_METRICS!FZ3/0.5))*15,1)</f>
        <v>66</v>
      </c>
      <c r="F4" s="134">
        <f>ROUND(MIN(ALL_METRICS!LI3,1)*50+MAX(0,(1-ALL_METRICS!LJ3*5))*30+MIN(MAX(ALL_METRICS!LK3,0),1)*20,1)</f>
        <v>30</v>
      </c>
      <c r="G4" s="134">
        <f>ROUND(MIN(MAX(ALL_METRICS!LX3-0.2,0)/0.45*100,100),1)</f>
        <v>60.5</v>
      </c>
      <c r="H4" s="139">
        <f>ROUND(AVERAGE(B4:G4),1)</f>
        <v>48.3</v>
      </c>
      <c r="I4" s="133" t="str">
        <f>ALL_METRICS!ED3</f>
        <v>F (Needs Citations)</v>
      </c>
    </row>
    <row r="5" spans="1:9" ht="16.05" customHeight="1" x14ac:dyDescent="0.3">
      <c r="A5" s="131" t="str">
        <f>ALL_METRICS!B4</f>
        <v>MDA-002-samuel-1900.md</v>
      </c>
      <c r="B5" s="132">
        <f>ROUND(MIN(ALL_METRICS!L4,0.6)/0.6*40+MAX(0,(0.4-ALL_METRICS!X4)/0.4)*20+IF(ALL_METRICS!AT4="A — Evidence-Rich",30,IF(LEFT(ALL_METRICS!AT4,1)="B",20,IF(LEFT(ALL_METRICS!AT4,1)="C",10,5)))+IF(AND(ALL_METRICS!AM4&gt;=6,ALL_METRICS!AM4&lt;=12),15,IF(ALL_METRICS!AM4&lt;6,10,5)),1)</f>
        <v>70</v>
      </c>
      <c r="C5" s="132">
        <f>ROUND(MIN(ALL_METRICS!EB4,20)/20*50+MIN(ALL_METRICS!DC4,5)/5*25+MIN(ALL_METRICS!DE4,2)/2*15+(1-MIN(ABS(ALL_METRICS!DJ4-0.5),0.5)/0.5)*10,1)</f>
        <v>31</v>
      </c>
      <c r="D5" s="132">
        <f>ROUND(MIN(ALL_METRICS!EE4,10)/10*40+MIN(MAX(ALL_METRICS!EI4,0),3)/3*30+MIN(ALL_METRICS!EN4,10)/10*30,1)</f>
        <v>15.5</v>
      </c>
      <c r="E5" s="132">
        <f>ROUND(ALL_METRICS!FN4*30+ALL_METRICS!FO4*30+ALL_METRICS!FY4*25+MAX(0,(1-ALL_METRICS!FZ4/0.5))*15,1)</f>
        <v>62.5</v>
      </c>
      <c r="F5" s="132">
        <f>ROUND(MIN(ALL_METRICS!LI4,1)*50+MAX(0,(1-ALL_METRICS!LJ4*5))*30+MIN(MAX(ALL_METRICS!LK4,0),1)*20,1)</f>
        <v>30</v>
      </c>
      <c r="G5" s="132">
        <f>ROUND(MIN(MAX(ALL_METRICS!LX4-0.2,0)/0.45*100,100),1)</f>
        <v>52.8</v>
      </c>
      <c r="H5" s="138">
        <f>ROUND(AVERAGE(B5:G5),1)</f>
        <v>43.6</v>
      </c>
      <c r="I5" s="131" t="str">
        <f>ALL_METRICS!ED4</f>
        <v>F (Needs Citations)</v>
      </c>
    </row>
    <row r="6" spans="1:9" ht="16.05" customHeight="1" x14ac:dyDescent="0.3">
      <c r="A6" s="133" t="str">
        <f>ALL_METRICS!B5</f>
        <v>MDA-003-measuring-moral-health.md</v>
      </c>
      <c r="B6" s="134">
        <f>ROUND(MIN(ALL_METRICS!L5,0.6)/0.6*40+MAX(0,(0.4-ALL_METRICS!X5)/0.4)*20+IF(ALL_METRICS!AT5="A — Evidence-Rich",30,IF(LEFT(ALL_METRICS!AT5,1)="B",20,IF(LEFT(ALL_METRICS!AT5,1)="C",10,5)))+IF(AND(ALL_METRICS!AM5&gt;=6,ALL_METRICS!AM5&lt;=12),15,IF(ALL_METRICS!AM5&lt;6,10,5)),1)</f>
        <v>64.3</v>
      </c>
      <c r="C6" s="134">
        <f>ROUND(MIN(ALL_METRICS!EB5,20)/20*50+MIN(ALL_METRICS!DC5,5)/5*25+MIN(ALL_METRICS!DE5,2)/2*15+(1-MIN(ABS(ALL_METRICS!DJ5-0.5),0.5)/0.5)*10,1)</f>
        <v>49.3</v>
      </c>
      <c r="D6" s="134">
        <f>ROUND(MIN(ALL_METRICS!EE5,10)/10*40+MIN(MAX(ALL_METRICS!EI5,0),3)/3*30+MIN(ALL_METRICS!EN5,10)/10*30,1)</f>
        <v>43.6</v>
      </c>
      <c r="E6" s="134">
        <f>ROUND(ALL_METRICS!FN5*30+ALL_METRICS!FO5*30+ALL_METRICS!FY5*25+MAX(0,(1-ALL_METRICS!FZ5/0.5))*15,1)</f>
        <v>60.5</v>
      </c>
      <c r="F6" s="134">
        <f>ROUND(MIN(ALL_METRICS!LI5,1)*50+MAX(0,(1-ALL_METRICS!LJ5*5))*30+MIN(MAX(ALL_METRICS!LK5,0),1)*20,1)</f>
        <v>30</v>
      </c>
      <c r="G6" s="134">
        <f>ROUND(MIN(MAX(ALL_METRICS!LX5-0.2,0)/0.45*100,100),1)</f>
        <v>76.5</v>
      </c>
      <c r="H6" s="139">
        <f>ROUND(AVERAGE(B6:G6),1)</f>
        <v>54</v>
      </c>
      <c r="I6" s="133" t="str">
        <f>ALL_METRICS!ED5</f>
        <v>F (Needs Citations)</v>
      </c>
    </row>
    <row r="7" spans="1:9" ht="16.05" customHeight="1" x14ac:dyDescent="0.3">
      <c r="A7" s="131" t="str">
        <f>ALL_METRICS!B6</f>
        <v>MDA-005-empirical-evidence.md</v>
      </c>
      <c r="B7" s="132">
        <f>ROUND(MIN(ALL_METRICS!L6,0.6)/0.6*40+MAX(0,(0.4-ALL_METRICS!X6)/0.4)*20+IF(ALL_METRICS!AT6="A — Evidence-Rich",30,IF(LEFT(ALL_METRICS!AT6,1)="B",20,IF(LEFT(ALL_METRICS!AT6,1)="C",10,5)))+IF(AND(ALL_METRICS!AM6&gt;=6,ALL_METRICS!AM6&lt;=12),15,IF(ALL_METRICS!AM6&lt;6,10,5)),1)</f>
        <v>59.8</v>
      </c>
      <c r="C7" s="132">
        <f>ROUND(MIN(ALL_METRICS!EB6,20)/20*50+MIN(ALL_METRICS!DC6,5)/5*25+MIN(ALL_METRICS!DE6,2)/2*15+(1-MIN(ABS(ALL_METRICS!DJ6-0.5),0.5)/0.5)*10,1)</f>
        <v>75.400000000000006</v>
      </c>
      <c r="D7" s="132">
        <f>ROUND(MIN(ALL_METRICS!EE6,10)/10*40+MIN(MAX(ALL_METRICS!EI6,0),3)/3*30+MIN(ALL_METRICS!EN6,10)/10*30,1)</f>
        <v>19.600000000000001</v>
      </c>
      <c r="E7" s="132">
        <f>ROUND(ALL_METRICS!FN6*30+ALL_METRICS!FO6*30+ALL_METRICS!FY6*25+MAX(0,(1-ALL_METRICS!FZ6/0.5))*15,1)</f>
        <v>64.2</v>
      </c>
      <c r="F7" s="132">
        <f>ROUND(MIN(ALL_METRICS!LI6,1)*50+MAX(0,(1-ALL_METRICS!LJ6*5))*30+MIN(MAX(ALL_METRICS!LK6,0),1)*20,1)</f>
        <v>30</v>
      </c>
      <c r="G7" s="132">
        <f>ROUND(MIN(MAX(ALL_METRICS!LX6-0.2,0)/0.45*100,100),1)</f>
        <v>78.400000000000006</v>
      </c>
      <c r="H7" s="138">
        <f>ROUND(AVERAGE(B7:G7),1)</f>
        <v>54.6</v>
      </c>
      <c r="I7" s="131" t="str">
        <f>ALL_METRICS!ED6</f>
        <v>D (Light)</v>
      </c>
    </row>
    <row r="8" spans="1:9" ht="16.05" customHeight="1" x14ac:dyDescent="0.3">
      <c r="A8" s="133" t="str">
        <f>ALL_METRICS!B7</f>
        <v>MDA-006-research-method.md</v>
      </c>
      <c r="B8" s="134">
        <f>ROUND(MIN(ALL_METRICS!L7,0.6)/0.6*40+MAX(0,(0.4-ALL_METRICS!X7)/0.4)*20+IF(ALL_METRICS!AT7="A — Evidence-Rich",30,IF(LEFT(ALL_METRICS!AT7,1)="B",20,IF(LEFT(ALL_METRICS!AT7,1)="C",10,5)))+IF(AND(ALL_METRICS!AM7&gt;=6,ALL_METRICS!AM7&lt;=12),15,IF(ALL_METRICS!AM7&lt;6,10,5)),1)</f>
        <v>60.6</v>
      </c>
      <c r="C8" s="134">
        <f>ROUND(MIN(ALL_METRICS!EB7,20)/20*50+MIN(ALL_METRICS!DC7,5)/5*25+MIN(ALL_METRICS!DE7,2)/2*15+(1-MIN(ABS(ALL_METRICS!DJ7-0.5),0.5)/0.5)*10,1)</f>
        <v>60.2</v>
      </c>
      <c r="D8" s="134">
        <f>ROUND(MIN(ALL_METRICS!EE7,10)/10*40+MIN(MAX(ALL_METRICS!EI7,0),3)/3*30+MIN(ALL_METRICS!EN7,10)/10*30,1)</f>
        <v>14.3</v>
      </c>
      <c r="E8" s="134">
        <f>ROUND(ALL_METRICS!FN7*30+ALL_METRICS!FO7*30+ALL_METRICS!FY7*25+MAX(0,(1-ALL_METRICS!FZ7/0.5))*15,1)</f>
        <v>61.6</v>
      </c>
      <c r="F8" s="134">
        <f>ROUND(MIN(ALL_METRICS!LI7,1)*50+MAX(0,(1-ALL_METRICS!LJ7*5))*30+MIN(MAX(ALL_METRICS!LK7,0),1)*20,1)</f>
        <v>30</v>
      </c>
      <c r="G8" s="134">
        <f>ROUND(MIN(MAX(ALL_METRICS!LX7-0.2,0)/0.45*100,100),1)</f>
        <v>65.400000000000006</v>
      </c>
      <c r="H8" s="139">
        <f>ROUND(AVERAGE(B8:G8),1)</f>
        <v>48.7</v>
      </c>
      <c r="I8" s="133" t="str">
        <f>ALL_METRICS!ED7</f>
        <v>D (Light)</v>
      </c>
    </row>
    <row r="9" spans="1:9" ht="16.05" customHeight="1" x14ac:dyDescent="0.3">
      <c r="A9" s="131" t="str">
        <f>ALL_METRICS!B8</f>
        <v>MDA-007-nine-domains.md</v>
      </c>
      <c r="B9" s="132">
        <f>ROUND(MIN(ALL_METRICS!L8,0.6)/0.6*40+MAX(0,(0.4-ALL_METRICS!X8)/0.4)*20+IF(ALL_METRICS!AT8="A — Evidence-Rich",30,IF(LEFT(ALL_METRICS!AT8,1)="B",20,IF(LEFT(ALL_METRICS!AT8,1)="C",10,5)))+IF(AND(ALL_METRICS!AM8&gt;=6,ALL_METRICS!AM8&lt;=12),15,IF(ALL_METRICS!AM8&lt;6,10,5)),1)</f>
        <v>65.099999999999994</v>
      </c>
      <c r="C9" s="132">
        <f>ROUND(MIN(ALL_METRICS!EB8,20)/20*50+MIN(ALL_METRICS!DC8,5)/5*25+MIN(ALL_METRICS!DE8,2)/2*15+(1-MIN(ABS(ALL_METRICS!DJ8-0.5),0.5)/0.5)*10,1)</f>
        <v>44.2</v>
      </c>
      <c r="D9" s="132">
        <f>ROUND(MIN(ALL_METRICS!EE8,10)/10*40+MIN(MAX(ALL_METRICS!EI8,0),3)/3*30+MIN(ALL_METRICS!EN8,10)/10*30,1)</f>
        <v>36.4</v>
      </c>
      <c r="E9" s="132">
        <f>ROUND(ALL_METRICS!FN8*30+ALL_METRICS!FO8*30+ALL_METRICS!FY8*25+MAX(0,(1-ALL_METRICS!FZ8/0.5))*15,1)</f>
        <v>60.2</v>
      </c>
      <c r="F9" s="132">
        <f>ROUND(MIN(ALL_METRICS!LI8,1)*50+MAX(0,(1-ALL_METRICS!LJ8*5))*30+MIN(MAX(ALL_METRICS!LK8,0),1)*20,1)</f>
        <v>30</v>
      </c>
      <c r="G9" s="132">
        <f>ROUND(MIN(MAX(ALL_METRICS!LX8-0.2,0)/0.45*100,100),1)</f>
        <v>89.5</v>
      </c>
      <c r="H9" s="138">
        <f>ROUND(AVERAGE(B9:G9),1)</f>
        <v>54.2</v>
      </c>
      <c r="I9" s="131" t="str">
        <f>ALL_METRICS!ED8</f>
        <v>F (Needs Citations)</v>
      </c>
    </row>
    <row r="10" spans="1:9" ht="16.05" customHeight="1" x14ac:dyDescent="0.3">
      <c r="A10" s="133" t="str">
        <f>ALL_METRICS!B9</f>
        <v>MDA-008-henry-1926.md</v>
      </c>
      <c r="B10" s="134">
        <f>ROUND(MIN(ALL_METRICS!L9,0.6)/0.6*40+MAX(0,(0.4-ALL_METRICS!X9)/0.4)*20+IF(ALL_METRICS!AT9="A — Evidence-Rich",30,IF(LEFT(ALL_METRICS!AT9,1)="B",20,IF(LEFT(ALL_METRICS!AT9,1)="C",10,5)))+IF(AND(ALL_METRICS!AM9&gt;=6,ALL_METRICS!AM9&lt;=12),15,IF(ALL_METRICS!AM9&lt;6,10,5)),1)</f>
        <v>55.1</v>
      </c>
      <c r="C10" s="134">
        <f>ROUND(MIN(ALL_METRICS!EB9,20)/20*50+MIN(ALL_METRICS!DC9,5)/5*25+MIN(ALL_METRICS!DE9,2)/2*15+(1-MIN(ABS(ALL_METRICS!DJ9-0.5),0.5)/0.5)*10,1)</f>
        <v>45.1</v>
      </c>
      <c r="D10" s="134">
        <f>ROUND(MIN(ALL_METRICS!EE9,10)/10*40+MIN(MAX(ALL_METRICS!EI9,0),3)/3*30+MIN(ALL_METRICS!EN9,10)/10*30,1)</f>
        <v>18.399999999999999</v>
      </c>
      <c r="E10" s="134">
        <f>ROUND(ALL_METRICS!FN9*30+ALL_METRICS!FO9*30+ALL_METRICS!FY9*25+MAX(0,(1-ALL_METRICS!FZ9/0.5))*15,1)</f>
        <v>61.1</v>
      </c>
      <c r="F10" s="134">
        <f>ROUND(MIN(ALL_METRICS!LI9,1)*50+MAX(0,(1-ALL_METRICS!LJ9*5))*30+MIN(MAX(ALL_METRICS!LK9,0),1)*20,1)</f>
        <v>30</v>
      </c>
      <c r="G10" s="134">
        <f>ROUND(MIN(MAX(ALL_METRICS!LX9-0.2,0)/0.45*100,100),1)</f>
        <v>49.2</v>
      </c>
      <c r="H10" s="139">
        <f>ROUND(AVERAGE(B10:G10),1)</f>
        <v>43.2</v>
      </c>
      <c r="I10" s="133" t="str">
        <f>ALL_METRICS!ED9</f>
        <v>F (Needs Citations)</v>
      </c>
    </row>
    <row r="11" spans="1:9" ht="16.05" customHeight="1" x14ac:dyDescent="0.3">
      <c r="A11" s="131" t="str">
        <f>ALL_METRICS!B10</f>
        <v>MDA-009-the-1900-baseline.md</v>
      </c>
      <c r="B11" s="132">
        <f>ROUND(MIN(ALL_METRICS!L10,0.6)/0.6*40+MAX(0,(0.4-ALL_METRICS!X10)/0.4)*20+IF(ALL_METRICS!AT10="A — Evidence-Rich",30,IF(LEFT(ALL_METRICS!AT10,1)="B",20,IF(LEFT(ALL_METRICS!AT10,1)="C",10,5)))+IF(AND(ALL_METRICS!AM10&gt;=6,ALL_METRICS!AM10&lt;=12),15,IF(ALL_METRICS!AM10&lt;6,10,5)),1)</f>
        <v>64.599999999999994</v>
      </c>
      <c r="C11" s="132">
        <f>ROUND(MIN(ALL_METRICS!EB10,20)/20*50+MIN(ALL_METRICS!DC10,5)/5*25+MIN(ALL_METRICS!DE10,2)/2*15+(1-MIN(ABS(ALL_METRICS!DJ10-0.5),0.5)/0.5)*10,1)</f>
        <v>53.1</v>
      </c>
      <c r="D11" s="132">
        <f>ROUND(MIN(ALL_METRICS!EE10,10)/10*40+MIN(MAX(ALL_METRICS!EI10,0),3)/3*30+MIN(ALL_METRICS!EN10,10)/10*30,1)</f>
        <v>23.7</v>
      </c>
      <c r="E11" s="132">
        <f>ROUND(ALL_METRICS!FN10*30+ALL_METRICS!FO10*30+ALL_METRICS!FY10*25+MAX(0,(1-ALL_METRICS!FZ10/0.5))*15,1)</f>
        <v>58.6</v>
      </c>
      <c r="F11" s="132">
        <f>ROUND(MIN(ALL_METRICS!LI10,1)*50+MAX(0,(1-ALL_METRICS!LJ10*5))*30+MIN(MAX(ALL_METRICS!LK10,0),1)*20,1)</f>
        <v>30</v>
      </c>
      <c r="G11" s="132">
        <f>ROUND(MIN(MAX(ALL_METRICS!LX10-0.2,0)/0.45*100,100),1)</f>
        <v>79.7</v>
      </c>
      <c r="H11" s="138">
        <f>ROUND(AVERAGE(B11:G11),1)</f>
        <v>51.6</v>
      </c>
      <c r="I11" s="131" t="str">
        <f>ALL_METRICS!ED10</f>
        <v>F (Needs Citations)</v>
      </c>
    </row>
    <row r="12" spans="1:9" ht="16.05" customHeight="1" x14ac:dyDescent="0.3">
      <c r="A12" s="133" t="str">
        <f>ALL_METRICS!B11</f>
        <v>MDA-010-pre-modern-baseline.md</v>
      </c>
      <c r="B12" s="134">
        <f>ROUND(MIN(ALL_METRICS!L11,0.6)/0.6*40+MAX(0,(0.4-ALL_METRICS!X11)/0.4)*20+IF(ALL_METRICS!AT11="A — Evidence-Rich",30,IF(LEFT(ALL_METRICS!AT11,1)="B",20,IF(LEFT(ALL_METRICS!AT11,1)="C",10,5)))+IF(AND(ALL_METRICS!AM11&gt;=6,ALL_METRICS!AM11&lt;=12),15,IF(ALL_METRICS!AM11&lt;6,10,5)),1)</f>
        <v>60</v>
      </c>
      <c r="C12" s="134">
        <f>ROUND(MIN(ALL_METRICS!EB11,20)/20*50+MIN(ALL_METRICS!DC11,5)/5*25+MIN(ALL_METRICS!DE11,2)/2*15+(1-MIN(ABS(ALL_METRICS!DJ11-0.5),0.5)/0.5)*10,1)</f>
        <v>52.3</v>
      </c>
      <c r="D12" s="134">
        <f>ROUND(MIN(ALL_METRICS!EE11,10)/10*40+MIN(MAX(ALL_METRICS!EI11,0),3)/3*30+MIN(ALL_METRICS!EN11,10)/10*30,1)</f>
        <v>18.100000000000001</v>
      </c>
      <c r="E12" s="134">
        <f>ROUND(ALL_METRICS!FN11*30+ALL_METRICS!FO11*30+ALL_METRICS!FY11*25+MAX(0,(1-ALL_METRICS!FZ11/0.5))*15,1)</f>
        <v>62.2</v>
      </c>
      <c r="F12" s="134">
        <f>ROUND(MIN(ALL_METRICS!LI11,1)*50+MAX(0,(1-ALL_METRICS!LJ11*5))*30+MIN(MAX(ALL_METRICS!LK11,0),1)*20,1)</f>
        <v>30</v>
      </c>
      <c r="G12" s="134">
        <f>ROUND(MIN(MAX(ALL_METRICS!LX11-0.2,0)/0.45*100,100),1)</f>
        <v>84.5</v>
      </c>
      <c r="H12" s="139">
        <f>ROUND(AVERAGE(B12:G12),1)</f>
        <v>51.2</v>
      </c>
      <c r="I12" s="133" t="str">
        <f>ALL_METRICS!ED11</f>
        <v>D (Light)</v>
      </c>
    </row>
    <row r="13" spans="1:9" ht="16.05" customHeight="1" x14ac:dyDescent="0.3">
      <c r="A13" s="131" t="str">
        <f>ALL_METRICS!B12</f>
        <v>MDA-011-collective-security-1930.md</v>
      </c>
      <c r="B13" s="132">
        <f>ROUND(MIN(ALL_METRICS!L12,0.6)/0.6*40+MAX(0,(0.4-ALL_METRICS!X12)/0.4)*20+IF(ALL_METRICS!AT12="A — Evidence-Rich",30,IF(LEFT(ALL_METRICS!AT12,1)="B",20,IF(LEFT(ALL_METRICS!AT12,1)="C",10,5)))+IF(AND(ALL_METRICS!AM12&gt;=6,ALL_METRICS!AM12&lt;=12),15,IF(ALL_METRICS!AM12&lt;6,10,5)),1)</f>
        <v>62.8</v>
      </c>
      <c r="C13" s="132">
        <f>ROUND(MIN(ALL_METRICS!EB12,20)/20*50+MIN(ALL_METRICS!DC12,5)/5*25+MIN(ALL_METRICS!DE12,2)/2*15+(1-MIN(ABS(ALL_METRICS!DJ12-0.5),0.5)/0.5)*10,1)</f>
        <v>60.4</v>
      </c>
      <c r="D13" s="132">
        <f>ROUND(MIN(ALL_METRICS!EE12,10)/10*40+MIN(MAX(ALL_METRICS!EI12,0),3)/3*30+MIN(ALL_METRICS!EN12,10)/10*30,1)</f>
        <v>11.6</v>
      </c>
      <c r="E13" s="132">
        <f>ROUND(ALL_METRICS!FN12*30+ALL_METRICS!FO12*30+ALL_METRICS!FY12*25+MAX(0,(1-ALL_METRICS!FZ12/0.5))*15,1)</f>
        <v>63.8</v>
      </c>
      <c r="F13" s="132">
        <f>ROUND(MIN(ALL_METRICS!LI12,1)*50+MAX(0,(1-ALL_METRICS!LJ12*5))*30+MIN(MAX(ALL_METRICS!LK12,0),1)*20,1)</f>
        <v>30</v>
      </c>
      <c r="G13" s="132">
        <f>ROUND(MIN(MAX(ALL_METRICS!LX12-0.2,0)/0.45*100,100),1)</f>
        <v>70.099999999999994</v>
      </c>
      <c r="H13" s="138">
        <f>ROUND(AVERAGE(B13:G13),1)</f>
        <v>49.8</v>
      </c>
      <c r="I13" s="131" t="str">
        <f>ALL_METRICS!ED12</f>
        <v>C (Moderate)</v>
      </c>
    </row>
    <row r="14" spans="1:9" ht="16.05" customHeight="1" x14ac:dyDescent="0.3">
      <c r="A14" s="133" t="str">
        <f>ALL_METRICS!B13</f>
        <v>MDA-012-william-1950.md</v>
      </c>
      <c r="B14" s="134">
        <f>ROUND(MIN(ALL_METRICS!L13,0.6)/0.6*40+MAX(0,(0.4-ALL_METRICS!X13)/0.4)*20+IF(ALL_METRICS!AT13="A — Evidence-Rich",30,IF(LEFT(ALL_METRICS!AT13,1)="B",20,IF(LEFT(ALL_METRICS!AT13,1)="C",10,5)))+IF(AND(ALL_METRICS!AM13&gt;=6,ALL_METRICS!AM13&lt;=12),15,IF(ALL_METRICS!AM13&lt;6,10,5)),1)</f>
        <v>56</v>
      </c>
      <c r="C14" s="134">
        <f>ROUND(MIN(ALL_METRICS!EB13,20)/20*50+MIN(ALL_METRICS!DC13,5)/5*25+MIN(ALL_METRICS!DE13,2)/2*15+(1-MIN(ABS(ALL_METRICS!DJ13-0.5),0.5)/0.5)*10,1)</f>
        <v>57.4</v>
      </c>
      <c r="D14" s="134">
        <f>ROUND(MIN(ALL_METRICS!EE13,10)/10*40+MIN(MAX(ALL_METRICS!EI13,0),3)/3*30+MIN(ALL_METRICS!EN13,10)/10*30,1)</f>
        <v>11.3</v>
      </c>
      <c r="E14" s="134">
        <f>ROUND(ALL_METRICS!FN13*30+ALL_METRICS!FO13*30+ALL_METRICS!FY13*25+MAX(0,(1-ALL_METRICS!FZ13/0.5))*15,1)</f>
        <v>62.3</v>
      </c>
      <c r="F14" s="134">
        <f>ROUND(MIN(ALL_METRICS!LI13,1)*50+MAX(0,(1-ALL_METRICS!LJ13*5))*30+MIN(MAX(ALL_METRICS!LK13,0),1)*20,1)</f>
        <v>30</v>
      </c>
      <c r="G14" s="134">
        <f>ROUND(MIN(MAX(ALL_METRICS!LX13-0.2,0)/0.45*100,100),1)</f>
        <v>54.6</v>
      </c>
      <c r="H14" s="139">
        <f>ROUND(AVERAGE(B14:G14),1)</f>
        <v>45.3</v>
      </c>
      <c r="I14" s="133" t="str">
        <f>ALL_METRICS!ED13</f>
        <v>F (Needs Citations)</v>
      </c>
    </row>
    <row r="15" spans="1:9" ht="16.05" customHeight="1" x14ac:dyDescent="0.3">
      <c r="A15" s="131" t="str">
        <f>ALL_METRICS!B14</f>
        <v>MDA-013-peak-coherence-1940.md</v>
      </c>
      <c r="B15" s="132">
        <f>ROUND(MIN(ALL_METRICS!L14,0.6)/0.6*40+MAX(0,(0.4-ALL_METRICS!X14)/0.4)*20+IF(ALL_METRICS!AT14="A — Evidence-Rich",30,IF(LEFT(ALL_METRICS!AT14,1)="B",20,IF(LEFT(ALL_METRICS!AT14,1)="C",10,5)))+IF(AND(ALL_METRICS!AM14&gt;=6,ALL_METRICS!AM14&lt;=12),15,IF(ALL_METRICS!AM14&lt;6,10,5)),1)</f>
        <v>62.7</v>
      </c>
      <c r="C15" s="132">
        <f>ROUND(MIN(ALL_METRICS!EB14,20)/20*50+MIN(ALL_METRICS!DC14,5)/5*25+MIN(ALL_METRICS!DE14,2)/2*15+(1-MIN(ABS(ALL_METRICS!DJ14-0.5),0.5)/0.5)*10,1)</f>
        <v>53.5</v>
      </c>
      <c r="D15" s="132">
        <f>ROUND(MIN(ALL_METRICS!EE14,10)/10*40+MIN(MAX(ALL_METRICS!EI14,0),3)/3*30+MIN(ALL_METRICS!EN14,10)/10*30,1)</f>
        <v>24.2</v>
      </c>
      <c r="E15" s="132">
        <f>ROUND(ALL_METRICS!FN14*30+ALL_METRICS!FO14*30+ALL_METRICS!FY14*25+MAX(0,(1-ALL_METRICS!FZ14/0.5))*15,1)</f>
        <v>61.6</v>
      </c>
      <c r="F15" s="132">
        <f>ROUND(MIN(ALL_METRICS!LI14,1)*50+MAX(0,(1-ALL_METRICS!LJ14*5))*30+MIN(MAX(ALL_METRICS!LK14,0),1)*20,1)</f>
        <v>30</v>
      </c>
      <c r="G15" s="132">
        <f>ROUND(MIN(MAX(ALL_METRICS!LX14-0.2,0)/0.45*100,100),1)</f>
        <v>68</v>
      </c>
      <c r="H15" s="138">
        <f>ROUND(AVERAGE(B15:G15),1)</f>
        <v>50</v>
      </c>
      <c r="I15" s="131" t="str">
        <f>ALL_METRICS!ED14</f>
        <v>D (Light)</v>
      </c>
    </row>
    <row r="16" spans="1:9" ht="16.05" customHeight="1" x14ac:dyDescent="0.3">
      <c r="A16" s="133" t="str">
        <f>ALL_METRICS!B15</f>
        <v>MDA-014-fissure-1950.md</v>
      </c>
      <c r="B16" s="134">
        <f>ROUND(MIN(ALL_METRICS!L15,0.6)/0.6*40+MAX(0,(0.4-ALL_METRICS!X15)/0.4)*20+IF(ALL_METRICS!AT15="A — Evidence-Rich",30,IF(LEFT(ALL_METRICS!AT15,1)="B",20,IF(LEFT(ALL_METRICS!AT15,1)="C",10,5)))+IF(AND(ALL_METRICS!AM15&gt;=6,ALL_METRICS!AM15&lt;=12),15,IF(ALL_METRICS!AM15&lt;6,10,5)),1)</f>
        <v>59.9</v>
      </c>
      <c r="C16" s="134">
        <f>ROUND(MIN(ALL_METRICS!EB15,20)/20*50+MIN(ALL_METRICS!DC15,5)/5*25+MIN(ALL_METRICS!DE15,2)/2*15+(1-MIN(ABS(ALL_METRICS!DJ15-0.5),0.5)/0.5)*10,1)</f>
        <v>51.9</v>
      </c>
      <c r="D16" s="134">
        <f>ROUND(MIN(ALL_METRICS!EE15,10)/10*40+MIN(MAX(ALL_METRICS!EI15,0),3)/3*30+MIN(ALL_METRICS!EN15,10)/10*30,1)</f>
        <v>15.4</v>
      </c>
      <c r="E16" s="134">
        <f>ROUND(ALL_METRICS!FN15*30+ALL_METRICS!FO15*30+ALL_METRICS!FY15*25+MAX(0,(1-ALL_METRICS!FZ15/0.5))*15,1)</f>
        <v>62.7</v>
      </c>
      <c r="F16" s="134">
        <f>ROUND(MIN(ALL_METRICS!LI15,1)*50+MAX(0,(1-ALL_METRICS!LJ15*5))*30+MIN(MAX(ALL_METRICS!LK15,0),1)*20,1)</f>
        <v>30</v>
      </c>
      <c r="G16" s="134">
        <f>ROUND(MIN(MAX(ALL_METRICS!LX15-0.2,0)/0.45*100,100),1)</f>
        <v>59.3</v>
      </c>
      <c r="H16" s="139">
        <f>ROUND(AVERAGE(B16:G16),1)</f>
        <v>46.5</v>
      </c>
      <c r="I16" s="133" t="str">
        <f>ALL_METRICS!ED15</f>
        <v>D (Light)</v>
      </c>
    </row>
    <row r="17" spans="1:9" ht="16.05" customHeight="1" x14ac:dyDescent="0.3">
      <c r="A17" s="131" t="str">
        <f>ALL_METRICS!B16</f>
        <v>MDA-015-long-decline.md</v>
      </c>
      <c r="B17" s="132">
        <f>ROUND(MIN(ALL_METRICS!L16,0.6)/0.6*40+MAX(0,(0.4-ALL_METRICS!X16)/0.4)*20+IF(ALL_METRICS!AT16="A — Evidence-Rich",30,IF(LEFT(ALL_METRICS!AT16,1)="B",20,IF(LEFT(ALL_METRICS!AT16,1)="C",10,5)))+IF(AND(ALL_METRICS!AM16&gt;=6,ALL_METRICS!AM16&lt;=12),15,IF(ALL_METRICS!AM16&lt;6,10,5)),1)</f>
        <v>70.5</v>
      </c>
      <c r="C17" s="132">
        <f>ROUND(MIN(ALL_METRICS!EB16,20)/20*50+MIN(ALL_METRICS!DC16,5)/5*25+MIN(ALL_METRICS!DE16,2)/2*15+(1-MIN(ABS(ALL_METRICS!DJ16-0.5),0.5)/0.5)*10,1)</f>
        <v>44.7</v>
      </c>
      <c r="D17" s="132">
        <f>ROUND(MIN(ALL_METRICS!EE16,10)/10*40+MIN(MAX(ALL_METRICS!EI16,0),3)/3*30+MIN(ALL_METRICS!EN16,10)/10*30,1)</f>
        <v>40.4</v>
      </c>
      <c r="E17" s="132">
        <f>ROUND(ALL_METRICS!FN16*30+ALL_METRICS!FO16*30+ALL_METRICS!FY16*25+MAX(0,(1-ALL_METRICS!FZ16/0.5))*15,1)</f>
        <v>59.7</v>
      </c>
      <c r="F17" s="132">
        <f>ROUND(MIN(ALL_METRICS!LI16,1)*50+MAX(0,(1-ALL_METRICS!LJ16*5))*30+MIN(MAX(ALL_METRICS!LK16,0),1)*20,1)</f>
        <v>30</v>
      </c>
      <c r="G17" s="132">
        <f>ROUND(MIN(MAX(ALL_METRICS!LX16-0.2,0)/0.45*100,100),1)</f>
        <v>91.2</v>
      </c>
      <c r="H17" s="138">
        <f>ROUND(AVERAGE(B17:G17),1)</f>
        <v>56.1</v>
      </c>
      <c r="I17" s="131" t="str">
        <f>ALL_METRICS!ED16</f>
        <v>F (Needs Citations)</v>
      </c>
    </row>
    <row r="18" spans="1:9" ht="16.05" customHeight="1" x14ac:dyDescent="0.3">
      <c r="A18" s="133" t="str">
        <f>ALL_METRICS!B17</f>
        <v>MDA-016-thomas-1974.md</v>
      </c>
      <c r="B18" s="134">
        <f>ROUND(MIN(ALL_METRICS!L17,0.6)/0.6*40+MAX(0,(0.4-ALL_METRICS!X17)/0.4)*20+IF(ALL_METRICS!AT17="A — Evidence-Rich",30,IF(LEFT(ALL_METRICS!AT17,1)="B",20,IF(LEFT(ALL_METRICS!AT17,1)="C",10,5)))+IF(AND(ALL_METRICS!AM17&gt;=6,ALL_METRICS!AM17&lt;=12),15,IF(ALL_METRICS!AM17&lt;6,10,5)),1)</f>
        <v>55</v>
      </c>
      <c r="C18" s="134">
        <f>ROUND(MIN(ALL_METRICS!EB17,20)/20*50+MIN(ALL_METRICS!DC17,5)/5*25+MIN(ALL_METRICS!DE17,2)/2*15+(1-MIN(ABS(ALL_METRICS!DJ17-0.5),0.5)/0.5)*10,1)</f>
        <v>48.6</v>
      </c>
      <c r="D18" s="134">
        <f>ROUND(MIN(ALL_METRICS!EE17,10)/10*40+MIN(MAX(ALL_METRICS!EI17,0),3)/3*30+MIN(ALL_METRICS!EN17,10)/10*30,1)</f>
        <v>10.6</v>
      </c>
      <c r="E18" s="134">
        <f>ROUND(ALL_METRICS!FN17*30+ALL_METRICS!FO17*30+ALL_METRICS!FY17*25+MAX(0,(1-ALL_METRICS!FZ17/0.5))*15,1)</f>
        <v>62</v>
      </c>
      <c r="F18" s="134">
        <f>ROUND(MIN(ALL_METRICS!LI17,1)*50+MAX(0,(1-ALL_METRICS!LJ17*5))*30+MIN(MAX(ALL_METRICS!LK17,0),1)*20,1)</f>
        <v>30</v>
      </c>
      <c r="G18" s="134">
        <f>ROUND(MIN(MAX(ALL_METRICS!LX17-0.2,0)/0.45*100,100),1)</f>
        <v>58.7</v>
      </c>
      <c r="H18" s="139">
        <f>ROUND(AVERAGE(B18:G18),1)</f>
        <v>44.2</v>
      </c>
      <c r="I18" s="133" t="str">
        <f>ALL_METRICS!ED17</f>
        <v>F (Needs Citations)</v>
      </c>
    </row>
    <row r="19" spans="1:9" ht="16.05" customHeight="1" x14ac:dyDescent="0.3">
      <c r="A19" s="131" t="str">
        <f>ALL_METRICS!B18</f>
        <v>MDA-017-unraveling-1960.md</v>
      </c>
      <c r="B19" s="132">
        <f>ROUND(MIN(ALL_METRICS!L18,0.6)/0.6*40+MAX(0,(0.4-ALL_METRICS!X18)/0.4)*20+IF(ALL_METRICS!AT18="A — Evidence-Rich",30,IF(LEFT(ALL_METRICS!AT18,1)="B",20,IF(LEFT(ALL_METRICS!AT18,1)="C",10,5)))+IF(AND(ALL_METRICS!AM18&gt;=6,ALL_METRICS!AM18&lt;=12),15,IF(ALL_METRICS!AM18&lt;6,10,5)),1)</f>
        <v>63.4</v>
      </c>
      <c r="C19" s="132">
        <f>ROUND(MIN(ALL_METRICS!EB18,20)/20*50+MIN(ALL_METRICS!DC18,5)/5*25+MIN(ALL_METRICS!DE18,2)/2*15+(1-MIN(ABS(ALL_METRICS!DJ18-0.5),0.5)/0.5)*10,1)</f>
        <v>70.400000000000006</v>
      </c>
      <c r="D19" s="132">
        <f>ROUND(MIN(ALL_METRICS!EE18,10)/10*40+MIN(MAX(ALL_METRICS!EI18,0),3)/3*30+MIN(ALL_METRICS!EN18,10)/10*30,1)</f>
        <v>11</v>
      </c>
      <c r="E19" s="132">
        <f>ROUND(ALL_METRICS!FN18*30+ALL_METRICS!FO18*30+ALL_METRICS!FY18*25+MAX(0,(1-ALL_METRICS!FZ18/0.5))*15,1)</f>
        <v>63.5</v>
      </c>
      <c r="F19" s="132">
        <f>ROUND(MIN(ALL_METRICS!LI18,1)*50+MAX(0,(1-ALL_METRICS!LJ18*5))*30+MIN(MAX(ALL_METRICS!LK18,0),1)*20,1)</f>
        <v>30</v>
      </c>
      <c r="G19" s="132">
        <f>ROUND(MIN(MAX(ALL_METRICS!LX18-0.2,0)/0.45*100,100),1)</f>
        <v>69.400000000000006</v>
      </c>
      <c r="H19" s="138">
        <f>ROUND(AVERAGE(B19:G19),1)</f>
        <v>51.3</v>
      </c>
      <c r="I19" s="131" t="str">
        <f>ALL_METRICS!ED18</f>
        <v>B (Strong)</v>
      </c>
    </row>
    <row r="20" spans="1:9" ht="16.05" customHeight="1" x14ac:dyDescent="0.3">
      <c r="A20" s="133" t="str">
        <f>ALL_METRICS!B19</f>
        <v>MDA-018-great-decoupling-1968.md</v>
      </c>
      <c r="B20" s="134">
        <f>ROUND(MIN(ALL_METRICS!L19,0.6)/0.6*40+MAX(0,(0.4-ALL_METRICS!X19)/0.4)*20+IF(ALL_METRICS!AT19="A — Evidence-Rich",30,IF(LEFT(ALL_METRICS!AT19,1)="B",20,IF(LEFT(ALL_METRICS!AT19,1)="C",10,5)))+IF(AND(ALL_METRICS!AM19&gt;=6,ALL_METRICS!AM19&lt;=12),15,IF(ALL_METRICS!AM19&lt;6,10,5)),1)</f>
        <v>59.9</v>
      </c>
      <c r="C20" s="134">
        <f>ROUND(MIN(ALL_METRICS!EB19,20)/20*50+MIN(ALL_METRICS!DC19,5)/5*25+MIN(ALL_METRICS!DE19,2)/2*15+(1-MIN(ABS(ALL_METRICS!DJ19-0.5),0.5)/0.5)*10,1)</f>
        <v>52.5</v>
      </c>
      <c r="D20" s="134">
        <f>ROUND(MIN(ALL_METRICS!EE19,10)/10*40+MIN(MAX(ALL_METRICS!EI19,0),3)/3*30+MIN(ALL_METRICS!EN19,10)/10*30,1)</f>
        <v>11.6</v>
      </c>
      <c r="E20" s="134">
        <f>ROUND(ALL_METRICS!FN19*30+ALL_METRICS!FO19*30+ALL_METRICS!FY19*25+MAX(0,(1-ALL_METRICS!FZ19/0.5))*15,1)</f>
        <v>61.5</v>
      </c>
      <c r="F20" s="134">
        <f>ROUND(MIN(ALL_METRICS!LI19,1)*50+MAX(0,(1-ALL_METRICS!LJ19*5))*30+MIN(MAX(ALL_METRICS!LK19,0),1)*20,1)</f>
        <v>30</v>
      </c>
      <c r="G20" s="134">
        <f>ROUND(MIN(MAX(ALL_METRICS!LX19-0.2,0)/0.45*100,100),1)</f>
        <v>67.599999999999994</v>
      </c>
      <c r="H20" s="139">
        <f>ROUND(AVERAGE(B20:G20),1)</f>
        <v>47.2</v>
      </c>
      <c r="I20" s="133" t="str">
        <f>ALL_METRICS!ED19</f>
        <v>D (Light)</v>
      </c>
    </row>
    <row r="21" spans="1:9" ht="16.05" customHeight="1" x14ac:dyDescent="0.3">
      <c r="A21" s="131" t="str">
        <f>ALL_METRICS!B20</f>
        <v>MDA-019-current-state-2024.md</v>
      </c>
      <c r="B21" s="132">
        <f>ROUND(MIN(ALL_METRICS!L20,0.6)/0.6*40+MAX(0,(0.4-ALL_METRICS!X20)/0.4)*20+IF(ALL_METRICS!AT20="A — Evidence-Rich",30,IF(LEFT(ALL_METRICS!AT20,1)="B",20,IF(LEFT(ALL_METRICS!AT20,1)="C",10,5)))+IF(AND(ALL_METRICS!AM20&gt;=6,ALL_METRICS!AM20&lt;=12),15,IF(ALL_METRICS!AM20&lt;6,10,5)),1)</f>
        <v>65</v>
      </c>
      <c r="C21" s="132">
        <f>ROUND(MIN(ALL_METRICS!EB20,20)/20*50+MIN(ALL_METRICS!DC20,5)/5*25+MIN(ALL_METRICS!DE20,2)/2*15+(1-MIN(ABS(ALL_METRICS!DJ20-0.5),0.5)/0.5)*10,1)</f>
        <v>55.4</v>
      </c>
      <c r="D21" s="132">
        <f>ROUND(MIN(ALL_METRICS!EE20,10)/10*40+MIN(MAX(ALL_METRICS!EI20,0),3)/3*30+MIN(ALL_METRICS!EN20,10)/10*30,1)</f>
        <v>11.6</v>
      </c>
      <c r="E21" s="132">
        <f>ROUND(ALL_METRICS!FN20*30+ALL_METRICS!FO20*30+ALL_METRICS!FY20*25+MAX(0,(1-ALL_METRICS!FZ20/0.5))*15,1)</f>
        <v>62.7</v>
      </c>
      <c r="F21" s="132">
        <f>ROUND(MIN(ALL_METRICS!LI20,1)*50+MAX(0,(1-ALL_METRICS!LJ20*5))*30+MIN(MAX(ALL_METRICS!LK20,0),1)*20,1)</f>
        <v>30</v>
      </c>
      <c r="G21" s="132">
        <f>ROUND(MIN(MAX(ALL_METRICS!LX20-0.2,0)/0.45*100,100),1)</f>
        <v>73.599999999999994</v>
      </c>
      <c r="H21" s="138">
        <f>ROUND(AVERAGE(B21:G21),1)</f>
        <v>49.7</v>
      </c>
      <c r="I21" s="131" t="str">
        <f>ALL_METRICS!ED20</f>
        <v>F (Needs Citations)</v>
      </c>
    </row>
    <row r="22" spans="1:9" ht="16.05" customHeight="1" x14ac:dyDescent="0.3">
      <c r="A22" s="133" t="str">
        <f>ALL_METRICS!B21</f>
        <v>MDA-020-phase-transition.md</v>
      </c>
      <c r="B22" s="134">
        <f>ROUND(MIN(ALL_METRICS!L21,0.6)/0.6*40+MAX(0,(0.4-ALL_METRICS!X21)/0.4)*20+IF(ALL_METRICS!AT21="A — Evidence-Rich",30,IF(LEFT(ALL_METRICS!AT21,1)="B",20,IF(LEFT(ALL_METRICS!AT21,1)="C",10,5)))+IF(AND(ALL_METRICS!AM21&gt;=6,ALL_METRICS!AM21&lt;=12),15,IF(ALL_METRICS!AM21&lt;6,10,5)),1)</f>
        <v>68.099999999999994</v>
      </c>
      <c r="C22" s="134">
        <f>ROUND(MIN(ALL_METRICS!EB21,20)/20*50+MIN(ALL_METRICS!DC21,5)/5*25+MIN(ALL_METRICS!DE21,2)/2*15+(1-MIN(ABS(ALL_METRICS!DJ21-0.5),0.5)/0.5)*10,1)</f>
        <v>34.299999999999997</v>
      </c>
      <c r="D22" s="134">
        <f>ROUND(MIN(ALL_METRICS!EE21,10)/10*40+MIN(MAX(ALL_METRICS!EI21,0),3)/3*30+MIN(ALL_METRICS!EN21,10)/10*30,1)</f>
        <v>48.2</v>
      </c>
      <c r="E22" s="134">
        <f>ROUND(ALL_METRICS!FN21*30+ALL_METRICS!FO21*30+ALL_METRICS!FY21*25+MAX(0,(1-ALL_METRICS!FZ21/0.5))*15,1)</f>
        <v>58</v>
      </c>
      <c r="F22" s="134">
        <f>ROUND(MIN(ALL_METRICS!LI21,1)*50+MAX(0,(1-ALL_METRICS!LJ21*5))*30+MIN(MAX(ALL_METRICS!LK21,0),1)*20,1)</f>
        <v>30</v>
      </c>
      <c r="G22" s="134">
        <f>ROUND(MIN(MAX(ALL_METRICS!LX21-0.2,0)/0.45*100,100),1)</f>
        <v>83.6</v>
      </c>
      <c r="H22" s="139">
        <f>ROUND(AVERAGE(B22:G22),1)</f>
        <v>53.7</v>
      </c>
      <c r="I22" s="133" t="str">
        <f>ALL_METRICS!ED21</f>
        <v>F (Needs Citations)</v>
      </c>
    </row>
    <row r="23" spans="1:9" ht="16.05" customHeight="1" x14ac:dyDescent="0.3">
      <c r="A23" s="131" t="str">
        <f>ALL_METRICS!B22</f>
        <v>MDA-021-anatomy-of-phase-transition.md</v>
      </c>
      <c r="B23" s="132">
        <f>ROUND(MIN(ALL_METRICS!L22,0.6)/0.6*40+MAX(0,(0.4-ALL_METRICS!X22)/0.4)*20+IF(ALL_METRICS!AT22="A — Evidence-Rich",30,IF(LEFT(ALL_METRICS!AT22,1)="B",20,IF(LEFT(ALL_METRICS!AT22,1)="C",10,5)))+IF(AND(ALL_METRICS!AM22&gt;=6,ALL_METRICS!AM22&lt;=12),15,IF(ALL_METRICS!AM22&lt;6,10,5)),1)</f>
        <v>63.8</v>
      </c>
      <c r="C23" s="132">
        <f>ROUND(MIN(ALL_METRICS!EB22,20)/20*50+MIN(ALL_METRICS!DC22,5)/5*25+MIN(ALL_METRICS!DE22,2)/2*15+(1-MIN(ABS(ALL_METRICS!DJ22-0.5),0.5)/0.5)*10,1)</f>
        <v>58.6</v>
      </c>
      <c r="D23" s="132">
        <f>ROUND(MIN(ALL_METRICS!EE22,10)/10*40+MIN(MAX(ALL_METRICS!EI22,0),3)/3*30+MIN(ALL_METRICS!EN22,10)/10*30,1)</f>
        <v>45.7</v>
      </c>
      <c r="E23" s="132">
        <f>ROUND(ALL_METRICS!FN22*30+ALL_METRICS!FO22*30+ALL_METRICS!FY22*25+MAX(0,(1-ALL_METRICS!FZ22/0.5))*15,1)</f>
        <v>59.4</v>
      </c>
      <c r="F23" s="132">
        <f>ROUND(MIN(ALL_METRICS!LI22,1)*50+MAX(0,(1-ALL_METRICS!LJ22*5))*30+MIN(MAX(ALL_METRICS!LK22,0),1)*20,1)</f>
        <v>30</v>
      </c>
      <c r="G23" s="132">
        <f>ROUND(MIN(MAX(ALL_METRICS!LX22-0.2,0)/0.45*100,100),1)</f>
        <v>68.2</v>
      </c>
      <c r="H23" s="138">
        <f>ROUND(AVERAGE(B23:G23),1)</f>
        <v>54.3</v>
      </c>
      <c r="I23" s="131" t="str">
        <f>ALL_METRICS!ED22</f>
        <v>D (Light)</v>
      </c>
    </row>
    <row r="24" spans="1:9" ht="16.05" customHeight="1" x14ac:dyDescent="0.3">
      <c r="A24" s="133" t="str">
        <f>ALL_METRICS!B23</f>
        <v>MDA-022-cascade.md</v>
      </c>
      <c r="B24" s="134">
        <f>ROUND(MIN(ALL_METRICS!L23,0.6)/0.6*40+MAX(0,(0.4-ALL_METRICS!X23)/0.4)*20+IF(ALL_METRICS!AT23="A — Evidence-Rich",30,IF(LEFT(ALL_METRICS!AT23,1)="B",20,IF(LEFT(ALL_METRICS!AT23,1)="C",10,5)))+IF(AND(ALL_METRICS!AM23&gt;=6,ALL_METRICS!AM23&lt;=12),15,IF(ALL_METRICS!AM23&lt;6,10,5)),1)</f>
        <v>68</v>
      </c>
      <c r="C24" s="134">
        <f>ROUND(MIN(ALL_METRICS!EB23,20)/20*50+MIN(ALL_METRICS!DC23,5)/5*25+MIN(ALL_METRICS!DE23,2)/2*15+(1-MIN(ABS(ALL_METRICS!DJ23-0.5),0.5)/0.5)*10,1)</f>
        <v>49.2</v>
      </c>
      <c r="D24" s="134">
        <f>ROUND(MIN(ALL_METRICS!EE23,10)/10*40+MIN(MAX(ALL_METRICS!EI23,0),3)/3*30+MIN(ALL_METRICS!EN23,10)/10*30,1)</f>
        <v>40.700000000000003</v>
      </c>
      <c r="E24" s="134">
        <f>ROUND(ALL_METRICS!FN23*30+ALL_METRICS!FO23*30+ALL_METRICS!FY23*25+MAX(0,(1-ALL_METRICS!FZ23/0.5))*15,1)</f>
        <v>59.3</v>
      </c>
      <c r="F24" s="134">
        <f>ROUND(MIN(ALL_METRICS!LI23,1)*50+MAX(0,(1-ALL_METRICS!LJ23*5))*30+MIN(MAX(ALL_METRICS!LK23,0),1)*20,1)</f>
        <v>30</v>
      </c>
      <c r="G24" s="134">
        <f>ROUND(MIN(MAX(ALL_METRICS!LX23-0.2,0)/0.45*100,100),1)</f>
        <v>90.9</v>
      </c>
      <c r="H24" s="139">
        <f>ROUND(AVERAGE(B24:G24),1)</f>
        <v>56.4</v>
      </c>
      <c r="I24" s="133" t="str">
        <f>ALL_METRICS!ED23</f>
        <v>F (Needs Citations)</v>
      </c>
    </row>
    <row r="25" spans="1:9" ht="16.05" customHeight="1" x14ac:dyDescent="0.3">
      <c r="A25" s="131" t="str">
        <f>ALL_METRICS!B24</f>
        <v>MDA-023-coherence-cascade.md</v>
      </c>
      <c r="B25" s="132">
        <f>ROUND(MIN(ALL_METRICS!L24,0.6)/0.6*40+MAX(0,(0.4-ALL_METRICS!X24)/0.4)*20+IF(ALL_METRICS!AT24="A — Evidence-Rich",30,IF(LEFT(ALL_METRICS!AT24,1)="B",20,IF(LEFT(ALL_METRICS!AT24,1)="C",10,5)))+IF(AND(ALL_METRICS!AM24&gt;=6,ALL_METRICS!AM24&lt;=12),15,IF(ALL_METRICS!AM24&lt;6,10,5)),1)</f>
        <v>66.900000000000006</v>
      </c>
      <c r="C25" s="132">
        <f>ROUND(MIN(ALL_METRICS!EB24,20)/20*50+MIN(ALL_METRICS!DC24,5)/5*25+MIN(ALL_METRICS!DE24,2)/2*15+(1-MIN(ABS(ALL_METRICS!DJ24-0.5),0.5)/0.5)*10,1)</f>
        <v>44.3</v>
      </c>
      <c r="D25" s="132">
        <f>ROUND(MIN(ALL_METRICS!EE24,10)/10*40+MIN(MAX(ALL_METRICS!EI24,0),3)/3*30+MIN(ALL_METRICS!EN24,10)/10*30,1)</f>
        <v>47.9</v>
      </c>
      <c r="E25" s="132">
        <f>ROUND(ALL_METRICS!FN24*30+ALL_METRICS!FO24*30+ALL_METRICS!FY24*25+MAX(0,(1-ALL_METRICS!FZ24/0.5))*15,1)</f>
        <v>61.7</v>
      </c>
      <c r="F25" s="132">
        <f>ROUND(MIN(ALL_METRICS!LI24,1)*50+MAX(0,(1-ALL_METRICS!LJ24*5))*30+MIN(MAX(ALL_METRICS!LK24,0),1)*20,1)</f>
        <v>30</v>
      </c>
      <c r="G25" s="132">
        <f>ROUND(MIN(MAX(ALL_METRICS!LX24-0.2,0)/0.45*100,100),1)</f>
        <v>68.8</v>
      </c>
      <c r="H25" s="138">
        <f>ROUND(AVERAGE(B25:G25),1)</f>
        <v>53.3</v>
      </c>
      <c r="I25" s="131" t="str">
        <f>ALL_METRICS!ED24</f>
        <v>F (Needs Citations)</v>
      </c>
    </row>
    <row r="26" spans="1:9" ht="16.05" customHeight="1" x14ac:dyDescent="0.3">
      <c r="A26" s="133" t="str">
        <f>ALL_METRICS!B25</f>
        <v>MDA-024-semantic-collapse.md</v>
      </c>
      <c r="B26" s="134">
        <f>ROUND(MIN(ALL_METRICS!L25,0.6)/0.6*40+MAX(0,(0.4-ALL_METRICS!X25)/0.4)*20+IF(ALL_METRICS!AT25="A — Evidence-Rich",30,IF(LEFT(ALL_METRICS!AT25,1)="B",20,IF(LEFT(ALL_METRICS!AT25,1)="C",10,5)))+IF(AND(ALL_METRICS!AM25&gt;=6,ALL_METRICS!AM25&lt;=12),15,IF(ALL_METRICS!AM25&lt;6,10,5)),1)</f>
        <v>62.9</v>
      </c>
      <c r="C26" s="134">
        <f>ROUND(MIN(ALL_METRICS!EB25,20)/20*50+MIN(ALL_METRICS!DC25,5)/5*25+MIN(ALL_METRICS!DE25,2)/2*15+(1-MIN(ABS(ALL_METRICS!DJ25-0.5),0.5)/0.5)*10,1)</f>
        <v>43.7</v>
      </c>
      <c r="D26" s="134">
        <f>ROUND(MIN(ALL_METRICS!EE25,10)/10*40+MIN(MAX(ALL_METRICS!EI25,0),3)/3*30+MIN(ALL_METRICS!EN25,10)/10*30,1)</f>
        <v>21.6</v>
      </c>
      <c r="E26" s="134">
        <f>ROUND(ALL_METRICS!FN25*30+ALL_METRICS!FO25*30+ALL_METRICS!FY25*25+MAX(0,(1-ALL_METRICS!FZ25/0.5))*15,1)</f>
        <v>63.4</v>
      </c>
      <c r="F26" s="134">
        <f>ROUND(MIN(ALL_METRICS!LI25,1)*50+MAX(0,(1-ALL_METRICS!LJ25*5))*30+MIN(MAX(ALL_METRICS!LK25,0),1)*20,1)</f>
        <v>30</v>
      </c>
      <c r="G26" s="134">
        <f>ROUND(MIN(MAX(ALL_METRICS!LX25-0.2,0)/0.45*100,100),1)</f>
        <v>60.5</v>
      </c>
      <c r="H26" s="139">
        <f>ROUND(AVERAGE(B26:G26),1)</f>
        <v>47</v>
      </c>
      <c r="I26" s="133" t="str">
        <f>ALL_METRICS!ED25</f>
        <v>F (Needs Citations)</v>
      </c>
    </row>
    <row r="27" spans="1:9" ht="16.05" customHeight="1" x14ac:dyDescent="0.3">
      <c r="A27" s="131" t="str">
        <f>ALL_METRICS!B26</f>
        <v>MDA-025-cognitive-decline.md</v>
      </c>
      <c r="B27" s="132">
        <f>ROUND(MIN(ALL_METRICS!L26,0.6)/0.6*40+MAX(0,(0.4-ALL_METRICS!X26)/0.4)*20+IF(ALL_METRICS!AT26="A — Evidence-Rich",30,IF(LEFT(ALL_METRICS!AT26,1)="B",20,IF(LEFT(ALL_METRICS!AT26,1)="C",10,5)))+IF(AND(ALL_METRICS!AM26&gt;=6,ALL_METRICS!AM26&lt;=12),15,IF(ALL_METRICS!AM26&lt;6,10,5)),1)</f>
        <v>64.2</v>
      </c>
      <c r="C27" s="132">
        <f>ROUND(MIN(ALL_METRICS!EB26,20)/20*50+MIN(ALL_METRICS!DC26,5)/5*25+MIN(ALL_METRICS!DE26,2)/2*15+(1-MIN(ABS(ALL_METRICS!DJ26-0.5),0.5)/0.5)*10,1)</f>
        <v>46.5</v>
      </c>
      <c r="D27" s="132">
        <f>ROUND(MIN(ALL_METRICS!EE26,10)/10*40+MIN(MAX(ALL_METRICS!EI26,0),3)/3*30+MIN(ALL_METRICS!EN26,10)/10*30,1)</f>
        <v>16.3</v>
      </c>
      <c r="E27" s="132">
        <f>ROUND(ALL_METRICS!FN26*30+ALL_METRICS!FO26*30+ALL_METRICS!FY26*25+MAX(0,(1-ALL_METRICS!FZ26/0.5))*15,1)</f>
        <v>65</v>
      </c>
      <c r="F27" s="132">
        <f>ROUND(MIN(ALL_METRICS!LI26,1)*50+MAX(0,(1-ALL_METRICS!LJ26*5))*30+MIN(MAX(ALL_METRICS!LK26,0),1)*20,1)</f>
        <v>30</v>
      </c>
      <c r="G27" s="132">
        <f>ROUND(MIN(MAX(ALL_METRICS!LX26-0.2,0)/0.45*100,100),1)</f>
        <v>61.8</v>
      </c>
      <c r="H27" s="138">
        <f>ROUND(AVERAGE(B27:G27),1)</f>
        <v>47.3</v>
      </c>
      <c r="I27" s="131" t="str">
        <f>ALL_METRICS!ED26</f>
        <v>F (Needs Citations)</v>
      </c>
    </row>
    <row r="28" spans="1:9" ht="16.05" customHeight="1" x14ac:dyDescent="0.3">
      <c r="A28" s="133" t="str">
        <f>ALL_METRICS!B27</f>
        <v>MDA-026-spiritual-collapse.md</v>
      </c>
      <c r="B28" s="134">
        <f>ROUND(MIN(ALL_METRICS!L27,0.6)/0.6*40+MAX(0,(0.4-ALL_METRICS!X27)/0.4)*20+IF(ALL_METRICS!AT27="A — Evidence-Rich",30,IF(LEFT(ALL_METRICS!AT27,1)="B",20,IF(LEFT(ALL_METRICS!AT27,1)="C",10,5)))+IF(AND(ALL_METRICS!AM27&gt;=6,ALL_METRICS!AM27&lt;=12),15,IF(ALL_METRICS!AM27&lt;6,10,5)),1)</f>
        <v>59.9</v>
      </c>
      <c r="C28" s="134">
        <f>ROUND(MIN(ALL_METRICS!EB27,20)/20*50+MIN(ALL_METRICS!DC27,5)/5*25+MIN(ALL_METRICS!DE27,2)/2*15+(1-MIN(ABS(ALL_METRICS!DJ27-0.5),0.5)/0.5)*10,1)</f>
        <v>46.1</v>
      </c>
      <c r="D28" s="134">
        <f>ROUND(MIN(ALL_METRICS!EE27,10)/10*40+MIN(MAX(ALL_METRICS!EI27,0),3)/3*30+MIN(ALL_METRICS!EN27,10)/10*30,1)</f>
        <v>34.200000000000003</v>
      </c>
      <c r="E28" s="134">
        <f>ROUND(ALL_METRICS!FN27*30+ALL_METRICS!FO27*30+ALL_METRICS!FY27*25+MAX(0,(1-ALL_METRICS!FZ27/0.5))*15,1)</f>
        <v>66.2</v>
      </c>
      <c r="F28" s="134">
        <f>ROUND(MIN(ALL_METRICS!LI27,1)*50+MAX(0,(1-ALL_METRICS!LJ27*5))*30+MIN(MAX(ALL_METRICS!LK27,0),1)*20,1)</f>
        <v>30</v>
      </c>
      <c r="G28" s="134">
        <f>ROUND(MIN(MAX(ALL_METRICS!LX27-0.2,0)/0.45*100,100),1)</f>
        <v>67.900000000000006</v>
      </c>
      <c r="H28" s="139">
        <f>ROUND(AVERAGE(B28:G28),1)</f>
        <v>50.7</v>
      </c>
      <c r="I28" s="133" t="str">
        <f>ALL_METRICS!ED27</f>
        <v>F (Needs Citations)</v>
      </c>
    </row>
    <row r="29" spans="1:9" ht="16.05" customHeight="1" x14ac:dyDescent="0.3">
      <c r="A29" s="131" t="str">
        <f>ALL_METRICS!B28</f>
        <v>MDA-027-signal-went-dark.md</v>
      </c>
      <c r="B29" s="132">
        <f>ROUND(MIN(ALL_METRICS!L28,0.6)/0.6*40+MAX(0,(0.4-ALL_METRICS!X28)/0.4)*20+IF(ALL_METRICS!AT28="A — Evidence-Rich",30,IF(LEFT(ALL_METRICS!AT28,1)="B",20,IF(LEFT(ALL_METRICS!AT28,1)="C",10,5)))+IF(AND(ALL_METRICS!AM28&gt;=6,ALL_METRICS!AM28&lt;=12),15,IF(ALL_METRICS!AM28&lt;6,10,5)),1)</f>
        <v>64.8</v>
      </c>
      <c r="C29" s="132">
        <f>ROUND(MIN(ALL_METRICS!EB28,20)/20*50+MIN(ALL_METRICS!DC28,5)/5*25+MIN(ALL_METRICS!DE28,2)/2*15+(1-MIN(ABS(ALL_METRICS!DJ28-0.5),0.5)/0.5)*10,1)</f>
        <v>46.5</v>
      </c>
      <c r="D29" s="132">
        <f>ROUND(MIN(ALL_METRICS!EE28,10)/10*40+MIN(MAX(ALL_METRICS!EI28,0),3)/3*30+MIN(ALL_METRICS!EN28,10)/10*30,1)</f>
        <v>42.7</v>
      </c>
      <c r="E29" s="132">
        <f>ROUND(ALL_METRICS!FN28*30+ALL_METRICS!FO28*30+ALL_METRICS!FY28*25+MAX(0,(1-ALL_METRICS!FZ28/0.5))*15,1)</f>
        <v>60.3</v>
      </c>
      <c r="F29" s="132">
        <f>ROUND(MIN(ALL_METRICS!LI28,1)*50+MAX(0,(1-ALL_METRICS!LJ28*5))*30+MIN(MAX(ALL_METRICS!LK28,0),1)*20,1)</f>
        <v>30</v>
      </c>
      <c r="G29" s="132">
        <f>ROUND(MIN(MAX(ALL_METRICS!LX28-0.2,0)/0.45*100,100),1)</f>
        <v>92.6</v>
      </c>
      <c r="H29" s="138">
        <f>ROUND(AVERAGE(B29:G29),1)</f>
        <v>56.2</v>
      </c>
      <c r="I29" s="131" t="str">
        <f>ALL_METRICS!ED28</f>
        <v>F (Needs Citations)</v>
      </c>
    </row>
    <row r="30" spans="1:9" ht="16.05" customHeight="1" x14ac:dyDescent="0.3">
      <c r="A30" s="133" t="str">
        <f>ALL_METRICS!B29</f>
        <v>MDA-028-phantom-money.md</v>
      </c>
      <c r="B30" s="134">
        <f>ROUND(MIN(ALL_METRICS!L29,0.6)/0.6*40+MAX(0,(0.4-ALL_METRICS!X29)/0.4)*20+IF(ALL_METRICS!AT29="A — Evidence-Rich",30,IF(LEFT(ALL_METRICS!AT29,1)="B",20,IF(LEFT(ALL_METRICS!AT29,1)="C",10,5)))+IF(AND(ALL_METRICS!AM29&gt;=6,ALL_METRICS!AM29&lt;=12),15,IF(ALL_METRICS!AM29&lt;6,10,5)),1)</f>
        <v>63.9</v>
      </c>
      <c r="C30" s="134">
        <f>ROUND(MIN(ALL_METRICS!EB29,20)/20*50+MIN(ALL_METRICS!DC29,5)/5*25+MIN(ALL_METRICS!DE29,2)/2*15+(1-MIN(ABS(ALL_METRICS!DJ29-0.5),0.5)/0.5)*10,1)</f>
        <v>51.8</v>
      </c>
      <c r="D30" s="134">
        <f>ROUND(MIN(ALL_METRICS!EE29,10)/10*40+MIN(MAX(ALL_METRICS!EI29,0),3)/3*30+MIN(ALL_METRICS!EN29,10)/10*30,1)</f>
        <v>36.700000000000003</v>
      </c>
      <c r="E30" s="134">
        <f>ROUND(ALL_METRICS!FN29*30+ALL_METRICS!FO29*30+ALL_METRICS!FY29*25+MAX(0,(1-ALL_METRICS!FZ29/0.5))*15,1)</f>
        <v>61.5</v>
      </c>
      <c r="F30" s="134">
        <f>ROUND(MIN(ALL_METRICS!LI29,1)*50+MAX(0,(1-ALL_METRICS!LJ29*5))*30+MIN(MAX(ALL_METRICS!LK29,0),1)*20,1)</f>
        <v>30</v>
      </c>
      <c r="G30" s="134">
        <f>ROUND(MIN(MAX(ALL_METRICS!LX29-0.2,0)/0.45*100,100),1)</f>
        <v>71.5</v>
      </c>
      <c r="H30" s="139">
        <f>ROUND(AVERAGE(B30:G30),1)</f>
        <v>52.6</v>
      </c>
      <c r="I30" s="133" t="str">
        <f>ALL_METRICS!ED29</f>
        <v>F (Needs Citations)</v>
      </c>
    </row>
    <row r="31" spans="1:9" ht="16.05" customHeight="1" x14ac:dyDescent="0.3">
      <c r="A31" s="131" t="str">
        <f>ALL_METRICS!B30</f>
        <v>MDA-029-observer-collapsed.md</v>
      </c>
      <c r="B31" s="132">
        <f>ROUND(MIN(ALL_METRICS!L30,0.6)/0.6*40+MAX(0,(0.4-ALL_METRICS!X30)/0.4)*20+IF(ALL_METRICS!AT30="A — Evidence-Rich",30,IF(LEFT(ALL_METRICS!AT30,1)="B",20,IF(LEFT(ALL_METRICS!AT30,1)="C",10,5)))+IF(AND(ALL_METRICS!AM30&gt;=6,ALL_METRICS!AM30&lt;=12),15,IF(ALL_METRICS!AM30&lt;6,10,5)),1)</f>
        <v>64.099999999999994</v>
      </c>
      <c r="C31" s="132">
        <f>ROUND(MIN(ALL_METRICS!EB30,20)/20*50+MIN(ALL_METRICS!DC30,5)/5*25+MIN(ALL_METRICS!DE30,2)/2*15+(1-MIN(ABS(ALL_METRICS!DJ30-0.5),0.5)/0.5)*10,1)</f>
        <v>56.4</v>
      </c>
      <c r="D31" s="132">
        <f>ROUND(MIN(ALL_METRICS!EE30,10)/10*40+MIN(MAX(ALL_METRICS!EI30,0),3)/3*30+MIN(ALL_METRICS!EN30,10)/10*30,1)</f>
        <v>49.6</v>
      </c>
      <c r="E31" s="132">
        <f>ROUND(ALL_METRICS!FN30*30+ALL_METRICS!FO30*30+ALL_METRICS!FY30*25+MAX(0,(1-ALL_METRICS!FZ30/0.5))*15,1)</f>
        <v>60</v>
      </c>
      <c r="F31" s="132">
        <f>ROUND(MIN(ALL_METRICS!LI30,1)*50+MAX(0,(1-ALL_METRICS!LJ30*5))*30+MIN(MAX(ALL_METRICS!LK30,0),1)*20,1)</f>
        <v>30</v>
      </c>
      <c r="G31" s="132">
        <f>ROUND(MIN(MAX(ALL_METRICS!LX30-0.2,0)/0.45*100,100),1)</f>
        <v>80.099999999999994</v>
      </c>
      <c r="H31" s="138">
        <f>ROUND(AVERAGE(B31:G31),1)</f>
        <v>56.7</v>
      </c>
      <c r="I31" s="131" t="str">
        <f>ALL_METRICS!ED30</f>
        <v>F (Needs Citations)</v>
      </c>
    </row>
    <row r="32" spans="1:9" ht="16.05" customHeight="1" x14ac:dyDescent="0.3">
      <c r="A32" s="133" t="str">
        <f>ALL_METRICS!B31</f>
        <v>MDA-030-trinity-mechanism.md</v>
      </c>
      <c r="B32" s="134">
        <f>ROUND(MIN(ALL_METRICS!L31,0.6)/0.6*40+MAX(0,(0.4-ALL_METRICS!X31)/0.4)*20+IF(ALL_METRICS!AT31="A — Evidence-Rich",30,IF(LEFT(ALL_METRICS!AT31,1)="B",20,IF(LEFT(ALL_METRICS!AT31,1)="C",10,5)))+IF(AND(ALL_METRICS!AM31&gt;=6,ALL_METRICS!AM31&lt;=12),15,IF(ALL_METRICS!AM31&lt;6,10,5)),1)</f>
        <v>45.9</v>
      </c>
      <c r="C32" s="134">
        <f>ROUND(MIN(ALL_METRICS!EB31,20)/20*50+MIN(ALL_METRICS!DC31,5)/5*25+MIN(ALL_METRICS!DE31,2)/2*15+(1-MIN(ABS(ALL_METRICS!DJ31-0.5),0.5)/0.5)*10,1)</f>
        <v>65.900000000000006</v>
      </c>
      <c r="D32" s="134">
        <f>ROUND(MIN(ALL_METRICS!EE31,10)/10*40+MIN(MAX(ALL_METRICS!EI31,0),3)/3*30+MIN(ALL_METRICS!EN31,10)/10*30,1)</f>
        <v>53.3</v>
      </c>
      <c r="E32" s="134">
        <f>ROUND(ALL_METRICS!FN31*30+ALL_METRICS!FO31*30+ALL_METRICS!FY31*25+MAX(0,(1-ALL_METRICS!FZ31/0.5))*15,1)</f>
        <v>61.9</v>
      </c>
      <c r="F32" s="134">
        <f>ROUND(MIN(ALL_METRICS!LI31,1)*50+MAX(0,(1-ALL_METRICS!LJ31*5))*30+MIN(MAX(ALL_METRICS!LK31,0),1)*20,1)</f>
        <v>30</v>
      </c>
      <c r="G32" s="134">
        <f>ROUND(MIN(MAX(ALL_METRICS!LX31-0.2,0)/0.45*100,100),1)</f>
        <v>64.400000000000006</v>
      </c>
      <c r="H32" s="139">
        <f>ROUND(AVERAGE(B32:G32),1)</f>
        <v>53.6</v>
      </c>
      <c r="I32" s="133" t="str">
        <f>ALL_METRICS!ED31</f>
        <v>D (Light)</v>
      </c>
    </row>
    <row r="33" spans="1:9" ht="16.05" customHeight="1" x14ac:dyDescent="0.3">
      <c r="A33" s="131" t="str">
        <f>ALL_METRICS!B32</f>
        <v>MDA-031-jacob-1998.md</v>
      </c>
      <c r="B33" s="132">
        <f>ROUND(MIN(ALL_METRICS!L32,0.6)/0.6*40+MAX(0,(0.4-ALL_METRICS!X32)/0.4)*20+IF(ALL_METRICS!AT32="A — Evidence-Rich",30,IF(LEFT(ALL_METRICS!AT32,1)="B",20,IF(LEFT(ALL_METRICS!AT32,1)="C",10,5)))+IF(AND(ALL_METRICS!AM32&gt;=6,ALL_METRICS!AM32&lt;=12),15,IF(ALL_METRICS!AM32&lt;6,10,5)),1)</f>
        <v>58.5</v>
      </c>
      <c r="C33" s="132">
        <f>ROUND(MIN(ALL_METRICS!EB32,20)/20*50+MIN(ALL_METRICS!DC32,5)/5*25+MIN(ALL_METRICS!DE32,2)/2*15+(1-MIN(ABS(ALL_METRICS!DJ32-0.5),0.5)/0.5)*10,1)</f>
        <v>46.5</v>
      </c>
      <c r="D33" s="132">
        <f>ROUND(MIN(ALL_METRICS!EE32,10)/10*40+MIN(MAX(ALL_METRICS!EI32,0),3)/3*30+MIN(ALL_METRICS!EN32,10)/10*30,1)</f>
        <v>16.8</v>
      </c>
      <c r="E33" s="132">
        <f>ROUND(ALL_METRICS!FN32*30+ALL_METRICS!FO32*30+ALL_METRICS!FY32*25+MAX(0,(1-ALL_METRICS!FZ32/0.5))*15,1)</f>
        <v>61.9</v>
      </c>
      <c r="F33" s="132">
        <f>ROUND(MIN(ALL_METRICS!LI32,1)*50+MAX(0,(1-ALL_METRICS!LJ32*5))*30+MIN(MAX(ALL_METRICS!LK32,0),1)*20,1)</f>
        <v>30</v>
      </c>
      <c r="G33" s="132">
        <f>ROUND(MIN(MAX(ALL_METRICS!LX32-0.2,0)/0.45*100,100),1)</f>
        <v>65.3</v>
      </c>
      <c r="H33" s="138">
        <f>ROUND(AVERAGE(B33:G33),1)</f>
        <v>46.5</v>
      </c>
      <c r="I33" s="131" t="str">
        <f>ALL_METRICS!ED32</f>
        <v>F (Needs Citations)</v>
      </c>
    </row>
    <row r="34" spans="1:9" ht="16.05" customHeight="1" x14ac:dyDescent="0.3">
      <c r="A34" s="133" t="str">
        <f>ALL_METRICS!B33</f>
        <v>MDA-032-why-bad-is-easier.md</v>
      </c>
      <c r="B34" s="134">
        <f>ROUND(MIN(ALL_METRICS!L33,0.6)/0.6*40+MAX(0,(0.4-ALL_METRICS!X33)/0.4)*20+IF(ALL_METRICS!AT33="A — Evidence-Rich",30,IF(LEFT(ALL_METRICS!AT33,1)="B",20,IF(LEFT(ALL_METRICS!AT33,1)="C",10,5)))+IF(AND(ALL_METRICS!AM33&gt;=6,ALL_METRICS!AM33&lt;=12),15,IF(ALL_METRICS!AM33&lt;6,10,5)),1)</f>
        <v>63.3</v>
      </c>
      <c r="C34" s="134">
        <f>ROUND(MIN(ALL_METRICS!EB33,20)/20*50+MIN(ALL_METRICS!DC33,5)/5*25+MIN(ALL_METRICS!DE33,2)/2*15+(1-MIN(ABS(ALL_METRICS!DJ33-0.5),0.5)/0.5)*10,1)</f>
        <v>53</v>
      </c>
      <c r="D34" s="134">
        <f>ROUND(MIN(ALL_METRICS!EE33,10)/10*40+MIN(MAX(ALL_METRICS!EI33,0),3)/3*30+MIN(ALL_METRICS!EN33,10)/10*30,1)</f>
        <v>36.200000000000003</v>
      </c>
      <c r="E34" s="134">
        <f>ROUND(ALL_METRICS!FN33*30+ALL_METRICS!FO33*30+ALL_METRICS!FY33*25+MAX(0,(1-ALL_METRICS!FZ33/0.5))*15,1)</f>
        <v>66.7</v>
      </c>
      <c r="F34" s="134">
        <f>ROUND(MIN(ALL_METRICS!LI33,1)*50+MAX(0,(1-ALL_METRICS!LJ33*5))*30+MIN(MAX(ALL_METRICS!LK33,0),1)*20,1)</f>
        <v>30</v>
      </c>
      <c r="G34" s="134">
        <f>ROUND(MIN(MAX(ALL_METRICS!LX33-0.2,0)/0.45*100,100),1)</f>
        <v>63</v>
      </c>
      <c r="H34" s="139">
        <f>ROUND(AVERAGE(B34:G34),1)</f>
        <v>52</v>
      </c>
      <c r="I34" s="133" t="str">
        <f>ALL_METRICS!ED33</f>
        <v>F (Needs Citations)</v>
      </c>
    </row>
    <row r="35" spans="1:9" ht="16.05" customHeight="1" x14ac:dyDescent="0.3">
      <c r="A35" s="131" t="str">
        <f>ALL_METRICS!B34</f>
        <v>MDA-033-entropic-society.md</v>
      </c>
      <c r="B35" s="132">
        <f>ROUND(MIN(ALL_METRICS!L34,0.6)/0.6*40+MAX(0,(0.4-ALL_METRICS!X34)/0.4)*20+IF(ALL_METRICS!AT34="A — Evidence-Rich",30,IF(LEFT(ALL_METRICS!AT34,1)="B",20,IF(LEFT(ALL_METRICS!AT34,1)="C",10,5)))+IF(AND(ALL_METRICS!AM34&gt;=6,ALL_METRICS!AM34&lt;=12),15,IF(ALL_METRICS!AM34&lt;6,10,5)),1)</f>
        <v>57.9</v>
      </c>
      <c r="C35" s="132">
        <f>ROUND(MIN(ALL_METRICS!EB34,20)/20*50+MIN(ALL_METRICS!DC34,5)/5*25+MIN(ALL_METRICS!DE34,2)/2*15+(1-MIN(ABS(ALL_METRICS!DJ34-0.5),0.5)/0.5)*10,1)</f>
        <v>64.400000000000006</v>
      </c>
      <c r="D35" s="132">
        <f>ROUND(MIN(ALL_METRICS!EE34,10)/10*40+MIN(MAX(ALL_METRICS!EI34,0),3)/3*30+MIN(ALL_METRICS!EN34,10)/10*30,1)</f>
        <v>27.6</v>
      </c>
      <c r="E35" s="132">
        <f>ROUND(ALL_METRICS!FN34*30+ALL_METRICS!FO34*30+ALL_METRICS!FY34*25+MAX(0,(1-ALL_METRICS!FZ34/0.5))*15,1)</f>
        <v>63.8</v>
      </c>
      <c r="F35" s="132">
        <f>ROUND(MIN(ALL_METRICS!LI34,1)*50+MAX(0,(1-ALL_METRICS!LJ34*5))*30+MIN(MAX(ALL_METRICS!LK34,0),1)*20,1)</f>
        <v>30</v>
      </c>
      <c r="G35" s="132">
        <f>ROUND(MIN(MAX(ALL_METRICS!LX34-0.2,0)/0.45*100,100),1)</f>
        <v>100</v>
      </c>
      <c r="H35" s="138">
        <f>ROUND(AVERAGE(B35:G35),1)</f>
        <v>57.3</v>
      </c>
      <c r="I35" s="131" t="str">
        <f>ALL_METRICS!ED34</f>
        <v>D (Light)</v>
      </c>
    </row>
    <row r="36" spans="1:9" ht="16.05" customHeight="1" x14ac:dyDescent="0.3">
      <c r="A36" s="133" t="str">
        <f>ALL_METRICS!B35</f>
        <v>MDA-034-technology-entropy.md</v>
      </c>
      <c r="B36" s="134">
        <f>ROUND(MIN(ALL_METRICS!L35,0.6)/0.6*40+MAX(0,(0.4-ALL_METRICS!X35)/0.4)*20+IF(ALL_METRICS!AT35="A — Evidence-Rich",30,IF(LEFT(ALL_METRICS!AT35,1)="B",20,IF(LEFT(ALL_METRICS!AT35,1)="C",10,5)))+IF(AND(ALL_METRICS!AM35&gt;=6,ALL_METRICS!AM35&lt;=12),15,IF(ALL_METRICS!AM35&lt;6,10,5)),1)</f>
        <v>66.400000000000006</v>
      </c>
      <c r="C36" s="134">
        <f>ROUND(MIN(ALL_METRICS!EB35,20)/20*50+MIN(ALL_METRICS!DC35,5)/5*25+MIN(ALL_METRICS!DE35,2)/2*15+(1-MIN(ABS(ALL_METRICS!DJ35-0.5),0.5)/0.5)*10,1)</f>
        <v>64.400000000000006</v>
      </c>
      <c r="D36" s="134">
        <f>ROUND(MIN(ALL_METRICS!EE35,10)/10*40+MIN(MAX(ALL_METRICS!EI35,0),3)/3*30+MIN(ALL_METRICS!EN35,10)/10*30,1)</f>
        <v>28.1</v>
      </c>
      <c r="E36" s="134">
        <f>ROUND(ALL_METRICS!FN35*30+ALL_METRICS!FO35*30+ALL_METRICS!FY35*25+MAX(0,(1-ALL_METRICS!FZ35/0.5))*15,1)</f>
        <v>62.5</v>
      </c>
      <c r="F36" s="134">
        <f>ROUND(MIN(ALL_METRICS!LI35,1)*50+MAX(0,(1-ALL_METRICS!LJ35*5))*30+MIN(MAX(ALL_METRICS!LK35,0),1)*20,1)</f>
        <v>30</v>
      </c>
      <c r="G36" s="134">
        <f>ROUND(MIN(MAX(ALL_METRICS!LX35-0.2,0)/0.45*100,100),1)</f>
        <v>93.3</v>
      </c>
      <c r="H36" s="139">
        <f>ROUND(AVERAGE(B36:G36),1)</f>
        <v>57.5</v>
      </c>
      <c r="I36" s="133" t="str">
        <f>ALL_METRICS!ED35</f>
        <v>B (Strong)</v>
      </c>
    </row>
    <row r="37" spans="1:9" ht="16.05" customHeight="1" x14ac:dyDescent="0.3">
      <c r="A37" s="131" t="str">
        <f>ALL_METRICS!B36</f>
        <v>MDA-035-great-reconfiguration.md</v>
      </c>
      <c r="B37" s="132">
        <f>ROUND(MIN(ALL_METRICS!L36,0.6)/0.6*40+MAX(0,(0.4-ALL_METRICS!X36)/0.4)*20+IF(ALL_METRICS!AT36="A — Evidence-Rich",30,IF(LEFT(ALL_METRICS!AT36,1)="B",20,IF(LEFT(ALL_METRICS!AT36,1)="C",10,5)))+IF(AND(ALL_METRICS!AM36&gt;=6,ALL_METRICS!AM36&lt;=12),15,IF(ALL_METRICS!AM36&lt;6,10,5)),1)</f>
        <v>59.4</v>
      </c>
      <c r="C37" s="132">
        <f>ROUND(MIN(ALL_METRICS!EB36,20)/20*50+MIN(ALL_METRICS!DC36,5)/5*25+MIN(ALL_METRICS!DE36,2)/2*15+(1-MIN(ABS(ALL_METRICS!DJ36-0.5),0.5)/0.5)*10,1)</f>
        <v>76.900000000000006</v>
      </c>
      <c r="D37" s="132">
        <f>ROUND(MIN(ALL_METRICS!EE36,10)/10*40+MIN(MAX(ALL_METRICS!EI36,0),3)/3*30+MIN(ALL_METRICS!EN36,10)/10*30,1)</f>
        <v>12.7</v>
      </c>
      <c r="E37" s="132">
        <f>ROUND(ALL_METRICS!FN36*30+ALL_METRICS!FO36*30+ALL_METRICS!FY36*25+MAX(0,(1-ALL_METRICS!FZ36/0.5))*15,1)</f>
        <v>64.400000000000006</v>
      </c>
      <c r="F37" s="132">
        <f>ROUND(MIN(ALL_METRICS!LI36,1)*50+MAX(0,(1-ALL_METRICS!LJ36*5))*30+MIN(MAX(ALL_METRICS!LK36,0),1)*20,1)</f>
        <v>30</v>
      </c>
      <c r="G37" s="132">
        <f>ROUND(MIN(MAX(ALL_METRICS!LX36-0.2,0)/0.45*100,100),1)</f>
        <v>85.3</v>
      </c>
      <c r="H37" s="138">
        <f>ROUND(AVERAGE(B37:G37),1)</f>
        <v>54.8</v>
      </c>
      <c r="I37" s="131" t="str">
        <f>ALL_METRICS!ED36</f>
        <v>B (Strong)</v>
      </c>
    </row>
    <row r="38" spans="1:9" ht="16.05" customHeight="1" x14ac:dyDescent="0.3">
      <c r="A38" s="133" t="str">
        <f>ALL_METRICS!B37</f>
        <v>MDA-036-regulatory-impulse-1900.md</v>
      </c>
      <c r="B38" s="134">
        <f>ROUND(MIN(ALL_METRICS!L37,0.6)/0.6*40+MAX(0,(0.4-ALL_METRICS!X37)/0.4)*20+IF(ALL_METRICS!AT37="A — Evidence-Rich",30,IF(LEFT(ALL_METRICS!AT37,1)="B",20,IF(LEFT(ALL_METRICS!AT37,1)="C",10,5)))+IF(AND(ALL_METRICS!AM37&gt;=6,ALL_METRICS!AM37&lt;=12),15,IF(ALL_METRICS!AM37&lt;6,10,5)),1)</f>
        <v>56.9</v>
      </c>
      <c r="C38" s="134">
        <f>ROUND(MIN(ALL_METRICS!EB37,20)/20*50+MIN(ALL_METRICS!DC37,5)/5*25+MIN(ALL_METRICS!DE37,2)/2*15+(1-MIN(ABS(ALL_METRICS!DJ37-0.5),0.5)/0.5)*10,1)</f>
        <v>66.5</v>
      </c>
      <c r="D38" s="134">
        <f>ROUND(MIN(ALL_METRICS!EE37,10)/10*40+MIN(MAX(ALL_METRICS!EI37,0),3)/3*30+MIN(ALL_METRICS!EN37,10)/10*30,1)</f>
        <v>12.2</v>
      </c>
      <c r="E38" s="134">
        <f>ROUND(ALL_METRICS!FN37*30+ALL_METRICS!FO37*30+ALL_METRICS!FY37*25+MAX(0,(1-ALL_METRICS!FZ37/0.5))*15,1)</f>
        <v>62.9</v>
      </c>
      <c r="F38" s="134">
        <f>ROUND(MIN(ALL_METRICS!LI37,1)*50+MAX(0,(1-ALL_METRICS!LJ37*5))*30+MIN(MAX(ALL_METRICS!LK37,0),1)*20,1)</f>
        <v>30</v>
      </c>
      <c r="G38" s="134">
        <f>ROUND(MIN(MAX(ALL_METRICS!LX37-0.2,0)/0.45*100,100),1)</f>
        <v>81.2</v>
      </c>
      <c r="H38" s="139">
        <f>ROUND(AVERAGE(B38:G38),1)</f>
        <v>51.6</v>
      </c>
      <c r="I38" s="133" t="str">
        <f>ALL_METRICS!ED37</f>
        <v>D (Light)</v>
      </c>
    </row>
    <row r="39" spans="1:9" ht="16.05" customHeight="1" x14ac:dyDescent="0.3">
      <c r="A39" s="131" t="str">
        <f>ALL_METRICS!B38</f>
        <v>MDA-037-biaxiosum-audit.md</v>
      </c>
      <c r="B39" s="132">
        <f>ROUND(MIN(ALL_METRICS!L38,0.6)/0.6*40+MAX(0,(0.4-ALL_METRICS!X38)/0.4)*20+IF(ALL_METRICS!AT38="A — Evidence-Rich",30,IF(LEFT(ALL_METRICS!AT38,1)="B",20,IF(LEFT(ALL_METRICS!AT38,1)="C",10,5)))+IF(AND(ALL_METRICS!AM38&gt;=6,ALL_METRICS!AM38&lt;=12),15,IF(ALL_METRICS!AM38&lt;6,10,5)),1)</f>
        <v>60.3</v>
      </c>
      <c r="C39" s="132">
        <f>ROUND(MIN(ALL_METRICS!EB38,20)/20*50+MIN(ALL_METRICS!DC38,5)/5*25+MIN(ALL_METRICS!DE38,2)/2*15+(1-MIN(ABS(ALL_METRICS!DJ38-0.5),0.5)/0.5)*10,1)</f>
        <v>44.1</v>
      </c>
      <c r="D39" s="132">
        <f>ROUND(MIN(ALL_METRICS!EE38,10)/10*40+MIN(MAX(ALL_METRICS!EI38,0),3)/3*30+MIN(ALL_METRICS!EN38,10)/10*30,1)</f>
        <v>32</v>
      </c>
      <c r="E39" s="132">
        <f>ROUND(ALL_METRICS!FN38*30+ALL_METRICS!FO38*30+ALL_METRICS!FY38*25+MAX(0,(1-ALL_METRICS!FZ38/0.5))*15,1)</f>
        <v>59.1</v>
      </c>
      <c r="F39" s="132">
        <f>ROUND(MIN(ALL_METRICS!LI38,1)*50+MAX(0,(1-ALL_METRICS!LJ38*5))*30+MIN(MAX(ALL_METRICS!LK38,0),1)*20,1)</f>
        <v>30</v>
      </c>
      <c r="G39" s="132">
        <f>ROUND(MIN(MAX(ALL_METRICS!LX38-0.2,0)/0.45*100,100),1)</f>
        <v>53.4</v>
      </c>
      <c r="H39" s="138">
        <f>ROUND(AVERAGE(B39:G39),1)</f>
        <v>46.5</v>
      </c>
      <c r="I39" s="131" t="str">
        <f>ALL_METRICS!ED38</f>
        <v>D (Light)</v>
      </c>
    </row>
    <row r="40" spans="1:9" ht="16.05" customHeight="1" x14ac:dyDescent="0.3">
      <c r="A40" s="133" t="str">
        <f>ALL_METRICS!B39</f>
        <v>MDA-038-coherence-metric.md</v>
      </c>
      <c r="B40" s="134">
        <f>ROUND(MIN(ALL_METRICS!L39,0.6)/0.6*40+MAX(0,(0.4-ALL_METRICS!X39)/0.4)*20+IF(ALL_METRICS!AT39="A — Evidence-Rich",30,IF(LEFT(ALL_METRICS!AT39,1)="B",20,IF(LEFT(ALL_METRICS!AT39,1)="C",10,5)))+IF(AND(ALL_METRICS!AM39&gt;=6,ALL_METRICS!AM39&lt;=12),15,IF(ALL_METRICS!AM39&lt;6,10,5)),1)</f>
        <v>63.3</v>
      </c>
      <c r="C40" s="134">
        <f>ROUND(MIN(ALL_METRICS!EB39,20)/20*50+MIN(ALL_METRICS!DC39,5)/5*25+MIN(ALL_METRICS!DE39,2)/2*15+(1-MIN(ABS(ALL_METRICS!DJ39-0.5),0.5)/0.5)*10,1)</f>
        <v>91.5</v>
      </c>
      <c r="D40" s="134">
        <f>ROUND(MIN(ALL_METRICS!EE39,10)/10*40+MIN(MAX(ALL_METRICS!EI39,0),3)/3*30+MIN(ALL_METRICS!EN39,10)/10*30,1)</f>
        <v>49.8</v>
      </c>
      <c r="E40" s="134">
        <f>ROUND(ALL_METRICS!FN39*30+ALL_METRICS!FO39*30+ALL_METRICS!FY39*25+MAX(0,(1-ALL_METRICS!FZ39/0.5))*15,1)</f>
        <v>60.5</v>
      </c>
      <c r="F40" s="134">
        <f>ROUND(MIN(ALL_METRICS!LI39,1)*50+MAX(0,(1-ALL_METRICS!LJ39*5))*30+MIN(MAX(ALL_METRICS!LK39,0),1)*20,1)</f>
        <v>30</v>
      </c>
      <c r="G40" s="134">
        <f>ROUND(MIN(MAX(ALL_METRICS!LX39-0.2,0)/0.45*100,100),1)</f>
        <v>98.5</v>
      </c>
      <c r="H40" s="139">
        <f>ROUND(AVERAGE(B40:G40),1)</f>
        <v>65.599999999999994</v>
      </c>
      <c r="I40" s="133" t="str">
        <f>ALL_METRICS!ED39</f>
        <v>C (Moderate)</v>
      </c>
    </row>
    <row r="41" spans="1:9" ht="16.05" customHeight="1" x14ac:dyDescent="0.3">
      <c r="A41" s="131" t="str">
        <f>ALL_METRICS!B40</f>
        <v>MDA-039-physics-of-coherence.md</v>
      </c>
      <c r="B41" s="132">
        <f>ROUND(MIN(ALL_METRICS!L40,0.6)/0.6*40+MAX(0,(0.4-ALL_METRICS!X40)/0.4)*20+IF(ALL_METRICS!AT40="A — Evidence-Rich",30,IF(LEFT(ALL_METRICS!AT40,1)="B",20,IF(LEFT(ALL_METRICS!AT40,1)="C",10,5)))+IF(AND(ALL_METRICS!AM40&gt;=6,ALL_METRICS!AM40&lt;=12),15,IF(ALL_METRICS!AM40&lt;6,10,5)),1)</f>
        <v>61.2</v>
      </c>
      <c r="C41" s="132">
        <f>ROUND(MIN(ALL_METRICS!EB40,20)/20*50+MIN(ALL_METRICS!DC40,5)/5*25+MIN(ALL_METRICS!DE40,2)/2*15+(1-MIN(ABS(ALL_METRICS!DJ40-0.5),0.5)/0.5)*10,1)</f>
        <v>62.6</v>
      </c>
      <c r="D41" s="132">
        <f>ROUND(MIN(ALL_METRICS!EE40,10)/10*40+MIN(MAX(ALL_METRICS!EI40,0),3)/3*30+MIN(ALL_METRICS!EN40,10)/10*30,1)</f>
        <v>45.7</v>
      </c>
      <c r="E41" s="132">
        <f>ROUND(ALL_METRICS!FN40*30+ALL_METRICS!FO40*30+ALL_METRICS!FY40*25+MAX(0,(1-ALL_METRICS!FZ40/0.5))*15,1)</f>
        <v>61.4</v>
      </c>
      <c r="F41" s="132">
        <f>ROUND(MIN(ALL_METRICS!LI40,1)*50+MAX(0,(1-ALL_METRICS!LJ40*5))*30+MIN(MAX(ALL_METRICS!LK40,0),1)*20,1)</f>
        <v>30</v>
      </c>
      <c r="G41" s="132">
        <f>ROUND(MIN(MAX(ALL_METRICS!LX40-0.2,0)/0.45*100,100),1)</f>
        <v>69.8</v>
      </c>
      <c r="H41" s="138">
        <f>ROUND(AVERAGE(B41:G41),1)</f>
        <v>55.1</v>
      </c>
      <c r="I41" s="131" t="str">
        <f>ALL_METRICS!ED40</f>
        <v>F (Needs Citations)</v>
      </c>
    </row>
    <row r="42" spans="1:9" ht="16.05" customHeight="1" x14ac:dyDescent="0.3">
      <c r="A42" s="133" t="str">
        <f>ALL_METRICS!B41</f>
        <v>MDA-040-statistical-synthesis.md</v>
      </c>
      <c r="B42" s="134">
        <f>ROUND(MIN(ALL_METRICS!L41,0.6)/0.6*40+MAX(0,(0.4-ALL_METRICS!X41)/0.4)*20+IF(ALL_METRICS!AT41="A — Evidence-Rich",30,IF(LEFT(ALL_METRICS!AT41,1)="B",20,IF(LEFT(ALL_METRICS!AT41,1)="C",10,5)))+IF(AND(ALL_METRICS!AM41&gt;=6,ALL_METRICS!AM41&lt;=12),15,IF(ALL_METRICS!AM41&lt;6,10,5)),1)</f>
        <v>62.5</v>
      </c>
      <c r="C42" s="134">
        <f>ROUND(MIN(ALL_METRICS!EB41,20)/20*50+MIN(ALL_METRICS!DC41,5)/5*25+MIN(ALL_METRICS!DE41,2)/2*15+(1-MIN(ABS(ALL_METRICS!DJ41-0.5),0.5)/0.5)*10,1)</f>
        <v>52.3</v>
      </c>
      <c r="D42" s="134">
        <f>ROUND(MIN(ALL_METRICS!EE41,10)/10*40+MIN(MAX(ALL_METRICS!EI41,0),3)/3*30+MIN(ALL_METRICS!EN41,10)/10*30,1)</f>
        <v>18.5</v>
      </c>
      <c r="E42" s="134">
        <f>ROUND(ALL_METRICS!FN41*30+ALL_METRICS!FO41*30+ALL_METRICS!FY41*25+MAX(0,(1-ALL_METRICS!FZ41/0.5))*15,1)</f>
        <v>60.3</v>
      </c>
      <c r="F42" s="134">
        <f>ROUND(MIN(ALL_METRICS!LI41,1)*50+MAX(0,(1-ALL_METRICS!LJ41*5))*30+MIN(MAX(ALL_METRICS!LK41,0),1)*20,1)</f>
        <v>30</v>
      </c>
      <c r="G42" s="134">
        <f>ROUND(MIN(MAX(ALL_METRICS!LX41-0.2,0)/0.45*100,100),1)</f>
        <v>65.900000000000006</v>
      </c>
      <c r="H42" s="139">
        <f>ROUND(AVERAGE(B42:G42),1)</f>
        <v>48.3</v>
      </c>
      <c r="I42" s="133" t="str">
        <f>ALL_METRICS!ED41</f>
        <v>F (Needs Citations)</v>
      </c>
    </row>
    <row r="43" spans="1:9" ht="16.05" customHeight="1" x14ac:dyDescent="0.3">
      <c r="A43" s="131" t="str">
        <f>ALL_METRICS!B42</f>
        <v>MDA-041-statistical-spine.md</v>
      </c>
      <c r="B43" s="132">
        <f>ROUND(MIN(ALL_METRICS!L42,0.6)/0.6*40+MAX(0,(0.4-ALL_METRICS!X42)/0.4)*20+IF(ALL_METRICS!AT42="A — Evidence-Rich",30,IF(LEFT(ALL_METRICS!AT42,1)="B",20,IF(LEFT(ALL_METRICS!AT42,1)="C",10,5)))+IF(AND(ALL_METRICS!AM42&gt;=6,ALL_METRICS!AM42&lt;=12),15,IF(ALL_METRICS!AM42&lt;6,10,5)),1)</f>
        <v>63.2</v>
      </c>
      <c r="C43" s="132">
        <f>ROUND(MIN(ALL_METRICS!EB42,20)/20*50+MIN(ALL_METRICS!DC42,5)/5*25+MIN(ALL_METRICS!DE42,2)/2*15+(1-MIN(ABS(ALL_METRICS!DJ42-0.5),0.5)/0.5)*10,1)</f>
        <v>71.8</v>
      </c>
      <c r="D43" s="132">
        <f>ROUND(MIN(ALL_METRICS!EE42,10)/10*40+MIN(MAX(ALL_METRICS!EI42,0),3)/3*30+MIN(ALL_METRICS!EN42,10)/10*30,1)</f>
        <v>24.4</v>
      </c>
      <c r="E43" s="132">
        <f>ROUND(ALL_METRICS!FN42*30+ALL_METRICS!FO42*30+ALL_METRICS!FY42*25+MAX(0,(1-ALL_METRICS!FZ42/0.5))*15,1)</f>
        <v>62.5</v>
      </c>
      <c r="F43" s="132">
        <f>ROUND(MIN(ALL_METRICS!LI42,1)*50+MAX(0,(1-ALL_METRICS!LJ42*5))*30+MIN(MAX(ALL_METRICS!LK42,0),1)*20,1)</f>
        <v>30</v>
      </c>
      <c r="G43" s="132">
        <f>ROUND(MIN(MAX(ALL_METRICS!LX42-0.2,0)/0.45*100,100),1)</f>
        <v>61.6</v>
      </c>
      <c r="H43" s="138">
        <f>ROUND(AVERAGE(B43:G43),1)</f>
        <v>52.3</v>
      </c>
      <c r="I43" s="131" t="str">
        <f>ALL_METRICS!ED42</f>
        <v>F (Needs Citations)</v>
      </c>
    </row>
    <row r="44" spans="1:9" ht="16.05" customHeight="1" x14ac:dyDescent="0.3">
      <c r="A44" s="133" t="str">
        <f>ALL_METRICS!B43</f>
        <v>MDA-042-amish-exception-THE-CLAIM.md</v>
      </c>
      <c r="B44" s="134">
        <f>ROUND(MIN(ALL_METRICS!L43,0.6)/0.6*40+MAX(0,(0.4-ALL_METRICS!X43)/0.4)*20+IF(ALL_METRICS!AT43="A — Evidence-Rich",30,IF(LEFT(ALL_METRICS!AT43,1)="B",20,IF(LEFT(ALL_METRICS!AT43,1)="C",10,5)))+IF(AND(ALL_METRICS!AM43&gt;=6,ALL_METRICS!AM43&lt;=12),15,IF(ALL_METRICS!AM43&lt;6,10,5)),1)</f>
        <v>69.7</v>
      </c>
      <c r="C44" s="134">
        <f>ROUND(MIN(ALL_METRICS!EB43,20)/20*50+MIN(ALL_METRICS!DC43,5)/5*25+MIN(ALL_METRICS!DE43,2)/2*15+(1-MIN(ABS(ALL_METRICS!DJ43-0.5),0.5)/0.5)*10,1)</f>
        <v>40.6</v>
      </c>
      <c r="D44" s="134">
        <f>ROUND(MIN(ALL_METRICS!EE43,10)/10*40+MIN(MAX(ALL_METRICS!EI43,0),3)/3*30+MIN(ALL_METRICS!EN43,10)/10*30,1)</f>
        <v>48.7</v>
      </c>
      <c r="E44" s="134">
        <f>ROUND(ALL_METRICS!FN43*30+ALL_METRICS!FO43*30+ALL_METRICS!FY43*25+MAX(0,(1-ALL_METRICS!FZ43/0.5))*15,1)</f>
        <v>59.1</v>
      </c>
      <c r="F44" s="134">
        <f>ROUND(MIN(ALL_METRICS!LI43,1)*50+MAX(0,(1-ALL_METRICS!LJ43*5))*30+MIN(MAX(ALL_METRICS!LK43,0),1)*20,1)</f>
        <v>30</v>
      </c>
      <c r="G44" s="134">
        <f>ROUND(MIN(MAX(ALL_METRICS!LX43-0.2,0)/0.45*100,100),1)</f>
        <v>100</v>
      </c>
      <c r="H44" s="139">
        <f>ROUND(AVERAGE(B44:G44),1)</f>
        <v>58</v>
      </c>
      <c r="I44" s="133" t="str">
        <f>ALL_METRICS!ED43</f>
        <v>F (Needs Citations)</v>
      </c>
    </row>
    <row r="45" spans="1:9" ht="16.05" customHeight="1" x14ac:dyDescent="0.3">
      <c r="A45" s="131" t="str">
        <f>ALL_METRICS!B44</f>
        <v>MDA-043-amish-proof-THE-PROOF.md</v>
      </c>
      <c r="B45" s="132">
        <f>ROUND(MIN(ALL_METRICS!L44,0.6)/0.6*40+MAX(0,(0.4-ALL_METRICS!X44)/0.4)*20+IF(ALL_METRICS!AT44="A — Evidence-Rich",30,IF(LEFT(ALL_METRICS!AT44,1)="B",20,IF(LEFT(ALL_METRICS!AT44,1)="C",10,5)))+IF(AND(ALL_METRICS!AM44&gt;=6,ALL_METRICS!AM44&lt;=12),15,IF(ALL_METRICS!AM44&lt;6,10,5)),1)</f>
        <v>65.3</v>
      </c>
      <c r="C45" s="132">
        <f>ROUND(MIN(ALL_METRICS!EB44,20)/20*50+MIN(ALL_METRICS!DC44,5)/5*25+MIN(ALL_METRICS!DE44,2)/2*15+(1-MIN(ABS(ALL_METRICS!DJ44-0.5),0.5)/0.5)*10,1)</f>
        <v>56.1</v>
      </c>
      <c r="D45" s="132">
        <f>ROUND(MIN(ALL_METRICS!EE44,10)/10*40+MIN(MAX(ALL_METRICS!EI44,0),3)/3*30+MIN(ALL_METRICS!EN44,10)/10*30,1)</f>
        <v>30.3</v>
      </c>
      <c r="E45" s="132">
        <f>ROUND(ALL_METRICS!FN44*30+ALL_METRICS!FO44*30+ALL_METRICS!FY44*25+MAX(0,(1-ALL_METRICS!FZ44/0.5))*15,1)</f>
        <v>61</v>
      </c>
      <c r="F45" s="132">
        <f>ROUND(MIN(ALL_METRICS!LI44,1)*50+MAX(0,(1-ALL_METRICS!LJ44*5))*30+MIN(MAX(ALL_METRICS!LK44,0),1)*20,1)</f>
        <v>30</v>
      </c>
      <c r="G45" s="132">
        <f>ROUND(MIN(MAX(ALL_METRICS!LX44-0.2,0)/0.45*100,100),1)</f>
        <v>93.5</v>
      </c>
      <c r="H45" s="138">
        <f>ROUND(AVERAGE(B45:G45),1)</f>
        <v>56</v>
      </c>
      <c r="I45" s="131" t="str">
        <f>ALL_METRICS!ED44</f>
        <v>D (Light)</v>
      </c>
    </row>
    <row r="46" spans="1:9" ht="16.05" customHeight="1" x14ac:dyDescent="0.3">
      <c r="A46" s="133" t="str">
        <f>ALL_METRICS!B45</f>
        <v>MDA-044-amish-control-study-THE-METHOD.md</v>
      </c>
      <c r="B46" s="134">
        <f>ROUND(MIN(ALL_METRICS!L45,0.6)/0.6*40+MAX(0,(0.4-ALL_METRICS!X45)/0.4)*20+IF(ALL_METRICS!AT45="A — Evidence-Rich",30,IF(LEFT(ALL_METRICS!AT45,1)="B",20,IF(LEFT(ALL_METRICS!AT45,1)="C",10,5)))+IF(AND(ALL_METRICS!AM45&gt;=6,ALL_METRICS!AM45&lt;=12),15,IF(ALL_METRICS!AM45&lt;6,10,5)),1)</f>
        <v>68.400000000000006</v>
      </c>
      <c r="C46" s="134">
        <f>ROUND(MIN(ALL_METRICS!EB45,20)/20*50+MIN(ALL_METRICS!DC45,5)/5*25+MIN(ALL_METRICS!DE45,2)/2*15+(1-MIN(ABS(ALL_METRICS!DJ45-0.5),0.5)/0.5)*10,1)</f>
        <v>58.2</v>
      </c>
      <c r="D46" s="134">
        <f>ROUND(MIN(ALL_METRICS!EE45,10)/10*40+MIN(MAX(ALL_METRICS!EI45,0),3)/3*30+MIN(ALL_METRICS!EN45,10)/10*30,1)</f>
        <v>20.6</v>
      </c>
      <c r="E46" s="134">
        <f>ROUND(ALL_METRICS!FN45*30+ALL_METRICS!FO45*30+ALL_METRICS!FY45*25+MAX(0,(1-ALL_METRICS!FZ45/0.5))*15,1)</f>
        <v>61.5</v>
      </c>
      <c r="F46" s="134">
        <f>ROUND(MIN(ALL_METRICS!LI45,1)*50+MAX(0,(1-ALL_METRICS!LJ45*5))*30+MIN(MAX(ALL_METRICS!LK45,0),1)*20,1)</f>
        <v>30</v>
      </c>
      <c r="G46" s="134">
        <f>ROUND(MIN(MAX(ALL_METRICS!LX45-0.2,0)/0.45*100,100),1)</f>
        <v>70</v>
      </c>
      <c r="H46" s="139">
        <f>ROUND(AVERAGE(B46:G46),1)</f>
        <v>51.5</v>
      </c>
      <c r="I46" s="133" t="str">
        <f>ALL_METRICS!ED45</f>
        <v>F (Needs Citations)</v>
      </c>
    </row>
    <row r="47" spans="1:9" ht="16.05" customHeight="1" x14ac:dyDescent="0.3">
      <c r="A47" s="131" t="str">
        <f>ALL_METRICS!B46</f>
        <v>MDA-045-amish-control-group-THE-DATA.md</v>
      </c>
      <c r="B47" s="132">
        <f>ROUND(MIN(ALL_METRICS!L46,0.6)/0.6*40+MAX(0,(0.4-ALL_METRICS!X46)/0.4)*20+IF(ALL_METRICS!AT46="A — Evidence-Rich",30,IF(LEFT(ALL_METRICS!AT46,1)="B",20,IF(LEFT(ALL_METRICS!AT46,1)="C",10,5)))+IF(AND(ALL_METRICS!AM46&gt;=6,ALL_METRICS!AM46&lt;=12),15,IF(ALL_METRICS!AM46&lt;6,10,5)),1)</f>
        <v>63.4</v>
      </c>
      <c r="C47" s="132">
        <f>ROUND(MIN(ALL_METRICS!EB46,20)/20*50+MIN(ALL_METRICS!DC46,5)/5*25+MIN(ALL_METRICS!DE46,2)/2*15+(1-MIN(ABS(ALL_METRICS!DJ46-0.5),0.5)/0.5)*10,1)</f>
        <v>60.7</v>
      </c>
      <c r="D47" s="132">
        <f>ROUND(MIN(ALL_METRICS!EE46,10)/10*40+MIN(MAX(ALL_METRICS!EI46,0),3)/3*30+MIN(ALL_METRICS!EN46,10)/10*30,1)</f>
        <v>19.5</v>
      </c>
      <c r="E47" s="132">
        <f>ROUND(ALL_METRICS!FN46*30+ALL_METRICS!FO46*30+ALL_METRICS!FY46*25+MAX(0,(1-ALL_METRICS!FZ46/0.5))*15,1)</f>
        <v>62.1</v>
      </c>
      <c r="F47" s="132">
        <f>ROUND(MIN(ALL_METRICS!LI46,1)*50+MAX(0,(1-ALL_METRICS!LJ46*5))*30+MIN(MAX(ALL_METRICS!LK46,0),1)*20,1)</f>
        <v>30</v>
      </c>
      <c r="G47" s="132">
        <f>ROUND(MIN(MAX(ALL_METRICS!LX46-0.2,0)/0.45*100,100),1)</f>
        <v>85</v>
      </c>
      <c r="H47" s="138">
        <f>ROUND(AVERAGE(B47:G47),1)</f>
        <v>53.5</v>
      </c>
      <c r="I47" s="131" t="str">
        <f>ALL_METRICS!ED46</f>
        <v>C (Moderate)</v>
      </c>
    </row>
    <row r="48" spans="1:9" ht="16.05" customHeight="1" x14ac:dyDescent="0.3">
      <c r="A48" s="133" t="str">
        <f>ALL_METRICS!B47</f>
        <v>MDA-046-amish-demographics-THE-NUMBERS.md</v>
      </c>
      <c r="B48" s="134">
        <f>ROUND(MIN(ALL_METRICS!L47,0.6)/0.6*40+MAX(0,(0.4-ALL_METRICS!X47)/0.4)*20+IF(ALL_METRICS!AT47="A — Evidence-Rich",30,IF(LEFT(ALL_METRICS!AT47,1)="B",20,IF(LEFT(ALL_METRICS!AT47,1)="C",10,5)))+IF(AND(ALL_METRICS!AM47&gt;=6,ALL_METRICS!AM47&lt;=12),15,IF(ALL_METRICS!AM47&lt;6,10,5)),1)</f>
        <v>65.400000000000006</v>
      </c>
      <c r="C48" s="134">
        <f>ROUND(MIN(ALL_METRICS!EB47,20)/20*50+MIN(ALL_METRICS!DC47,5)/5*25+MIN(ALL_METRICS!DE47,2)/2*15+(1-MIN(ABS(ALL_METRICS!DJ47-0.5),0.5)/0.5)*10,1)</f>
        <v>49.5</v>
      </c>
      <c r="D48" s="134">
        <f>ROUND(MIN(ALL_METRICS!EE47,10)/10*40+MIN(MAX(ALL_METRICS!EI47,0),3)/3*30+MIN(ALL_METRICS!EN47,10)/10*30,1)</f>
        <v>7.3</v>
      </c>
      <c r="E48" s="134">
        <f>ROUND(ALL_METRICS!FN47*30+ALL_METRICS!FO47*30+ALL_METRICS!FY47*25+MAX(0,(1-ALL_METRICS!FZ47/0.5))*15,1)</f>
        <v>63</v>
      </c>
      <c r="F48" s="134">
        <f>ROUND(MIN(ALL_METRICS!LI47,1)*50+MAX(0,(1-ALL_METRICS!LJ47*5))*30+MIN(MAX(ALL_METRICS!LK47,0),1)*20,1)</f>
        <v>30</v>
      </c>
      <c r="G48" s="134">
        <f>ROUND(MIN(MAX(ALL_METRICS!LX47-0.2,0)/0.45*100,100),1)</f>
        <v>76.599999999999994</v>
      </c>
      <c r="H48" s="139">
        <f>ROUND(AVERAGE(B48:G48),1)</f>
        <v>48.6</v>
      </c>
      <c r="I48" s="133" t="str">
        <f>ALL_METRICS!ED47</f>
        <v>D (Light)</v>
      </c>
    </row>
    <row r="49" spans="1:9" ht="16.05" customHeight="1" x14ac:dyDescent="0.3">
      <c r="A49" s="131" t="str">
        <f>ALL_METRICS!B48</f>
        <v>MDA-047-amish-tech-filter-THE-FILTER.md</v>
      </c>
      <c r="B49" s="132">
        <f>ROUND(MIN(ALL_METRICS!L48,0.6)/0.6*40+MAX(0,(0.4-ALL_METRICS!X48)/0.4)*20+IF(ALL_METRICS!AT48="A — Evidence-Rich",30,IF(LEFT(ALL_METRICS!AT48,1)="B",20,IF(LEFT(ALL_METRICS!AT48,1)="C",10,5)))+IF(AND(ALL_METRICS!AM48&gt;=6,ALL_METRICS!AM48&lt;=12),15,IF(ALL_METRICS!AM48&lt;6,10,5)),1)</f>
        <v>63.3</v>
      </c>
      <c r="C49" s="132">
        <f>ROUND(MIN(ALL_METRICS!EB48,20)/20*50+MIN(ALL_METRICS!DC48,5)/5*25+MIN(ALL_METRICS!DE48,2)/2*15+(1-MIN(ABS(ALL_METRICS!DJ48-0.5),0.5)/0.5)*10,1)</f>
        <v>62.7</v>
      </c>
      <c r="D49" s="132">
        <f>ROUND(MIN(ALL_METRICS!EE48,10)/10*40+MIN(MAX(ALL_METRICS!EI48,0),3)/3*30+MIN(ALL_METRICS!EN48,10)/10*30,1)</f>
        <v>23</v>
      </c>
      <c r="E49" s="132">
        <f>ROUND(ALL_METRICS!FN48*30+ALL_METRICS!FO48*30+ALL_METRICS!FY48*25+MAX(0,(1-ALL_METRICS!FZ48/0.5))*15,1)</f>
        <v>59.8</v>
      </c>
      <c r="F49" s="132">
        <f>ROUND(MIN(ALL_METRICS!LI48,1)*50+MAX(0,(1-ALL_METRICS!LJ48*5))*30+MIN(MAX(ALL_METRICS!LK48,0),1)*20,1)</f>
        <v>30</v>
      </c>
      <c r="G49" s="132">
        <f>ROUND(MIN(MAX(ALL_METRICS!LX48-0.2,0)/0.45*100,100),1)</f>
        <v>75.8</v>
      </c>
      <c r="H49" s="138">
        <f>ROUND(AVERAGE(B49:G49),1)</f>
        <v>52.4</v>
      </c>
      <c r="I49" s="131" t="str">
        <f>ALL_METRICS!ED48</f>
        <v>F (Needs Citations)</v>
      </c>
    </row>
    <row r="50" spans="1:9" ht="16.05" customHeight="1" x14ac:dyDescent="0.3">
      <c r="A50" s="133" t="str">
        <f>ALL_METRICS!B49</f>
        <v>MDA-048-ordnung-algorithm-THE-MECHANISM.md</v>
      </c>
      <c r="B50" s="134">
        <f>ROUND(MIN(ALL_METRICS!L49,0.6)/0.6*40+MAX(0,(0.4-ALL_METRICS!X49)/0.4)*20+IF(ALL_METRICS!AT49="A — Evidence-Rich",30,IF(LEFT(ALL_METRICS!AT49,1)="B",20,IF(LEFT(ALL_METRICS!AT49,1)="C",10,5)))+IF(AND(ALL_METRICS!AM49&gt;=6,ALL_METRICS!AM49&lt;=12),15,IF(ALL_METRICS!AM49&lt;6,10,5)),1)</f>
        <v>56.2</v>
      </c>
      <c r="C50" s="134">
        <f>ROUND(MIN(ALL_METRICS!EB49,20)/20*50+MIN(ALL_METRICS!DC49,5)/5*25+MIN(ALL_METRICS!DE49,2)/2*15+(1-MIN(ABS(ALL_METRICS!DJ49-0.5),0.5)/0.5)*10,1)</f>
        <v>87.4</v>
      </c>
      <c r="D50" s="134">
        <f>ROUND(MIN(ALL_METRICS!EE49,10)/10*40+MIN(MAX(ALL_METRICS!EI49,0),3)/3*30+MIN(ALL_METRICS!EN49,10)/10*30,1)</f>
        <v>23.5</v>
      </c>
      <c r="E50" s="134">
        <f>ROUND(ALL_METRICS!FN49*30+ALL_METRICS!FO49*30+ALL_METRICS!FY49*25+MAX(0,(1-ALL_METRICS!FZ49/0.5))*15,1)</f>
        <v>62.9</v>
      </c>
      <c r="F50" s="134">
        <f>ROUND(MIN(ALL_METRICS!LI49,1)*50+MAX(0,(1-ALL_METRICS!LJ49*5))*30+MIN(MAX(ALL_METRICS!LK49,0),1)*20,1)</f>
        <v>30</v>
      </c>
      <c r="G50" s="134">
        <f>ROUND(MIN(MAX(ALL_METRICS!LX49-0.2,0)/0.45*100,100),1)</f>
        <v>67.2</v>
      </c>
      <c r="H50" s="139">
        <f>ROUND(AVERAGE(B50:G50),1)</f>
        <v>54.5</v>
      </c>
      <c r="I50" s="133" t="str">
        <f>ALL_METRICS!ED49</f>
        <v>B (Strong)</v>
      </c>
    </row>
    <row r="51" spans="1:9" ht="16.05" customHeight="1" x14ac:dyDescent="0.3">
      <c r="A51" s="131" t="str">
        <f>ALL_METRICS!B50</f>
        <v>MDA-049-coherence-factory-THE-SYNTHESIS.md</v>
      </c>
      <c r="B51" s="132">
        <f>ROUND(MIN(ALL_METRICS!L50,0.6)/0.6*40+MAX(0,(0.4-ALL_METRICS!X50)/0.4)*20+IF(ALL_METRICS!AT50="A — Evidence-Rich",30,IF(LEFT(ALL_METRICS!AT50,1)="B",20,IF(LEFT(ALL_METRICS!AT50,1)="C",10,5)))+IF(AND(ALL_METRICS!AM50&gt;=6,ALL_METRICS!AM50&lt;=12),15,IF(ALL_METRICS!AM50&lt;6,10,5)),1)</f>
        <v>62.2</v>
      </c>
      <c r="C51" s="132">
        <f>ROUND(MIN(ALL_METRICS!EB50,20)/20*50+MIN(ALL_METRICS!DC50,5)/5*25+MIN(ALL_METRICS!DE50,2)/2*15+(1-MIN(ABS(ALL_METRICS!DJ50-0.5),0.5)/0.5)*10,1)</f>
        <v>41.9</v>
      </c>
      <c r="D51" s="132">
        <f>ROUND(MIN(ALL_METRICS!EE50,10)/10*40+MIN(MAX(ALL_METRICS!EI50,0),3)/3*30+MIN(ALL_METRICS!EN50,10)/10*30,1)</f>
        <v>24.6</v>
      </c>
      <c r="E51" s="132">
        <f>ROUND(ALL_METRICS!FN50*30+ALL_METRICS!FO50*30+ALL_METRICS!FY50*25+MAX(0,(1-ALL_METRICS!FZ50/0.5))*15,1)</f>
        <v>60.8</v>
      </c>
      <c r="F51" s="132">
        <f>ROUND(MIN(ALL_METRICS!LI50,1)*50+MAX(0,(1-ALL_METRICS!LJ50*5))*30+MIN(MAX(ALL_METRICS!LK50,0),1)*20,1)</f>
        <v>30</v>
      </c>
      <c r="G51" s="132">
        <f>ROUND(MIN(MAX(ALL_METRICS!LX50-0.2,0)/0.45*100,100),1)</f>
        <v>62.8</v>
      </c>
      <c r="H51" s="138">
        <f>ROUND(AVERAGE(B51:G51),1)</f>
        <v>47.1</v>
      </c>
      <c r="I51" s="131" t="str">
        <f>ALL_METRICS!ED50</f>
        <v>F (Needs Citations)</v>
      </c>
    </row>
    <row r="52" spans="1:9" ht="16.05" customHeight="1" x14ac:dyDescent="0.3">
      <c r="A52" s="133" t="str">
        <f>ALL_METRICS!B51</f>
        <v>MDA-050-jacob-2025.md</v>
      </c>
      <c r="B52" s="134">
        <f>ROUND(MIN(ALL_METRICS!L51,0.6)/0.6*40+MAX(0,(0.4-ALL_METRICS!X51)/0.4)*20+IF(ALL_METRICS!AT51="A — Evidence-Rich",30,IF(LEFT(ALL_METRICS!AT51,1)="B",20,IF(LEFT(ALL_METRICS!AT51,1)="C",10,5)))+IF(AND(ALL_METRICS!AM51&gt;=6,ALL_METRICS!AM51&lt;=12),15,IF(ALL_METRICS!AM51&lt;6,10,5)),1)</f>
        <v>51.7</v>
      </c>
      <c r="C52" s="134">
        <f>ROUND(MIN(ALL_METRICS!EB51,20)/20*50+MIN(ALL_METRICS!DC51,5)/5*25+MIN(ALL_METRICS!DE51,2)/2*15+(1-MIN(ABS(ALL_METRICS!DJ51-0.5),0.5)/0.5)*10,1)</f>
        <v>60.5</v>
      </c>
      <c r="D52" s="134">
        <f>ROUND(MIN(ALL_METRICS!EE51,10)/10*40+MIN(MAX(ALL_METRICS!EI51,0),3)/3*30+MIN(ALL_METRICS!EN51,10)/10*30,1)</f>
        <v>17.100000000000001</v>
      </c>
      <c r="E52" s="134">
        <f>ROUND(ALL_METRICS!FN51*30+ALL_METRICS!FO51*30+ALL_METRICS!FY51*25+MAX(0,(1-ALL_METRICS!FZ51/0.5))*15,1)</f>
        <v>61</v>
      </c>
      <c r="F52" s="134">
        <f>ROUND(MIN(ALL_METRICS!LI51,1)*50+MAX(0,(1-ALL_METRICS!LJ51*5))*30+MIN(MAX(ALL_METRICS!LK51,0),1)*20,1)</f>
        <v>30</v>
      </c>
      <c r="G52" s="134">
        <f>ROUND(MIN(MAX(ALL_METRICS!LX51-0.2,0)/0.45*100,100),1)</f>
        <v>60.6</v>
      </c>
      <c r="H52" s="139">
        <f>ROUND(AVERAGE(B52:G52),1)</f>
        <v>46.8</v>
      </c>
      <c r="I52" s="133" t="str">
        <f>ALL_METRICS!ED51</f>
        <v>F (Needs Citations)</v>
      </c>
    </row>
    <row r="53" spans="1:9" ht="16.05" customHeight="1" x14ac:dyDescent="0.3">
      <c r="A53" s="131" t="str">
        <f>ALL_METRICS!B52</f>
        <v>MDA-051-korea-experiment.md</v>
      </c>
      <c r="B53" s="132">
        <f>ROUND(MIN(ALL_METRICS!L52,0.6)/0.6*40+MAX(0,(0.4-ALL_METRICS!X52)/0.4)*20+IF(ALL_METRICS!AT52="A — Evidence-Rich",30,IF(LEFT(ALL_METRICS!AT52,1)="B",20,IF(LEFT(ALL_METRICS!AT52,1)="C",10,5)))+IF(AND(ALL_METRICS!AM52&gt;=6,ALL_METRICS!AM52&lt;=12),15,IF(ALL_METRICS!AM52&lt;6,10,5)),1)</f>
        <v>67.3</v>
      </c>
      <c r="C53" s="132">
        <f>ROUND(MIN(ALL_METRICS!EB52,20)/20*50+MIN(ALL_METRICS!DC52,5)/5*25+MIN(ALL_METRICS!DE52,2)/2*15+(1-MIN(ABS(ALL_METRICS!DJ52-0.5),0.5)/0.5)*10,1)</f>
        <v>46.1</v>
      </c>
      <c r="D53" s="132">
        <f>ROUND(MIN(ALL_METRICS!EE52,10)/10*40+MIN(MAX(ALL_METRICS!EI52,0),3)/3*30+MIN(ALL_METRICS!EN52,10)/10*30,1)</f>
        <v>44.6</v>
      </c>
      <c r="E53" s="132">
        <f>ROUND(ALL_METRICS!FN52*30+ALL_METRICS!FO52*30+ALL_METRICS!FY52*25+MAX(0,(1-ALL_METRICS!FZ52/0.5))*15,1)</f>
        <v>61.8</v>
      </c>
      <c r="F53" s="132">
        <f>ROUND(MIN(ALL_METRICS!LI52,1)*50+MAX(0,(1-ALL_METRICS!LJ52*5))*30+MIN(MAX(ALL_METRICS!LK52,0),1)*20,1)</f>
        <v>30</v>
      </c>
      <c r="G53" s="132">
        <f>ROUND(MIN(MAX(ALL_METRICS!LX52-0.2,0)/0.45*100,100),1)</f>
        <v>91</v>
      </c>
      <c r="H53" s="138">
        <f>ROUND(AVERAGE(B53:G53),1)</f>
        <v>56.8</v>
      </c>
      <c r="I53" s="131" t="str">
        <f>ALL_METRICS!ED52</f>
        <v>F (Needs Citations)</v>
      </c>
    </row>
    <row r="54" spans="1:9" ht="16.05" customHeight="1" x14ac:dyDescent="0.3">
      <c r="A54" s="133" t="str">
        <f>ALL_METRICS!B53</f>
        <v>MDA-052-individual-recovery.md</v>
      </c>
      <c r="B54" s="134">
        <f>ROUND(MIN(ALL_METRICS!L53,0.6)/0.6*40+MAX(0,(0.4-ALL_METRICS!X53)/0.4)*20+IF(ALL_METRICS!AT53="A — Evidence-Rich",30,IF(LEFT(ALL_METRICS!AT53,1)="B",20,IF(LEFT(ALL_METRICS!AT53,1)="C",10,5)))+IF(AND(ALL_METRICS!AM53&gt;=6,ALL_METRICS!AM53&lt;=12),15,IF(ALL_METRICS!AM53&lt;6,10,5)),1)</f>
        <v>68.099999999999994</v>
      </c>
      <c r="C54" s="134">
        <f>ROUND(MIN(ALL_METRICS!EB53,20)/20*50+MIN(ALL_METRICS!DC53,5)/5*25+MIN(ALL_METRICS!DE53,2)/2*15+(1-MIN(ABS(ALL_METRICS!DJ53-0.5),0.5)/0.5)*10,1)</f>
        <v>54.9</v>
      </c>
      <c r="D54" s="134">
        <f>ROUND(MIN(ALL_METRICS!EE53,10)/10*40+MIN(MAX(ALL_METRICS!EI53,0),3)/3*30+MIN(ALL_METRICS!EN53,10)/10*30,1)</f>
        <v>39.799999999999997</v>
      </c>
      <c r="E54" s="134">
        <f>ROUND(ALL_METRICS!FN53*30+ALL_METRICS!FO53*30+ALL_METRICS!FY53*25+MAX(0,(1-ALL_METRICS!FZ53/0.5))*15,1)</f>
        <v>59.3</v>
      </c>
      <c r="F54" s="134">
        <f>ROUND(MIN(ALL_METRICS!LI53,1)*50+MAX(0,(1-ALL_METRICS!LJ53*5))*30+MIN(MAX(ALL_METRICS!LK53,0),1)*20,1)</f>
        <v>30</v>
      </c>
      <c r="G54" s="134">
        <f>ROUND(MIN(MAX(ALL_METRICS!LX53-0.2,0)/0.45*100,100),1)</f>
        <v>83.5</v>
      </c>
      <c r="H54" s="139">
        <f>ROUND(AVERAGE(B54:G54),1)</f>
        <v>55.9</v>
      </c>
      <c r="I54" s="133" t="str">
        <f>ALL_METRICS!ED53</f>
        <v>F (Needs Citations)</v>
      </c>
    </row>
    <row r="55" spans="1:9" ht="16.05" customHeight="1" x14ac:dyDescent="0.3">
      <c r="A55" s="131" t="str">
        <f>ALL_METRICS!B54</f>
        <v>MDA-053-the-question.md</v>
      </c>
      <c r="B55" s="132">
        <f>ROUND(MIN(ALL_METRICS!L54,0.6)/0.6*40+MAX(0,(0.4-ALL_METRICS!X54)/0.4)*20+IF(ALL_METRICS!AT54="A — Evidence-Rich",30,IF(LEFT(ALL_METRICS!AT54,1)="B",20,IF(LEFT(ALL_METRICS!AT54,1)="C",10,5)))+IF(AND(ALL_METRICS!AM54&gt;=6,ALL_METRICS!AM54&lt;=12),15,IF(ALL_METRICS!AM54&lt;6,10,5)),1)</f>
        <v>59.2</v>
      </c>
      <c r="C55" s="132">
        <f>ROUND(MIN(ALL_METRICS!EB54,20)/20*50+MIN(ALL_METRICS!DC54,5)/5*25+MIN(ALL_METRICS!DE54,2)/2*15+(1-MIN(ABS(ALL_METRICS!DJ54-0.5),0.5)/0.5)*10,1)</f>
        <v>59.2</v>
      </c>
      <c r="D55" s="132">
        <f>ROUND(MIN(ALL_METRICS!EE54,10)/10*40+MIN(MAX(ALL_METRICS!EI54,0),3)/3*30+MIN(ALL_METRICS!EN54,10)/10*30,1)</f>
        <v>41</v>
      </c>
      <c r="E55" s="132">
        <f>ROUND(ALL_METRICS!FN54*30+ALL_METRICS!FO54*30+ALL_METRICS!FY54*25+MAX(0,(1-ALL_METRICS!FZ54/0.5))*15,1)</f>
        <v>58.9</v>
      </c>
      <c r="F55" s="132">
        <f>ROUND(MIN(ALL_METRICS!LI54,1)*50+MAX(0,(1-ALL_METRICS!LJ54*5))*30+MIN(MAX(ALL_METRICS!LK54,0),1)*20,1)</f>
        <v>30</v>
      </c>
      <c r="G55" s="132">
        <f>ROUND(MIN(MAX(ALL_METRICS!LX54-0.2,0)/0.45*100,100),1)</f>
        <v>85.9</v>
      </c>
      <c r="H55" s="138">
        <f>ROUND(AVERAGE(B55:G55),1)</f>
        <v>55.7</v>
      </c>
      <c r="I55" s="131" t="str">
        <f>ALL_METRICS!ED54</f>
        <v>F (Needs Citations)</v>
      </c>
    </row>
    <row r="56" spans="1:9" ht="16.05" customHeight="1" x14ac:dyDescent="0.3">
      <c r="A56" s="133" t="str">
        <f>ALL_METRICS!B55</f>
        <v>MDA-054-way-back.md</v>
      </c>
      <c r="B56" s="134">
        <f>ROUND(MIN(ALL_METRICS!L55,0.6)/0.6*40+MAX(0,(0.4-ALL_METRICS!X55)/0.4)*20+IF(ALL_METRICS!AT55="A — Evidence-Rich",30,IF(LEFT(ALL_METRICS!AT55,1)="B",20,IF(LEFT(ALL_METRICS!AT55,1)="C",10,5)))+IF(AND(ALL_METRICS!AM55&gt;=6,ALL_METRICS!AM55&lt;=12),15,IF(ALL_METRICS!AM55&lt;6,10,5)),1)</f>
        <v>60</v>
      </c>
      <c r="C56" s="134">
        <f>ROUND(MIN(ALL_METRICS!EB55,20)/20*50+MIN(ALL_METRICS!DC55,5)/5*25+MIN(ALL_METRICS!DE55,2)/2*15+(1-MIN(ABS(ALL_METRICS!DJ55-0.5),0.5)/0.5)*10,1)</f>
        <v>71</v>
      </c>
      <c r="D56" s="134">
        <f>ROUND(MIN(ALL_METRICS!EE55,10)/10*40+MIN(MAX(ALL_METRICS!EI55,0),3)/3*30+MIN(ALL_METRICS!EN55,10)/10*30,1)</f>
        <v>38.6</v>
      </c>
      <c r="E56" s="134">
        <f>ROUND(ALL_METRICS!FN55*30+ALL_METRICS!FO55*30+ALL_METRICS!FY55*25+MAX(0,(1-ALL_METRICS!FZ55/0.5))*15,1)</f>
        <v>59.4</v>
      </c>
      <c r="F56" s="134">
        <f>ROUND(MIN(ALL_METRICS!LI55,1)*50+MAX(0,(1-ALL_METRICS!LJ55*5))*30+MIN(MAX(ALL_METRICS!LK55,0),1)*20,1)</f>
        <v>30</v>
      </c>
      <c r="G56" s="134">
        <f>ROUND(MIN(MAX(ALL_METRICS!LX55-0.2,0)/0.45*100,100),1)</f>
        <v>90.3</v>
      </c>
      <c r="H56" s="139">
        <f>ROUND(AVERAGE(B56:G56),1)</f>
        <v>58.2</v>
      </c>
      <c r="I56" s="133" t="str">
        <f>ALL_METRICS!ED55</f>
        <v>D (Light)</v>
      </c>
    </row>
    <row r="57" spans="1:9" ht="16.05" customHeight="1" x14ac:dyDescent="0.3">
      <c r="A57" s="131" t="str">
        <f>ALL_METRICS!B56</f>
        <v>MDA-900-appendix-original-introduction.md</v>
      </c>
      <c r="B57" s="132">
        <f>ROUND(MIN(ALL_METRICS!L56,0.6)/0.6*40+MAX(0,(0.4-ALL_METRICS!X56)/0.4)*20+IF(ALL_METRICS!AT56="A — Evidence-Rich",30,IF(LEFT(ALL_METRICS!AT56,1)="B",20,IF(LEFT(ALL_METRICS!AT56,1)="C",10,5)))+IF(AND(ALL_METRICS!AM56&gt;=6,ALL_METRICS!AM56&lt;=12),15,IF(ALL_METRICS!AM56&lt;6,10,5)),1)</f>
        <v>65.599999999999994</v>
      </c>
      <c r="C57" s="132">
        <f>ROUND(MIN(ALL_METRICS!EB56,20)/20*50+MIN(ALL_METRICS!DC56,5)/5*25+MIN(ALL_METRICS!DE56,2)/2*15+(1-MIN(ABS(ALL_METRICS!DJ56-0.5),0.5)/0.5)*10,1)</f>
        <v>57.6</v>
      </c>
      <c r="D57" s="132">
        <f>ROUND(MIN(ALL_METRICS!EE56,10)/10*40+MIN(MAX(ALL_METRICS!EI56,0),3)/3*30+MIN(ALL_METRICS!EN56,10)/10*30,1)</f>
        <v>44.3</v>
      </c>
      <c r="E57" s="132">
        <f>ROUND(ALL_METRICS!FN56*30+ALL_METRICS!FO56*30+ALL_METRICS!FY56*25+MAX(0,(1-ALL_METRICS!FZ56/0.5))*15,1)</f>
        <v>59.8</v>
      </c>
      <c r="F57" s="132">
        <f>ROUND(MIN(ALL_METRICS!LI56,1)*50+MAX(0,(1-ALL_METRICS!LJ56*5))*30+MIN(MAX(ALL_METRICS!LK56,0),1)*20,1)</f>
        <v>30</v>
      </c>
      <c r="G57" s="132">
        <f>ROUND(MIN(MAX(ALL_METRICS!LX56-0.2,0)/0.45*100,100),1)</f>
        <v>74.8</v>
      </c>
      <c r="H57" s="138">
        <f>ROUND(AVERAGE(B57:G57),1)</f>
        <v>55.4</v>
      </c>
      <c r="I57" s="131" t="str">
        <f>ALL_METRICS!ED56</f>
        <v>D (Light)</v>
      </c>
    </row>
    <row r="58" spans="1:9" ht="16.05" customHeight="1" x14ac:dyDescent="0.3">
      <c r="A58" s="133" t="str">
        <f>ALL_METRICS!B57</f>
        <v>MDA-901-appendix-america-index.md</v>
      </c>
      <c r="B58" s="134">
        <f>ROUND(MIN(ALL_METRICS!L57,0.6)/0.6*40+MAX(0,(0.4-ALL_METRICS!X57)/0.4)*20+IF(ALL_METRICS!AT57="A — Evidence-Rich",30,IF(LEFT(ALL_METRICS!AT57,1)="B",20,IF(LEFT(ALL_METRICS!AT57,1)="C",10,5)))+IF(AND(ALL_METRICS!AM57&gt;=6,ALL_METRICS!AM57&lt;=12),15,IF(ALL_METRICS!AM57&lt;6,10,5)),1)</f>
        <v>72.599999999999994</v>
      </c>
      <c r="C58" s="134">
        <f>ROUND(MIN(ALL_METRICS!EB57,20)/20*50+MIN(ALL_METRICS!DC57,5)/5*25+MIN(ALL_METRICS!DE57,2)/2*15+(1-MIN(ABS(ALL_METRICS!DJ57-0.5),0.5)/0.5)*10,1)</f>
        <v>46.1</v>
      </c>
      <c r="D58" s="134">
        <f>ROUND(MIN(ALL_METRICS!EE57,10)/10*40+MIN(MAX(ALL_METRICS!EI57,0),3)/3*30+MIN(ALL_METRICS!EN57,10)/10*30,1)</f>
        <v>26.3</v>
      </c>
      <c r="E58" s="134">
        <f>ROUND(ALL_METRICS!FN57*30+ALL_METRICS!FO57*30+ALL_METRICS!FY57*25+MAX(0,(1-ALL_METRICS!FZ57/0.5))*15,1)</f>
        <v>59.4</v>
      </c>
      <c r="F58" s="134">
        <f>ROUND(MIN(ALL_METRICS!LI57,1)*50+MAX(0,(1-ALL_METRICS!LJ57*5))*30+MIN(MAX(ALL_METRICS!LK57,0),1)*20,1)</f>
        <v>30</v>
      </c>
      <c r="G58" s="134">
        <f>ROUND(MIN(MAX(ALL_METRICS!LX57-0.2,0)/0.45*100,100),1)</f>
        <v>77.7</v>
      </c>
      <c r="H58" s="139">
        <f>ROUND(AVERAGE(B58:G58),1)</f>
        <v>52</v>
      </c>
      <c r="I58" s="133" t="str">
        <f>ALL_METRICS!ED57</f>
        <v>D (Light)</v>
      </c>
    </row>
    <row r="59" spans="1:9" ht="16.05" customHeight="1" x14ac:dyDescent="0.3">
      <c r="A59" s="131" t="str">
        <f>ALL_METRICS!B58</f>
        <v>MDA-902-appendix-trans-domain-analysis.md</v>
      </c>
      <c r="B59" s="132">
        <f>ROUND(MIN(ALL_METRICS!L58,0.6)/0.6*40+MAX(0,(0.4-ALL_METRICS!X58)/0.4)*20+IF(ALL_METRICS!AT58="A — Evidence-Rich",30,IF(LEFT(ALL_METRICS!AT58,1)="B",20,IF(LEFT(ALL_METRICS!AT58,1)="C",10,5)))+IF(AND(ALL_METRICS!AM58&gt;=6,ALL_METRICS!AM58&lt;=12),15,IF(ALL_METRICS!AM58&lt;6,10,5)),1)</f>
        <v>61.5</v>
      </c>
      <c r="C59" s="132">
        <f>ROUND(MIN(ALL_METRICS!EB58,20)/20*50+MIN(ALL_METRICS!DC58,5)/5*25+MIN(ALL_METRICS!DE58,2)/2*15+(1-MIN(ABS(ALL_METRICS!DJ58-0.5),0.5)/0.5)*10,1)</f>
        <v>72</v>
      </c>
      <c r="D59" s="132">
        <f>ROUND(MIN(ALL_METRICS!EE58,10)/10*40+MIN(MAX(ALL_METRICS!EI58,0),3)/3*30+MIN(ALL_METRICS!EN58,10)/10*30,1)</f>
        <v>26.7</v>
      </c>
      <c r="E59" s="132">
        <f>ROUND(ALL_METRICS!FN58*30+ALL_METRICS!FO58*30+ALL_METRICS!FY58*25+MAX(0,(1-ALL_METRICS!FZ58/0.5))*15,1)</f>
        <v>61.4</v>
      </c>
      <c r="F59" s="132">
        <f>ROUND(MIN(ALL_METRICS!LI58,1)*50+MAX(0,(1-ALL_METRICS!LJ58*5))*30+MIN(MAX(ALL_METRICS!LK58,0),1)*20,1)</f>
        <v>30</v>
      </c>
      <c r="G59" s="132">
        <f>ROUND(MIN(MAX(ALL_METRICS!LX58-0.2,0)/0.45*100,100),1)</f>
        <v>83.1</v>
      </c>
      <c r="H59" s="138">
        <f>ROUND(AVERAGE(B59:G59),1)</f>
        <v>55.8</v>
      </c>
      <c r="I59" s="131" t="str">
        <f>ALL_METRICS!ED58</f>
        <v>D (Light)</v>
      </c>
    </row>
    <row r="60" spans="1:9" ht="16.05" customHeight="1" x14ac:dyDescent="0.3">
      <c r="A60" s="133" t="str">
        <f>ALL_METRICS!B59</f>
        <v>MDA-903-appendix-series-home.md</v>
      </c>
      <c r="B60" s="134">
        <f>ROUND(MIN(ALL_METRICS!L59,0.6)/0.6*40+MAX(0,(0.4-ALL_METRICS!X59)/0.4)*20+IF(ALL_METRICS!AT59="A — Evidence-Rich",30,IF(LEFT(ALL_METRICS!AT59,1)="B",20,IF(LEFT(ALL_METRICS!AT59,1)="C",10,5)))+IF(AND(ALL_METRICS!AM59&gt;=6,ALL_METRICS!AM59&lt;=12),15,IF(ALL_METRICS!AM59&lt;6,10,5)),1)</f>
        <v>65.2</v>
      </c>
      <c r="C60" s="134">
        <f>ROUND(MIN(ALL_METRICS!EB59,20)/20*50+MIN(ALL_METRICS!DC59,5)/5*25+MIN(ALL_METRICS!DE59,2)/2*15+(1-MIN(ABS(ALL_METRICS!DJ59-0.5),0.5)/0.5)*10,1)</f>
        <v>65</v>
      </c>
      <c r="D60" s="134">
        <f>ROUND(MIN(ALL_METRICS!EE59,10)/10*40+MIN(MAX(ALL_METRICS!EI59,0),3)/3*30+MIN(ALL_METRICS!EN59,10)/10*30,1)</f>
        <v>49.2</v>
      </c>
      <c r="E60" s="134">
        <f>ROUND(ALL_METRICS!FN59*30+ALL_METRICS!FO59*30+ALL_METRICS!FY59*25+MAX(0,(1-ALL_METRICS!FZ59/0.5))*15,1)</f>
        <v>59.9</v>
      </c>
      <c r="F60" s="134">
        <f>ROUND(MIN(ALL_METRICS!LI59,1)*50+MAX(0,(1-ALL_METRICS!LJ59*5))*30+MIN(MAX(ALL_METRICS!LK59,0),1)*20,1)</f>
        <v>30</v>
      </c>
      <c r="G60" s="134">
        <f>ROUND(MIN(MAX(ALL_METRICS!LX59-0.2,0)/0.45*100,100),1)</f>
        <v>93.7</v>
      </c>
      <c r="H60" s="139">
        <f>ROUND(AVERAGE(B60:G60),1)</f>
        <v>60.5</v>
      </c>
      <c r="I60" s="133" t="str">
        <f>ALL_METRICS!ED59</f>
        <v>D (Light)</v>
      </c>
    </row>
    <row r="61" spans="1:9" ht="16.05" customHeight="1" x14ac:dyDescent="0.3">
      <c r="A61" s="131" t="str">
        <f>ALL_METRICS!B60</f>
        <v>MDA-904-appendix-sample.md</v>
      </c>
      <c r="B61" s="132">
        <f>ROUND(MIN(ALL_METRICS!L60,0.6)/0.6*40+MAX(0,(0.4-ALL_METRICS!X60)/0.4)*20+IF(ALL_METRICS!AT60="A — Evidence-Rich",30,IF(LEFT(ALL_METRICS!AT60,1)="B",20,IF(LEFT(ALL_METRICS!AT60,1)="C",10,5)))+IF(AND(ALL_METRICS!AM60&gt;=6,ALL_METRICS!AM60&lt;=12),15,IF(ALL_METRICS!AM60&lt;6,10,5)),1)</f>
        <v>72.099999999999994</v>
      </c>
      <c r="C61" s="132">
        <f>ROUND(MIN(ALL_METRICS!EB60,20)/20*50+MIN(ALL_METRICS!DC60,5)/5*25+MIN(ALL_METRICS!DE60,2)/2*15+(1-MIN(ABS(ALL_METRICS!DJ60-0.5),0.5)/0.5)*10,1)</f>
        <v>36.1</v>
      </c>
      <c r="D61" s="132">
        <f>ROUND(MIN(ALL_METRICS!EE60,10)/10*40+MIN(MAX(ALL_METRICS!EI60,0),3)/3*30+MIN(ALL_METRICS!EN60,10)/10*30,1)</f>
        <v>41.5</v>
      </c>
      <c r="E61" s="132">
        <f>ROUND(ALL_METRICS!FN60*30+ALL_METRICS!FO60*30+ALL_METRICS!FY60*25+MAX(0,(1-ALL_METRICS!FZ60/0.5))*15,1)</f>
        <v>58.7</v>
      </c>
      <c r="F61" s="132">
        <f>ROUND(MIN(ALL_METRICS!LI60,1)*50+MAX(0,(1-ALL_METRICS!LJ60*5))*30+MIN(MAX(ALL_METRICS!LK60,0),1)*20,1)</f>
        <v>30</v>
      </c>
      <c r="G61" s="132">
        <f>ROUND(MIN(MAX(ALL_METRICS!LX60-0.2,0)/0.45*100,100),1)</f>
        <v>90.8</v>
      </c>
      <c r="H61" s="138">
        <f>ROUND(AVERAGE(B61:G61),1)</f>
        <v>54.9</v>
      </c>
      <c r="I61" s="131" t="str">
        <f>ALL_METRICS!ED60</f>
        <v>F (Needs Citations)</v>
      </c>
    </row>
    <row r="62" spans="1:9" ht="16.05" customHeight="1" x14ac:dyDescent="0.3">
      <c r="A62" s="133" t="str">
        <f>ALL_METRICS!B61</f>
        <v>MDA-905-appendix-timeline.md</v>
      </c>
      <c r="B62" s="134">
        <f>ROUND(MIN(ALL_METRICS!L61,0.6)/0.6*40+MAX(0,(0.4-ALL_METRICS!X61)/0.4)*20+IF(ALL_METRICS!AT61="A — Evidence-Rich",30,IF(LEFT(ALL_METRICS!AT61,1)="B",20,IF(LEFT(ALL_METRICS!AT61,1)="C",10,5)))+IF(AND(ALL_METRICS!AM61&gt;=6,ALL_METRICS!AM61&lt;=12),15,IF(ALL_METRICS!AM61&lt;6,10,5)),1)</f>
        <v>67.099999999999994</v>
      </c>
      <c r="C62" s="134">
        <f>ROUND(MIN(ALL_METRICS!EB61,20)/20*50+MIN(ALL_METRICS!DC61,5)/5*25+MIN(ALL_METRICS!DE61,2)/2*15+(1-MIN(ABS(ALL_METRICS!DJ61-0.5),0.5)/0.5)*10,1)</f>
        <v>66.400000000000006</v>
      </c>
      <c r="D62" s="134">
        <f>ROUND(MIN(ALL_METRICS!EE61,10)/10*40+MIN(MAX(ALL_METRICS!EI61,0),3)/3*30+MIN(ALL_METRICS!EN61,10)/10*30,1)</f>
        <v>14.8</v>
      </c>
      <c r="E62" s="134">
        <f>ROUND(ALL_METRICS!FN61*30+ALL_METRICS!FO61*30+ALL_METRICS!FY61*25+MAX(0,(1-ALL_METRICS!FZ61/0.5))*15,1)</f>
        <v>64</v>
      </c>
      <c r="F62" s="134">
        <f>ROUND(MIN(ALL_METRICS!LI61,1)*50+MAX(0,(1-ALL_METRICS!LJ61*5))*30+MIN(MAX(ALL_METRICS!LK61,0),1)*20,1)</f>
        <v>30</v>
      </c>
      <c r="G62" s="134">
        <f>ROUND(MIN(MAX(ALL_METRICS!LX61-0.2,0)/0.45*100,100),1)</f>
        <v>93.4</v>
      </c>
      <c r="H62" s="139">
        <f>ROUND(AVERAGE(B62:G62),1)</f>
        <v>56</v>
      </c>
      <c r="I62" s="133" t="str">
        <f>ALL_METRICS!ED61</f>
        <v>B (Strong)</v>
      </c>
    </row>
    <row r="63" spans="1:9" ht="16.05" customHeight="1" x14ac:dyDescent="0.3">
      <c r="A63" s="131" t="str">
        <f>ALL_METRICS!B62</f>
        <v>MDA-906-appendix-93-year-floor.md</v>
      </c>
      <c r="B63" s="132">
        <f>ROUND(MIN(ALL_METRICS!L62,0.6)/0.6*40+MAX(0,(0.4-ALL_METRICS!X62)/0.4)*20+IF(ALL_METRICS!AT62="A — Evidence-Rich",30,IF(LEFT(ALL_METRICS!AT62,1)="B",20,IF(LEFT(ALL_METRICS!AT62,1)="C",10,5)))+IF(AND(ALL_METRICS!AM62&gt;=6,ALL_METRICS!AM62&lt;=12),15,IF(ALL_METRICS!AM62&lt;6,10,5)),1)</f>
        <v>54.1</v>
      </c>
      <c r="C63" s="132">
        <f>ROUND(MIN(ALL_METRICS!EB62,20)/20*50+MIN(ALL_METRICS!DC62,5)/5*25+MIN(ALL_METRICS!DE62,2)/2*15+(1-MIN(ABS(ALL_METRICS!DJ62-0.5),0.5)/0.5)*10,1)</f>
        <v>60.8</v>
      </c>
      <c r="D63" s="132">
        <f>ROUND(MIN(ALL_METRICS!EE62,10)/10*40+MIN(MAX(ALL_METRICS!EI62,0),3)/3*30+MIN(ALL_METRICS!EN62,10)/10*30,1)</f>
        <v>35.200000000000003</v>
      </c>
      <c r="E63" s="132">
        <f>ROUND(ALL_METRICS!FN62*30+ALL_METRICS!FO62*30+ALL_METRICS!FY62*25+MAX(0,(1-ALL_METRICS!FZ62/0.5))*15,1)</f>
        <v>61.9</v>
      </c>
      <c r="F63" s="132">
        <f>ROUND(MIN(ALL_METRICS!LI62,1)*50+MAX(0,(1-ALL_METRICS!LJ62*5))*30+MIN(MAX(ALL_METRICS!LK62,0),1)*20,1)</f>
        <v>30</v>
      </c>
      <c r="G63" s="132">
        <f>ROUND(MIN(MAX(ALL_METRICS!LX62-0.2,0)/0.45*100,100),1)</f>
        <v>52.3</v>
      </c>
      <c r="H63" s="138">
        <f>ROUND(AVERAGE(B63:G63),1)</f>
        <v>49.1</v>
      </c>
      <c r="I63" s="131" t="str">
        <f>ALL_METRICS!ED62</f>
        <v>F (Needs Citations)</v>
      </c>
    </row>
    <row r="64" spans="1:9" ht="16.05" customHeight="1" thickBot="1" x14ac:dyDescent="0.35">
      <c r="A64" s="133" t="str">
        <f>ALL_METRICS!B63</f>
        <v>MDA-001-story-introduction.md</v>
      </c>
      <c r="B64" s="134">
        <f>ROUND(MIN(ALL_METRICS!L63,0.6)/0.6*40+MAX(0,(0.4-ALL_METRICS!X63)/0.4)*20+IF(ALL_METRICS!AT63="A — Evidence-Rich",30,IF(LEFT(ALL_METRICS!AT63,1)="B",20,IF(LEFT(ALL_METRICS!AT63,1)="C",10,5)))+IF(AND(ALL_METRICS!AM63&gt;=6,ALL_METRICS!AM63&lt;=12),15,IF(ALL_METRICS!AM63&lt;6,10,5)),1)</f>
        <v>61.7</v>
      </c>
      <c r="C64" s="134">
        <f>ROUND(MIN(ALL_METRICS!EB63,20)/20*50+MIN(ALL_METRICS!DC63,5)/5*25+MIN(ALL_METRICS!DE63,2)/2*15+(1-MIN(ABS(ALL_METRICS!DJ63-0.5),0.5)/0.5)*10,1)</f>
        <v>31</v>
      </c>
      <c r="D64" s="134">
        <f>ROUND(MIN(ALL_METRICS!EE63,10)/10*40+MIN(MAX(ALL_METRICS!EI63,0),3)/3*30+MIN(ALL_METRICS!EN63,10)/10*30,1)</f>
        <v>42.9</v>
      </c>
      <c r="E64" s="134">
        <f>ROUND(ALL_METRICS!FN63*30+ALL_METRICS!FO63*30+ALL_METRICS!FY63*25+MAX(0,(1-ALL_METRICS!FZ63/0.5))*15,1)</f>
        <v>50.6</v>
      </c>
      <c r="F64" s="134">
        <f>ROUND(MIN(ALL_METRICS!LI63,1)*50+MAX(0,(1-ALL_METRICS!LJ63*5))*30+MIN(MAX(ALL_METRICS!LK63,0),1)*20,1)</f>
        <v>57.8</v>
      </c>
      <c r="G64" s="134">
        <f>ROUND(MIN(MAX(ALL_METRICS!LX63-0.2,0)/0.45*100,100),1)</f>
        <v>63.6</v>
      </c>
      <c r="H64" s="139">
        <f>ROUND(AVERAGE(B64:G64),1)</f>
        <v>51.3</v>
      </c>
      <c r="I64" s="133" t="str">
        <f>ALL_METRICS!ED63</f>
        <v>F (Needs Citations)</v>
      </c>
    </row>
    <row r="65" spans="1:9" ht="18" customHeight="1" x14ac:dyDescent="0.3">
      <c r="A65" s="135" t="s">
        <v>2240</v>
      </c>
      <c r="B65" s="136">
        <f>ROUND(AVERAGE(B3:B64),1)</f>
        <v>63.1</v>
      </c>
      <c r="C65" s="136">
        <f>ROUND(AVERAGE(C3:C64),1)</f>
        <v>55</v>
      </c>
      <c r="D65" s="136">
        <f>ROUND(AVERAGE(D3:D64),1)</f>
        <v>29.3</v>
      </c>
      <c r="E65" s="136">
        <f>ROUND(AVERAGE(E3:E64),1)</f>
        <v>61.5</v>
      </c>
      <c r="F65" s="136">
        <f>ROUND(AVERAGE(F3:F64),1)</f>
        <v>30.4</v>
      </c>
      <c r="G65" s="136">
        <f>ROUND(AVERAGE(G3:G64),1)</f>
        <v>74.900000000000006</v>
      </c>
      <c r="H65" s="136">
        <f>ROUND(AVERAGE(H3:H64),1)</f>
        <v>52.4</v>
      </c>
      <c r="I65" s="137"/>
    </row>
  </sheetData>
  <conditionalFormatting sqref="B3:B64">
    <cfRule type="colorScale" priority="1">
      <colorScale>
        <cfvo type="num" val="0"/>
        <cfvo type="num" val="50"/>
        <cfvo type="num" val="100"/>
        <color rgb="FFFF4B4B"/>
        <color rgb="FFFFEB84"/>
        <color rgb="FF63BE7B"/>
      </colorScale>
    </cfRule>
  </conditionalFormatting>
  <conditionalFormatting sqref="C3:C64">
    <cfRule type="colorScale" priority="2">
      <colorScale>
        <cfvo type="num" val="0"/>
        <cfvo type="num" val="50"/>
        <cfvo type="num" val="100"/>
        <color rgb="FFFF4B4B"/>
        <color rgb="FFFFEB84"/>
        <color rgb="FF63BE7B"/>
      </colorScale>
    </cfRule>
  </conditionalFormatting>
  <conditionalFormatting sqref="D3:D64">
    <cfRule type="colorScale" priority="3">
      <colorScale>
        <cfvo type="num" val="0"/>
        <cfvo type="num" val="50"/>
        <cfvo type="num" val="100"/>
        <color rgb="FFFF4B4B"/>
        <color rgb="FFFFEB84"/>
        <color rgb="FF63BE7B"/>
      </colorScale>
    </cfRule>
  </conditionalFormatting>
  <conditionalFormatting sqref="E3:E64">
    <cfRule type="colorScale" priority="4">
      <colorScale>
        <cfvo type="num" val="0"/>
        <cfvo type="num" val="50"/>
        <cfvo type="num" val="100"/>
        <color rgb="FFFF4B4B"/>
        <color rgb="FFFFEB84"/>
        <color rgb="FF63BE7B"/>
      </colorScale>
    </cfRule>
  </conditionalFormatting>
  <conditionalFormatting sqref="F3:F64">
    <cfRule type="colorScale" priority="5">
      <colorScale>
        <cfvo type="num" val="0"/>
        <cfvo type="num" val="50"/>
        <cfvo type="num" val="100"/>
        <color rgb="FFFF4B4B"/>
        <color rgb="FFFFEB84"/>
        <color rgb="FF63BE7B"/>
      </colorScale>
    </cfRule>
  </conditionalFormatting>
  <conditionalFormatting sqref="G3:G64">
    <cfRule type="colorScale" priority="6">
      <colorScale>
        <cfvo type="num" val="0"/>
        <cfvo type="num" val="50"/>
        <cfvo type="num" val="100"/>
        <color rgb="FFFF4B4B"/>
        <color rgb="FFFFEB84"/>
        <color rgb="FF63BE7B"/>
      </colorScale>
    </cfRule>
  </conditionalFormatting>
  <conditionalFormatting sqref="H3:H64">
    <cfRule type="colorScale" priority="7">
      <colorScale>
        <cfvo type="num" val="0"/>
        <cfvo type="num" val="50"/>
        <cfvo type="num" val="100"/>
        <color rgb="FFFF4B4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BF4E-ACAC-4FF1-8A09-E5446BB0E16D}">
  <dimension ref="A1:AD66"/>
  <sheetViews>
    <sheetView topLeftCell="B6" workbookViewId="0">
      <pane xSplit="1" ySplit="1" topLeftCell="C7" activePane="bottomRight" state="frozen"/>
      <selection activeCell="B6" sqref="B6"/>
      <selection pane="topRight" activeCell="C6" sqref="C6"/>
      <selection pane="bottomLeft" activeCell="B7" sqref="B7"/>
      <selection pane="bottomRight"/>
    </sheetView>
  </sheetViews>
  <sheetFormatPr defaultRowHeight="14.4" x14ac:dyDescent="0.3"/>
  <cols>
    <col min="1" max="1" width="40.77734375" customWidth="1"/>
    <col min="2" max="2" width="24.109375" customWidth="1"/>
    <col min="3" max="3" width="14.77734375" customWidth="1"/>
    <col min="4" max="4" width="13" customWidth="1"/>
    <col min="5" max="5" width="14.77734375" customWidth="1"/>
    <col min="6" max="6" width="13.88671875" customWidth="1"/>
    <col min="7" max="7" width="16.6640625" customWidth="1"/>
    <col min="8" max="8" width="14.77734375" customWidth="1"/>
    <col min="9" max="9" width="16.6640625" customWidth="1"/>
    <col min="10" max="10" width="13.88671875" customWidth="1"/>
    <col min="11" max="11" width="15.77734375" customWidth="1"/>
    <col min="12" max="13" width="17.5546875" customWidth="1"/>
    <col min="14" max="14" width="14.77734375" customWidth="1"/>
    <col min="15" max="15" width="13" customWidth="1"/>
    <col min="16" max="18" width="14.77734375" customWidth="1"/>
    <col min="19" max="19" width="13" customWidth="1"/>
    <col min="20" max="20" width="20.33203125" customWidth="1"/>
    <col min="21" max="21" width="13.88671875" customWidth="1"/>
    <col min="22" max="23" width="14.77734375" customWidth="1"/>
    <col min="24" max="24" width="22.21875" customWidth="1"/>
    <col min="25" max="26" width="17.5546875" customWidth="1"/>
    <col min="27" max="27" width="13.88671875" customWidth="1"/>
    <col min="28" max="28" width="20.33203125" customWidth="1"/>
    <col min="29" max="30" width="16.6640625" customWidth="1"/>
  </cols>
  <sheetData>
    <row r="1" spans="1:30" ht="21" x14ac:dyDescent="0.4">
      <c r="A1" s="5" t="s">
        <v>1982</v>
      </c>
    </row>
    <row r="2" spans="1:30" x14ac:dyDescent="0.3">
      <c r="A2" s="6" t="s">
        <v>1983</v>
      </c>
    </row>
    <row r="3" spans="1:30" x14ac:dyDescent="0.3">
      <c r="A3" s="7" t="s">
        <v>1984</v>
      </c>
      <c r="B3" s="7"/>
      <c r="C3" s="7"/>
      <c r="D3" s="9" t="s">
        <v>1985</v>
      </c>
      <c r="E3" s="9"/>
      <c r="F3" s="9"/>
      <c r="G3" s="9"/>
      <c r="H3" s="9"/>
      <c r="I3" s="1" t="s">
        <v>1986</v>
      </c>
      <c r="J3" s="1"/>
      <c r="K3" s="1"/>
      <c r="L3" s="1"/>
      <c r="M3" s="1"/>
      <c r="N3" s="1"/>
      <c r="O3" s="12" t="s">
        <v>1987</v>
      </c>
      <c r="P3" s="12"/>
      <c r="Q3" s="12"/>
      <c r="R3" s="12"/>
      <c r="S3" s="12"/>
      <c r="T3" s="12"/>
      <c r="U3" s="14" t="s">
        <v>1988</v>
      </c>
      <c r="V3" s="14"/>
      <c r="W3" s="14"/>
      <c r="X3" s="14"/>
      <c r="Y3" s="15" t="s">
        <v>1989</v>
      </c>
      <c r="Z3" s="15"/>
      <c r="AA3" s="15"/>
      <c r="AB3" s="15"/>
      <c r="AC3" s="17" t="s">
        <v>1990</v>
      </c>
      <c r="AD3" s="17"/>
    </row>
    <row r="4" spans="1:30" x14ac:dyDescent="0.3">
      <c r="A4" s="20" t="s">
        <v>1991</v>
      </c>
      <c r="B4" s="22" t="s">
        <v>1992</v>
      </c>
      <c r="C4" s="36" t="s">
        <v>1993</v>
      </c>
      <c r="D4" s="20" t="s">
        <v>1994</v>
      </c>
      <c r="E4" s="21" t="s">
        <v>1995</v>
      </c>
      <c r="F4" s="21" t="s">
        <v>1996</v>
      </c>
      <c r="G4" s="22" t="s">
        <v>1997</v>
      </c>
      <c r="H4" s="41" t="s">
        <v>1998</v>
      </c>
      <c r="I4" s="20" t="s">
        <v>1999</v>
      </c>
      <c r="J4" s="21" t="s">
        <v>2000</v>
      </c>
      <c r="K4" s="21" t="s">
        <v>2001</v>
      </c>
      <c r="L4" s="21" t="s">
        <v>2002</v>
      </c>
      <c r="M4" s="22" t="s">
        <v>2003</v>
      </c>
      <c r="N4" s="46" t="s">
        <v>2004</v>
      </c>
      <c r="O4" s="20" t="s">
        <v>2005</v>
      </c>
      <c r="P4" s="21" t="s">
        <v>2006</v>
      </c>
      <c r="Q4" s="21" t="s">
        <v>2007</v>
      </c>
      <c r="R4" s="21" t="s">
        <v>2008</v>
      </c>
      <c r="S4" s="22" t="s">
        <v>2009</v>
      </c>
      <c r="T4" s="51" t="s">
        <v>2010</v>
      </c>
      <c r="U4" s="20" t="s">
        <v>2011</v>
      </c>
      <c r="V4" s="21" t="s">
        <v>2012</v>
      </c>
      <c r="W4" s="22" t="s">
        <v>2013</v>
      </c>
      <c r="X4" s="56" t="s">
        <v>2014</v>
      </c>
      <c r="Y4" s="20" t="s">
        <v>2015</v>
      </c>
      <c r="Z4" s="21" t="s">
        <v>2016</v>
      </c>
      <c r="AA4" s="22" t="s">
        <v>2017</v>
      </c>
      <c r="AB4" s="61" t="s">
        <v>2018</v>
      </c>
      <c r="AC4" s="20" t="s">
        <v>2019</v>
      </c>
      <c r="AD4" s="22" t="s">
        <v>2020</v>
      </c>
    </row>
    <row r="5" spans="1:30" x14ac:dyDescent="0.3">
      <c r="A5" s="23" t="s">
        <v>2050</v>
      </c>
      <c r="B5" s="25" t="s">
        <v>2021</v>
      </c>
      <c r="C5" s="37" t="s">
        <v>2022</v>
      </c>
      <c r="D5" s="35" t="s">
        <v>2023</v>
      </c>
      <c r="E5" s="24" t="s">
        <v>2024</v>
      </c>
      <c r="F5" s="24" t="s">
        <v>2025</v>
      </c>
      <c r="G5" s="25" t="s">
        <v>2026</v>
      </c>
      <c r="H5" s="42" t="s">
        <v>2027</v>
      </c>
      <c r="I5" s="35" t="s">
        <v>2028</v>
      </c>
      <c r="J5" s="24" t="s">
        <v>2029</v>
      </c>
      <c r="K5" s="24" t="s">
        <v>2030</v>
      </c>
      <c r="L5" s="24" t="s">
        <v>2031</v>
      </c>
      <c r="M5" s="25" t="s">
        <v>2032</v>
      </c>
      <c r="N5" s="47" t="s">
        <v>2033</v>
      </c>
      <c r="O5" s="35" t="s">
        <v>2034</v>
      </c>
      <c r="P5" s="24" t="s">
        <v>2035</v>
      </c>
      <c r="Q5" s="24" t="s">
        <v>2036</v>
      </c>
      <c r="R5" s="24" t="s">
        <v>2037</v>
      </c>
      <c r="S5" s="25" t="s">
        <v>2038</v>
      </c>
      <c r="T5" s="52" t="s">
        <v>2039</v>
      </c>
      <c r="U5" s="35" t="s">
        <v>2040</v>
      </c>
      <c r="V5" s="24" t="s">
        <v>2041</v>
      </c>
      <c r="W5" s="25" t="s">
        <v>2042</v>
      </c>
      <c r="X5" s="57" t="s">
        <v>2043</v>
      </c>
      <c r="Y5" s="35" t="s">
        <v>2044</v>
      </c>
      <c r="Z5" s="24" t="s">
        <v>2045</v>
      </c>
      <c r="AA5" s="25" t="s">
        <v>2046</v>
      </c>
      <c r="AB5" s="62" t="s">
        <v>2047</v>
      </c>
      <c r="AC5" s="35" t="s">
        <v>2048</v>
      </c>
      <c r="AD5" s="25" t="s">
        <v>2049</v>
      </c>
    </row>
    <row r="6" spans="1:30" ht="18" customHeight="1" x14ac:dyDescent="0.3">
      <c r="A6" s="66" t="str">
        <f>ALL_METRICS!B6</f>
        <v>MDA-005-empirical-evidence.md</v>
      </c>
      <c r="B6" s="28" t="str">
        <f>ALL_METRICS!A6</f>
        <v>P-5115499be213</v>
      </c>
      <c r="C6" s="38">
        <f>ALL_METRICS!J6</f>
        <v>1251</v>
      </c>
      <c r="D6" s="26">
        <f>ALL_METRICS!L6</f>
        <v>0.37169999999999997</v>
      </c>
      <c r="E6" s="27">
        <f>ALL_METRICS!P6</f>
        <v>20.9</v>
      </c>
      <c r="F6" s="27">
        <f>ALL_METRICS!X6</f>
        <v>8.8000000000000007</v>
      </c>
      <c r="G6" s="28" t="str">
        <f>ALL_METRICS!AT6</f>
        <v>A — Evidence-Rich</v>
      </c>
      <c r="H6" s="43" t="str">
        <f>ALL_METRICS!AW6</f>
        <v>MODERATE</v>
      </c>
      <c r="I6" s="26" t="str">
        <f>ALL_METRICS!ED6</f>
        <v>D (Light)</v>
      </c>
      <c r="J6" s="27">
        <f>ALL_METRICS!CD6</f>
        <v>0</v>
      </c>
      <c r="K6" s="27">
        <f>ALL_METRICS!DC6</f>
        <v>43</v>
      </c>
      <c r="L6" s="27">
        <f>ALL_METRICS!DE6</f>
        <v>3.99</v>
      </c>
      <c r="M6" s="28">
        <f>ALL_METRICS!DJ6</f>
        <v>0</v>
      </c>
      <c r="N6" s="48">
        <f>ALL_METRICS!EB6</f>
        <v>14.14</v>
      </c>
      <c r="O6" s="26">
        <f>ALL_METRICS!EE6</f>
        <v>3.87</v>
      </c>
      <c r="P6" s="27" t="str">
        <f>ALL_METRICS!EF6</f>
        <v>WEAK</v>
      </c>
      <c r="Q6" s="27">
        <f>ALL_METRICS!EG6</f>
        <v>0</v>
      </c>
      <c r="R6" s="27">
        <f>ALL_METRICS!EH6</f>
        <v>4.07</v>
      </c>
      <c r="S6" s="28">
        <f>ALL_METRICS!EI6</f>
        <v>0</v>
      </c>
      <c r="T6" s="53" t="str">
        <f>ALL_METRICS!EL6</f>
        <v>peace</v>
      </c>
      <c r="U6" s="26">
        <f>ALL_METRICS!FN6</f>
        <v>0.6109</v>
      </c>
      <c r="V6" s="27">
        <f>ALL_METRICS!FO6</f>
        <v>0.77500000000000002</v>
      </c>
      <c r="W6" s="28">
        <f>ALL_METRICS!FY6</f>
        <v>0.30330000000000001</v>
      </c>
      <c r="X6" s="58" t="str">
        <f>ALL_METRICS!JD6</f>
        <v>disciplined; technically strong, spiritually ordered</v>
      </c>
      <c r="Y6" s="26">
        <f>ALL_METRICS!LI6</f>
        <v>0</v>
      </c>
      <c r="Z6" s="27">
        <f>ALL_METRICS!LJ6</f>
        <v>0</v>
      </c>
      <c r="AA6" s="28">
        <f>ALL_METRICS!LK6</f>
        <v>0</v>
      </c>
      <c r="AB6" s="63">
        <f>ALL_METRICS!LL6</f>
        <v>0</v>
      </c>
      <c r="AC6" s="26">
        <f>ALL_METRICS!LX6</f>
        <v>0.55279999999999996</v>
      </c>
      <c r="AD6" s="28" t="str">
        <f>ALL_METRICS!ME6</f>
        <v>VERY HIGH (dense academic)</v>
      </c>
    </row>
    <row r="7" spans="1:30" ht="18" customHeight="1" x14ac:dyDescent="0.3">
      <c r="A7" s="67" t="str">
        <f>ALL_METRICS!B7</f>
        <v>MDA-006-research-method.md</v>
      </c>
      <c r="B7" s="31" t="str">
        <f>ALL_METRICS!A7</f>
        <v>P-d67cbfce1ec4</v>
      </c>
      <c r="C7" s="39">
        <f>ALL_METRICS!J7</f>
        <v>1167</v>
      </c>
      <c r="D7" s="29">
        <f>ALL_METRICS!L7</f>
        <v>0.38390000000000002</v>
      </c>
      <c r="E7" s="30">
        <f>ALL_METRICS!P7</f>
        <v>14.4</v>
      </c>
      <c r="F7" s="30">
        <f>ALL_METRICS!X7</f>
        <v>7.2</v>
      </c>
      <c r="G7" s="31" t="str">
        <f>ALL_METRICS!AT7</f>
        <v>A — Evidence-Rich</v>
      </c>
      <c r="H7" s="44" t="str">
        <f>ALL_METRICS!AW7</f>
        <v>HIGH</v>
      </c>
      <c r="I7" s="29" t="str">
        <f>ALL_METRICS!ED7</f>
        <v>D (Light)</v>
      </c>
      <c r="J7" s="30">
        <f>ALL_METRICS!CD7</f>
        <v>0</v>
      </c>
      <c r="K7" s="30">
        <f>ALL_METRICS!DC7</f>
        <v>15</v>
      </c>
      <c r="L7" s="30">
        <f>ALL_METRICS!DE7</f>
        <v>0.86</v>
      </c>
      <c r="M7" s="31">
        <f>ALL_METRICS!DJ7</f>
        <v>0.17</v>
      </c>
      <c r="N7" s="49">
        <f>ALL_METRICS!EB7</f>
        <v>10.14</v>
      </c>
      <c r="O7" s="29">
        <f>ALL_METRICS!EE7</f>
        <v>2.35</v>
      </c>
      <c r="P7" s="30" t="str">
        <f>ALL_METRICS!EF7</f>
        <v>WEAK</v>
      </c>
      <c r="Q7" s="30">
        <f>ALL_METRICS!EG7</f>
        <v>0.26</v>
      </c>
      <c r="R7" s="30">
        <f>ALL_METRICS!EH7</f>
        <v>2.14</v>
      </c>
      <c r="S7" s="31">
        <f>ALL_METRICS!EI7</f>
        <v>0.12</v>
      </c>
      <c r="T7" s="54" t="str">
        <f>ALL_METRICS!EL7</f>
        <v>self_control</v>
      </c>
      <c r="U7" s="29">
        <f>ALL_METRICS!FN7</f>
        <v>0.54949999999999999</v>
      </c>
      <c r="V7" s="30">
        <f>ALL_METRICS!FO7</f>
        <v>0.77500000000000002</v>
      </c>
      <c r="W7" s="31">
        <f>ALL_METRICS!FY7</f>
        <v>0.27389999999999998</v>
      </c>
      <c r="X7" s="59" t="str">
        <f>ALL_METRICS!JD7</f>
        <v>mixed spiritual posture</v>
      </c>
      <c r="Y7" s="29">
        <f>ALL_METRICS!LI7</f>
        <v>0</v>
      </c>
      <c r="Z7" s="30">
        <f>ALL_METRICS!LJ7</f>
        <v>0</v>
      </c>
      <c r="AA7" s="31">
        <f>ALL_METRICS!LK7</f>
        <v>0</v>
      </c>
      <c r="AB7" s="64">
        <f>ALL_METRICS!LL7</f>
        <v>0</v>
      </c>
      <c r="AC7" s="29">
        <f>ALL_METRICS!LX7</f>
        <v>0.49419999999999997</v>
      </c>
      <c r="AD7" s="31" t="str">
        <f>ALL_METRICS!ME7</f>
        <v>HIGH (academic)</v>
      </c>
    </row>
    <row r="8" spans="1:30" ht="18" customHeight="1" x14ac:dyDescent="0.3">
      <c r="A8" s="66" t="str">
        <f>ALL_METRICS!B8</f>
        <v>MDA-007-nine-domains.md</v>
      </c>
      <c r="B8" s="28" t="str">
        <f>ALL_METRICS!A8</f>
        <v>P-c38c656b2b9b</v>
      </c>
      <c r="C8" s="38">
        <f>ALL_METRICS!J8</f>
        <v>1077</v>
      </c>
      <c r="D8" s="26">
        <f>ALL_METRICS!L8</f>
        <v>0.45219999999999999</v>
      </c>
      <c r="E8" s="27">
        <f>ALL_METRICS!P8</f>
        <v>16.8</v>
      </c>
      <c r="F8" s="27">
        <f>ALL_METRICS!X8</f>
        <v>5.4</v>
      </c>
      <c r="G8" s="28" t="str">
        <f>ALL_METRICS!AT8</f>
        <v>A — Evidence-Rich</v>
      </c>
      <c r="H8" s="43" t="str">
        <f>ALL_METRICS!AW8</f>
        <v>MODERATE</v>
      </c>
      <c r="I8" s="26" t="str">
        <f>ALL_METRICS!ED8</f>
        <v>F (Needs Citations)</v>
      </c>
      <c r="J8" s="27">
        <f>ALL_METRICS!CD8</f>
        <v>0</v>
      </c>
      <c r="K8" s="27">
        <f>ALL_METRICS!DC8</f>
        <v>3</v>
      </c>
      <c r="L8" s="27">
        <f>ALL_METRICS!DE8</f>
        <v>0.93</v>
      </c>
      <c r="M8" s="28">
        <f>ALL_METRICS!DJ8</f>
        <v>0</v>
      </c>
      <c r="N8" s="48">
        <f>ALL_METRICS!EB8</f>
        <v>8.8800000000000008</v>
      </c>
      <c r="O8" s="26">
        <f>ALL_METRICS!EE8</f>
        <v>6.82</v>
      </c>
      <c r="P8" s="27" t="str">
        <f>ALL_METRICS!EF8</f>
        <v>STRONG</v>
      </c>
      <c r="Q8" s="27">
        <f>ALL_METRICS!EG8</f>
        <v>0.19</v>
      </c>
      <c r="R8" s="27">
        <f>ALL_METRICS!EH8</f>
        <v>1.86</v>
      </c>
      <c r="S8" s="28">
        <f>ALL_METRICS!EI8</f>
        <v>0.1</v>
      </c>
      <c r="T8" s="53" t="str">
        <f>ALL_METRICS!EL8</f>
        <v>self_control</v>
      </c>
      <c r="U8" s="26">
        <f>ALL_METRICS!FN8</f>
        <v>0.54220000000000002</v>
      </c>
      <c r="V8" s="27">
        <f>ALL_METRICS!FO8</f>
        <v>0.77500000000000002</v>
      </c>
      <c r="W8" s="28">
        <f>ALL_METRICS!FY8</f>
        <v>0.2787</v>
      </c>
      <c r="X8" s="58" t="str">
        <f>ALL_METRICS!JD8</f>
        <v>agitated or reactionary; disciplined</v>
      </c>
      <c r="Y8" s="26">
        <f>ALL_METRICS!LI8</f>
        <v>0</v>
      </c>
      <c r="Z8" s="27">
        <f>ALL_METRICS!LJ8</f>
        <v>0</v>
      </c>
      <c r="AA8" s="28">
        <f>ALL_METRICS!LK8</f>
        <v>0</v>
      </c>
      <c r="AB8" s="63">
        <f>ALL_METRICS!LL8</f>
        <v>0</v>
      </c>
      <c r="AC8" s="26">
        <f>ALL_METRICS!LX8</f>
        <v>0.60289999999999999</v>
      </c>
      <c r="AD8" s="28" t="str">
        <f>ALL_METRICS!ME8</f>
        <v>VERY HIGH (dense academic)</v>
      </c>
    </row>
    <row r="9" spans="1:30" ht="18" customHeight="1" x14ac:dyDescent="0.3">
      <c r="A9" s="67" t="str">
        <f>ALL_METRICS!B9</f>
        <v>MDA-008-henry-1926.md</v>
      </c>
      <c r="B9" s="31" t="str">
        <f>ALL_METRICS!A9</f>
        <v>P-5eaaaea5ccd2</v>
      </c>
      <c r="C9" s="39">
        <f>ALL_METRICS!J9</f>
        <v>3803</v>
      </c>
      <c r="D9" s="29">
        <f>ALL_METRICS!L9</f>
        <v>0.30159999999999998</v>
      </c>
      <c r="E9" s="30">
        <f>ALL_METRICS!P9</f>
        <v>12</v>
      </c>
      <c r="F9" s="30">
        <f>ALL_METRICS!X9</f>
        <v>3.1</v>
      </c>
      <c r="G9" s="31" t="str">
        <f>ALL_METRICS!AT9</f>
        <v>A — Evidence-Rich</v>
      </c>
      <c r="H9" s="44" t="str">
        <f>ALL_METRICS!AW9</f>
        <v>MODERATE</v>
      </c>
      <c r="I9" s="29" t="str">
        <f>ALL_METRICS!ED9</f>
        <v>F (Needs Citations)</v>
      </c>
      <c r="J9" s="30">
        <f>ALL_METRICS!CD9</f>
        <v>0</v>
      </c>
      <c r="K9" s="30">
        <f>ALL_METRICS!DC9</f>
        <v>3</v>
      </c>
      <c r="L9" s="30">
        <f>ALL_METRICS!DE9</f>
        <v>0</v>
      </c>
      <c r="M9" s="31">
        <f>ALL_METRICS!DJ9</f>
        <v>0.67</v>
      </c>
      <c r="N9" s="49">
        <f>ALL_METRICS!EB9</f>
        <v>9.3800000000000008</v>
      </c>
      <c r="O9" s="29">
        <f>ALL_METRICS!EE9</f>
        <v>1.66</v>
      </c>
      <c r="P9" s="30" t="str">
        <f>ALL_METRICS!EF9</f>
        <v>WEAK</v>
      </c>
      <c r="Q9" s="30">
        <f>ALL_METRICS!EG9</f>
        <v>0.26</v>
      </c>
      <c r="R9" s="30">
        <f>ALL_METRICS!EH9</f>
        <v>0.32</v>
      </c>
      <c r="S9" s="31">
        <f>ALL_METRICS!EI9</f>
        <v>0.83299999999999996</v>
      </c>
      <c r="T9" s="54" t="str">
        <f>ALL_METRICS!EL9</f>
        <v>goodness</v>
      </c>
      <c r="U9" s="29">
        <f>ALL_METRICS!FN9</f>
        <v>0.51949999999999996</v>
      </c>
      <c r="V9" s="30">
        <f>ALL_METRICS!FO9</f>
        <v>0.77500000000000002</v>
      </c>
      <c r="W9" s="31">
        <f>ALL_METRICS!FY9</f>
        <v>0.30659999999999998</v>
      </c>
      <c r="X9" s="59" t="str">
        <f>ALL_METRICS!JD9</f>
        <v>technically strong, spiritually ordered</v>
      </c>
      <c r="Y9" s="29">
        <f>ALL_METRICS!LI9</f>
        <v>0</v>
      </c>
      <c r="Z9" s="30">
        <f>ALL_METRICS!LJ9</f>
        <v>0</v>
      </c>
      <c r="AA9" s="31">
        <f>ALL_METRICS!LK9</f>
        <v>0</v>
      </c>
      <c r="AB9" s="64">
        <f>ALL_METRICS!LL9</f>
        <v>0</v>
      </c>
      <c r="AC9" s="29">
        <f>ALL_METRICS!LX9</f>
        <v>0.42130000000000001</v>
      </c>
      <c r="AD9" s="31" t="str">
        <f>ALL_METRICS!ME9</f>
        <v>MODERATE (accessible)</v>
      </c>
    </row>
    <row r="10" spans="1:30" ht="18" customHeight="1" x14ac:dyDescent="0.3">
      <c r="A10" s="66" t="str">
        <f>ALL_METRICS!B10</f>
        <v>MDA-009-the-1900-baseline.md</v>
      </c>
      <c r="B10" s="28" t="str">
        <f>ALL_METRICS!A10</f>
        <v>P-6174b3e6eed2</v>
      </c>
      <c r="C10" s="38">
        <f>ALL_METRICS!J10</f>
        <v>1327</v>
      </c>
      <c r="D10" s="26">
        <f>ALL_METRICS!L10</f>
        <v>0.44390000000000002</v>
      </c>
      <c r="E10" s="27">
        <f>ALL_METRICS!P10</f>
        <v>12.5</v>
      </c>
      <c r="F10" s="27">
        <f>ALL_METRICS!X10</f>
        <v>5.2</v>
      </c>
      <c r="G10" s="28" t="str">
        <f>ALL_METRICS!AT10</f>
        <v>A — Evidence-Rich</v>
      </c>
      <c r="H10" s="43" t="str">
        <f>ALL_METRICS!AW10</f>
        <v>MODERATE</v>
      </c>
      <c r="I10" s="26" t="str">
        <f>ALL_METRICS!ED10</f>
        <v>F (Needs Citations)</v>
      </c>
      <c r="J10" s="27">
        <f>ALL_METRICS!CD10</f>
        <v>0</v>
      </c>
      <c r="K10" s="27">
        <f>ALL_METRICS!DC10</f>
        <v>5</v>
      </c>
      <c r="L10" s="27">
        <f>ALL_METRICS!DE10</f>
        <v>0</v>
      </c>
      <c r="M10" s="28">
        <f>ALL_METRICS!DJ10</f>
        <v>0.33</v>
      </c>
      <c r="N10" s="48">
        <f>ALL_METRICS!EB10</f>
        <v>8.6</v>
      </c>
      <c r="O10" s="26">
        <f>ALL_METRICS!EE10</f>
        <v>4.22</v>
      </c>
      <c r="P10" s="27" t="str">
        <f>ALL_METRICS!EF10</f>
        <v>MODERATE</v>
      </c>
      <c r="Q10" s="27">
        <f>ALL_METRICS!EG10</f>
        <v>0.15</v>
      </c>
      <c r="R10" s="27">
        <f>ALL_METRICS!EH10</f>
        <v>1.43</v>
      </c>
      <c r="S10" s="28">
        <f>ALL_METRICS!EI10</f>
        <v>0.105</v>
      </c>
      <c r="T10" s="53" t="str">
        <f>ALL_METRICS!EL10</f>
        <v>self_control</v>
      </c>
      <c r="U10" s="26">
        <f>ALL_METRICS!FN10</f>
        <v>0.4662</v>
      </c>
      <c r="V10" s="27">
        <f>ALL_METRICS!FO10</f>
        <v>0.77500000000000002</v>
      </c>
      <c r="W10" s="28">
        <f>ALL_METRICS!FY10</f>
        <v>0.29449999999999998</v>
      </c>
      <c r="X10" s="58" t="str">
        <f>ALL_METRICS!JD10</f>
        <v>disciplined</v>
      </c>
      <c r="Y10" s="26">
        <f>ALL_METRICS!LI10</f>
        <v>0</v>
      </c>
      <c r="Z10" s="27">
        <f>ALL_METRICS!LJ10</f>
        <v>0</v>
      </c>
      <c r="AA10" s="28">
        <f>ALL_METRICS!LK10</f>
        <v>0</v>
      </c>
      <c r="AB10" s="63">
        <f>ALL_METRICS!LL10</f>
        <v>0</v>
      </c>
      <c r="AC10" s="26">
        <f>ALL_METRICS!LX10</f>
        <v>0.55869999999999997</v>
      </c>
      <c r="AD10" s="28" t="str">
        <f>ALL_METRICS!ME10</f>
        <v>VERY HIGH (dense academic)</v>
      </c>
    </row>
    <row r="11" spans="1:30" ht="18" customHeight="1" x14ac:dyDescent="0.3">
      <c r="A11" s="67" t="str">
        <f>ALL_METRICS!B11</f>
        <v>MDA-010-pre-modern-baseline.md</v>
      </c>
      <c r="B11" s="31" t="str">
        <f>ALL_METRICS!A11</f>
        <v>P-b16210a6fece</v>
      </c>
      <c r="C11" s="39">
        <f>ALL_METRICS!J11</f>
        <v>3453</v>
      </c>
      <c r="D11" s="29">
        <f>ALL_METRICS!L11</f>
        <v>0.37469999999999998</v>
      </c>
      <c r="E11" s="30">
        <f>ALL_METRICS!P11</f>
        <v>22.1</v>
      </c>
      <c r="F11" s="30">
        <f>ALL_METRICS!X11</f>
        <v>8.8000000000000007</v>
      </c>
      <c r="G11" s="31" t="str">
        <f>ALL_METRICS!AT11</f>
        <v>A — Evidence-Rich</v>
      </c>
      <c r="H11" s="44" t="str">
        <f>ALL_METRICS!AW11</f>
        <v>HIGH</v>
      </c>
      <c r="I11" s="29" t="str">
        <f>ALL_METRICS!ED11</f>
        <v>D (Light)</v>
      </c>
      <c r="J11" s="30">
        <f>ALL_METRICS!CD11</f>
        <v>0</v>
      </c>
      <c r="K11" s="30">
        <f>ALL_METRICS!DC11</f>
        <v>5</v>
      </c>
      <c r="L11" s="30">
        <f>ALL_METRICS!DE11</f>
        <v>0</v>
      </c>
      <c r="M11" s="31">
        <f>ALL_METRICS!DJ11</f>
        <v>1</v>
      </c>
      <c r="N11" s="49">
        <f>ALL_METRICS!EB11</f>
        <v>10.93</v>
      </c>
      <c r="O11" s="29">
        <f>ALL_METRICS!EE11</f>
        <v>3.45</v>
      </c>
      <c r="P11" s="30" t="str">
        <f>ALL_METRICS!EF11</f>
        <v>WEAK</v>
      </c>
      <c r="Q11" s="30">
        <f>ALL_METRICS!EG11</f>
        <v>0.09</v>
      </c>
      <c r="R11" s="30">
        <f>ALL_METRICS!EH11</f>
        <v>0.75</v>
      </c>
      <c r="S11" s="31">
        <f>ALL_METRICS!EI11</f>
        <v>0.115</v>
      </c>
      <c r="T11" s="54" t="str">
        <f>ALL_METRICS!EL11</f>
        <v>peace</v>
      </c>
      <c r="U11" s="29">
        <f>ALL_METRICS!FN11</f>
        <v>0.57730000000000004</v>
      </c>
      <c r="V11" s="30">
        <f>ALL_METRICS!FO11</f>
        <v>0.77500000000000002</v>
      </c>
      <c r="W11" s="31">
        <f>ALL_METRICS!FY11</f>
        <v>0.27339999999999998</v>
      </c>
      <c r="X11" s="59" t="str">
        <f>ALL_METRICS!JD11</f>
        <v>mixed spiritual posture</v>
      </c>
      <c r="Y11" s="29">
        <f>ALL_METRICS!LI11</f>
        <v>0</v>
      </c>
      <c r="Z11" s="30">
        <f>ALL_METRICS!LJ11</f>
        <v>0</v>
      </c>
      <c r="AA11" s="31">
        <f>ALL_METRICS!LK11</f>
        <v>0</v>
      </c>
      <c r="AB11" s="64">
        <f>ALL_METRICS!LL11</f>
        <v>0</v>
      </c>
      <c r="AC11" s="29">
        <f>ALL_METRICS!LX11</f>
        <v>0.58030000000000004</v>
      </c>
      <c r="AD11" s="31" t="str">
        <f>ALL_METRICS!ME11</f>
        <v>VERY HIGH (dense academic)</v>
      </c>
    </row>
    <row r="12" spans="1:30" ht="18" customHeight="1" x14ac:dyDescent="0.3">
      <c r="A12" s="66" t="str">
        <f>ALL_METRICS!B12</f>
        <v>MDA-011-collective-security-1930.md</v>
      </c>
      <c r="B12" s="28" t="str">
        <f>ALL_METRICS!A12</f>
        <v>P-5714a123d5b0</v>
      </c>
      <c r="C12" s="38">
        <f>ALL_METRICS!J12</f>
        <v>1732</v>
      </c>
      <c r="D12" s="26">
        <f>ALL_METRICS!L12</f>
        <v>0.41739999999999999</v>
      </c>
      <c r="E12" s="27">
        <f>ALL_METRICS!P12</f>
        <v>26.6</v>
      </c>
      <c r="F12" s="27">
        <f>ALL_METRICS!X12</f>
        <v>2.8</v>
      </c>
      <c r="G12" s="28" t="str">
        <f>ALL_METRICS!AT12</f>
        <v>A — Evidence-Rich</v>
      </c>
      <c r="H12" s="43" t="str">
        <f>ALL_METRICS!AW12</f>
        <v>HIGH</v>
      </c>
      <c r="I12" s="26" t="str">
        <f>ALL_METRICS!ED12</f>
        <v>C (Moderate)</v>
      </c>
      <c r="J12" s="27">
        <f>ALL_METRICS!CD12</f>
        <v>20</v>
      </c>
      <c r="K12" s="27">
        <f>ALL_METRICS!DC12</f>
        <v>32</v>
      </c>
      <c r="L12" s="27">
        <f>ALL_METRICS!DE12</f>
        <v>0</v>
      </c>
      <c r="M12" s="28">
        <f>ALL_METRICS!DJ12</f>
        <v>3</v>
      </c>
      <c r="N12" s="48">
        <f>ALL_METRICS!EB12</f>
        <v>14.14</v>
      </c>
      <c r="O12" s="26">
        <f>ALL_METRICS!EE12</f>
        <v>1.7</v>
      </c>
      <c r="P12" s="27" t="str">
        <f>ALL_METRICS!EF12</f>
        <v>WEAK</v>
      </c>
      <c r="Q12" s="27">
        <f>ALL_METRICS!EG12</f>
        <v>0.28999999999999998</v>
      </c>
      <c r="R12" s="27">
        <f>ALL_METRICS!EH12</f>
        <v>1.21</v>
      </c>
      <c r="S12" s="28">
        <f>ALL_METRICS!EI12</f>
        <v>0.23799999999999999</v>
      </c>
      <c r="T12" s="53" t="str">
        <f>ALL_METRICS!EL12</f>
        <v>goodness</v>
      </c>
      <c r="U12" s="26">
        <f>ALL_METRICS!FN12</f>
        <v>0.60019999999999996</v>
      </c>
      <c r="V12" s="27">
        <f>ALL_METRICS!FO12</f>
        <v>0.77500000000000002</v>
      </c>
      <c r="W12" s="28">
        <f>ALL_METRICS!FY12</f>
        <v>0.30120000000000002</v>
      </c>
      <c r="X12" s="58" t="str">
        <f>ALL_METRICS!JD12</f>
        <v>disciplined; technically strong, spiritually ordered</v>
      </c>
      <c r="Y12" s="26">
        <f>ALL_METRICS!LI12</f>
        <v>0</v>
      </c>
      <c r="Z12" s="27">
        <f>ALL_METRICS!LJ12</f>
        <v>0</v>
      </c>
      <c r="AA12" s="28">
        <f>ALL_METRICS!LK12</f>
        <v>0</v>
      </c>
      <c r="AB12" s="63">
        <f>ALL_METRICS!LL12</f>
        <v>0</v>
      </c>
      <c r="AC12" s="26">
        <f>ALL_METRICS!LX12</f>
        <v>0.51529999999999998</v>
      </c>
      <c r="AD12" s="28" t="str">
        <f>ALL_METRICS!ME12</f>
        <v>HIGH (academic)</v>
      </c>
    </row>
    <row r="13" spans="1:30" ht="18" customHeight="1" x14ac:dyDescent="0.3">
      <c r="A13" s="67" t="str">
        <f>ALL_METRICS!B13</f>
        <v>MDA-012-william-1950.md</v>
      </c>
      <c r="B13" s="31" t="str">
        <f>ALL_METRICS!A13</f>
        <v>P-45de3640a23d</v>
      </c>
      <c r="C13" s="39">
        <f>ALL_METRICS!J13</f>
        <v>3812</v>
      </c>
      <c r="D13" s="29">
        <f>ALL_METRICS!L13</f>
        <v>0.31480000000000002</v>
      </c>
      <c r="E13" s="30">
        <f>ALL_METRICS!P13</f>
        <v>11.8</v>
      </c>
      <c r="F13" s="30">
        <f>ALL_METRICS!X13</f>
        <v>3.3</v>
      </c>
      <c r="G13" s="31" t="str">
        <f>ALL_METRICS!AT13</f>
        <v>A — Evidence-Rich</v>
      </c>
      <c r="H13" s="44" t="str">
        <f>ALL_METRICS!AW13</f>
        <v>MODERATE</v>
      </c>
      <c r="I13" s="29" t="str">
        <f>ALL_METRICS!ED13</f>
        <v>F (Needs Citations)</v>
      </c>
      <c r="J13" s="30">
        <f>ALL_METRICS!CD13</f>
        <v>0</v>
      </c>
      <c r="K13" s="30">
        <f>ALL_METRICS!DC13</f>
        <v>5</v>
      </c>
      <c r="L13" s="30">
        <f>ALL_METRICS!DE13</f>
        <v>0</v>
      </c>
      <c r="M13" s="31">
        <f>ALL_METRICS!DJ13</f>
        <v>0.38</v>
      </c>
      <c r="N13" s="49">
        <f>ALL_METRICS!EB13</f>
        <v>9.93</v>
      </c>
      <c r="O13" s="29">
        <f>ALL_METRICS!EE13</f>
        <v>0.93</v>
      </c>
      <c r="P13" s="30" t="str">
        <f>ALL_METRICS!EF13</f>
        <v>WEAK</v>
      </c>
      <c r="Q13" s="30">
        <f>ALL_METRICS!EG13</f>
        <v>0.16</v>
      </c>
      <c r="R13" s="30">
        <f>ALL_METRICS!EH13</f>
        <v>0.34</v>
      </c>
      <c r="S13" s="31">
        <f>ALL_METRICS!EI13</f>
        <v>0.46200000000000002</v>
      </c>
      <c r="T13" s="54" t="str">
        <f>ALL_METRICS!EL13</f>
        <v>goodness</v>
      </c>
      <c r="U13" s="29">
        <f>ALL_METRICS!FN13</f>
        <v>0.53290000000000004</v>
      </c>
      <c r="V13" s="30">
        <f>ALL_METRICS!FO13</f>
        <v>0.77500000000000002</v>
      </c>
      <c r="W13" s="31">
        <f>ALL_METRICS!FY13</f>
        <v>0.32600000000000001</v>
      </c>
      <c r="X13" s="59" t="str">
        <f>ALL_METRICS!JD13</f>
        <v>technically strong, spiritually ordered</v>
      </c>
      <c r="Y13" s="29">
        <f>ALL_METRICS!LI13</f>
        <v>0</v>
      </c>
      <c r="Z13" s="30">
        <f>ALL_METRICS!LJ13</f>
        <v>0</v>
      </c>
      <c r="AA13" s="31">
        <f>ALL_METRICS!LK13</f>
        <v>0</v>
      </c>
      <c r="AB13" s="64">
        <f>ALL_METRICS!LL13</f>
        <v>0</v>
      </c>
      <c r="AC13" s="29">
        <f>ALL_METRICS!LX13</f>
        <v>0.44590000000000002</v>
      </c>
      <c r="AD13" s="31" t="str">
        <f>ALL_METRICS!ME13</f>
        <v>MODERATE (accessible)</v>
      </c>
    </row>
    <row r="14" spans="1:30" ht="18" customHeight="1" x14ac:dyDescent="0.3">
      <c r="A14" s="66" t="str">
        <f>ALL_METRICS!B14</f>
        <v>MDA-013-peak-coherence-1940.md</v>
      </c>
      <c r="B14" s="28" t="str">
        <f>ALL_METRICS!A14</f>
        <v>P-b1721534cce8</v>
      </c>
      <c r="C14" s="38">
        <f>ALL_METRICS!J14</f>
        <v>2144</v>
      </c>
      <c r="D14" s="26">
        <f>ALL_METRICS!L14</f>
        <v>0.41510000000000002</v>
      </c>
      <c r="E14" s="27">
        <f>ALL_METRICS!P14</f>
        <v>16.600000000000001</v>
      </c>
      <c r="F14" s="27">
        <f>ALL_METRICS!X14</f>
        <v>5.5</v>
      </c>
      <c r="G14" s="28" t="str">
        <f>ALL_METRICS!AT14</f>
        <v>A — Evidence-Rich</v>
      </c>
      <c r="H14" s="43" t="str">
        <f>ALL_METRICS!AW14</f>
        <v>MODERATE</v>
      </c>
      <c r="I14" s="26" t="str">
        <f>ALL_METRICS!ED14</f>
        <v>D (Light)</v>
      </c>
      <c r="J14" s="27">
        <f>ALL_METRICS!CD14</f>
        <v>0</v>
      </c>
      <c r="K14" s="27">
        <f>ALL_METRICS!DC14</f>
        <v>14</v>
      </c>
      <c r="L14" s="27">
        <f>ALL_METRICS!DE14</f>
        <v>0</v>
      </c>
      <c r="M14" s="28">
        <f>ALL_METRICS!DJ14</f>
        <v>0.8</v>
      </c>
      <c r="N14" s="48">
        <f>ALL_METRICS!EB14</f>
        <v>9.81</v>
      </c>
      <c r="O14" s="26">
        <f>ALL_METRICS!EE14</f>
        <v>4.59</v>
      </c>
      <c r="P14" s="27" t="str">
        <f>ALL_METRICS!EF14</f>
        <v>MODERATE</v>
      </c>
      <c r="Q14" s="27">
        <f>ALL_METRICS!EG14</f>
        <v>0.23</v>
      </c>
      <c r="R14" s="27">
        <f>ALL_METRICS!EH14</f>
        <v>1.59</v>
      </c>
      <c r="S14" s="28">
        <f>ALL_METRICS!EI14</f>
        <v>0.14699999999999999</v>
      </c>
      <c r="T14" s="53" t="str">
        <f>ALL_METRICS!EL14</f>
        <v>peace</v>
      </c>
      <c r="U14" s="26">
        <f>ALL_METRICS!FN14</f>
        <v>0.55789999999999995</v>
      </c>
      <c r="V14" s="27">
        <f>ALL_METRICS!FO14</f>
        <v>0.77500000000000002</v>
      </c>
      <c r="W14" s="28">
        <f>ALL_METRICS!FY14</f>
        <v>0.26350000000000001</v>
      </c>
      <c r="X14" s="58" t="str">
        <f>ALL_METRICS!JD14</f>
        <v>mixed spiritual posture</v>
      </c>
      <c r="Y14" s="26">
        <f>ALL_METRICS!LI14</f>
        <v>0</v>
      </c>
      <c r="Z14" s="27">
        <f>ALL_METRICS!LJ14</f>
        <v>0</v>
      </c>
      <c r="AA14" s="28">
        <f>ALL_METRICS!LK14</f>
        <v>0</v>
      </c>
      <c r="AB14" s="63">
        <f>ALL_METRICS!LL14</f>
        <v>0</v>
      </c>
      <c r="AC14" s="26">
        <f>ALL_METRICS!LX14</f>
        <v>0.50600000000000001</v>
      </c>
      <c r="AD14" s="28" t="str">
        <f>ALL_METRICS!ME14</f>
        <v>HIGH (academic)</v>
      </c>
    </row>
    <row r="15" spans="1:30" ht="18" customHeight="1" x14ac:dyDescent="0.3">
      <c r="A15" s="67" t="str">
        <f>ALL_METRICS!B15</f>
        <v>MDA-014-fissure-1950.md</v>
      </c>
      <c r="B15" s="31" t="str">
        <f>ALL_METRICS!A15</f>
        <v>P-10c538ca5abc</v>
      </c>
      <c r="C15" s="39">
        <f>ALL_METRICS!J15</f>
        <v>1887</v>
      </c>
      <c r="D15" s="29">
        <f>ALL_METRICS!L15</f>
        <v>0.37309999999999999</v>
      </c>
      <c r="E15" s="30">
        <f>ALL_METRICS!P15</f>
        <v>18.5</v>
      </c>
      <c r="F15" s="30">
        <f>ALL_METRICS!X15</f>
        <v>4.9000000000000004</v>
      </c>
      <c r="G15" s="31" t="str">
        <f>ALL_METRICS!AT15</f>
        <v>A — Evidence-Rich</v>
      </c>
      <c r="H15" s="44" t="str">
        <f>ALL_METRICS!AW15</f>
        <v>MODERATE</v>
      </c>
      <c r="I15" s="29" t="str">
        <f>ALL_METRICS!ED15</f>
        <v>D (Light)</v>
      </c>
      <c r="J15" s="30">
        <f>ALL_METRICS!CD15</f>
        <v>0</v>
      </c>
      <c r="K15" s="30">
        <f>ALL_METRICS!DC15</f>
        <v>10</v>
      </c>
      <c r="L15" s="30">
        <f>ALL_METRICS!DE15</f>
        <v>0</v>
      </c>
      <c r="M15" s="31">
        <f>ALL_METRICS!DJ15</f>
        <v>0.28999999999999998</v>
      </c>
      <c r="N15" s="49">
        <f>ALL_METRICS!EB15</f>
        <v>8.43</v>
      </c>
      <c r="O15" s="29">
        <f>ALL_METRICS!EE15</f>
        <v>2.91</v>
      </c>
      <c r="P15" s="30" t="str">
        <f>ALL_METRICS!EF15</f>
        <v>WEAK</v>
      </c>
      <c r="Q15" s="30">
        <f>ALL_METRICS!EG15</f>
        <v>0</v>
      </c>
      <c r="R15" s="30">
        <f>ALL_METRICS!EH15</f>
        <v>1.48</v>
      </c>
      <c r="S15" s="31">
        <f>ALL_METRICS!EI15</f>
        <v>0</v>
      </c>
      <c r="T15" s="54" t="str">
        <f>ALL_METRICS!EL15</f>
        <v>peace</v>
      </c>
      <c r="U15" s="29">
        <f>ALL_METRICS!FN15</f>
        <v>0.57389999999999997</v>
      </c>
      <c r="V15" s="30">
        <f>ALL_METRICS!FO15</f>
        <v>0.77500000000000002</v>
      </c>
      <c r="W15" s="31">
        <f>ALL_METRICS!FY15</f>
        <v>0.28870000000000001</v>
      </c>
      <c r="X15" s="59" t="str">
        <f>ALL_METRICS!JD15</f>
        <v>mixed spiritual posture</v>
      </c>
      <c r="Y15" s="29">
        <f>ALL_METRICS!LI15</f>
        <v>0</v>
      </c>
      <c r="Z15" s="30">
        <f>ALL_METRICS!LJ15</f>
        <v>0</v>
      </c>
      <c r="AA15" s="31">
        <f>ALL_METRICS!LK15</f>
        <v>0</v>
      </c>
      <c r="AB15" s="64">
        <f>ALL_METRICS!LL15</f>
        <v>0</v>
      </c>
      <c r="AC15" s="29">
        <f>ALL_METRICS!LX15</f>
        <v>0.46700000000000003</v>
      </c>
      <c r="AD15" s="31" t="str">
        <f>ALL_METRICS!ME15</f>
        <v>HIGH (academic)</v>
      </c>
    </row>
    <row r="16" spans="1:30" ht="18" customHeight="1" x14ac:dyDescent="0.3">
      <c r="A16" s="66" t="str">
        <f>ALL_METRICS!B16</f>
        <v>MDA-015-long-decline.md</v>
      </c>
      <c r="B16" s="28" t="str">
        <f>ALL_METRICS!A16</f>
        <v>P-ac8790ade693</v>
      </c>
      <c r="C16" s="38">
        <f>ALL_METRICS!J16</f>
        <v>983</v>
      </c>
      <c r="D16" s="26">
        <f>ALL_METRICS!L16</f>
        <v>0.53200000000000003</v>
      </c>
      <c r="E16" s="27">
        <f>ALL_METRICS!P16</f>
        <v>13.3</v>
      </c>
      <c r="F16" s="27">
        <f>ALL_METRICS!X16</f>
        <v>2.4</v>
      </c>
      <c r="G16" s="28" t="str">
        <f>ALL_METRICS!AT16</f>
        <v>A — Evidence-Rich</v>
      </c>
      <c r="H16" s="43" t="str">
        <f>ALL_METRICS!AW16</f>
        <v>MODERATE</v>
      </c>
      <c r="I16" s="26" t="str">
        <f>ALL_METRICS!ED16</f>
        <v>F (Needs Citations)</v>
      </c>
      <c r="J16" s="27">
        <f>ALL_METRICS!CD16</f>
        <v>0</v>
      </c>
      <c r="K16" s="27">
        <f>ALL_METRICS!DC16</f>
        <v>5</v>
      </c>
      <c r="L16" s="27">
        <f>ALL_METRICS!DE16</f>
        <v>0</v>
      </c>
      <c r="M16" s="28">
        <f>ALL_METRICS!DJ16</f>
        <v>4</v>
      </c>
      <c r="N16" s="48">
        <f>ALL_METRICS!EB16</f>
        <v>7.88</v>
      </c>
      <c r="O16" s="26">
        <f>ALL_METRICS!EE16</f>
        <v>8.0299999999999994</v>
      </c>
      <c r="P16" s="27" t="str">
        <f>ALL_METRICS!EF16</f>
        <v>HIGH</v>
      </c>
      <c r="Q16" s="27">
        <f>ALL_METRICS!EG16</f>
        <v>0.1</v>
      </c>
      <c r="R16" s="27">
        <f>ALL_METRICS!EH16</f>
        <v>1.83</v>
      </c>
      <c r="S16" s="28">
        <f>ALL_METRICS!EI16</f>
        <v>5.6000000000000001E-2</v>
      </c>
      <c r="T16" s="53" t="str">
        <f>ALL_METRICS!EL16</f>
        <v>love</v>
      </c>
      <c r="U16" s="26">
        <f>ALL_METRICS!FN16</f>
        <v>0.48309999999999997</v>
      </c>
      <c r="V16" s="27">
        <f>ALL_METRICS!FO16</f>
        <v>0.77500000000000002</v>
      </c>
      <c r="W16" s="28">
        <f>ALL_METRICS!FY16</f>
        <v>0.27989999999999998</v>
      </c>
      <c r="X16" s="58" t="str">
        <f>ALL_METRICS!JD16</f>
        <v>mixed spiritual posture</v>
      </c>
      <c r="Y16" s="26">
        <f>ALL_METRICS!LI16</f>
        <v>0</v>
      </c>
      <c r="Z16" s="27">
        <f>ALL_METRICS!LJ16</f>
        <v>0</v>
      </c>
      <c r="AA16" s="28">
        <f>ALL_METRICS!LK16</f>
        <v>0</v>
      </c>
      <c r="AB16" s="63">
        <f>ALL_METRICS!LL16</f>
        <v>0</v>
      </c>
      <c r="AC16" s="26">
        <f>ALL_METRICS!LX16</f>
        <v>0.61040000000000005</v>
      </c>
      <c r="AD16" s="28" t="str">
        <f>ALL_METRICS!ME16</f>
        <v>VERY HIGH (dense academic)</v>
      </c>
    </row>
    <row r="17" spans="1:30" ht="18" customHeight="1" x14ac:dyDescent="0.3">
      <c r="A17" s="67" t="str">
        <f>ALL_METRICS!B17</f>
        <v>MDA-016-thomas-1974.md</v>
      </c>
      <c r="B17" s="31" t="str">
        <f>ALL_METRICS!A17</f>
        <v>P-dd73709327e1</v>
      </c>
      <c r="C17" s="39">
        <f>ALL_METRICS!J17</f>
        <v>3532</v>
      </c>
      <c r="D17" s="29">
        <f>ALL_METRICS!L17</f>
        <v>0.29930000000000001</v>
      </c>
      <c r="E17" s="30">
        <f>ALL_METRICS!P17</f>
        <v>11.3</v>
      </c>
      <c r="F17" s="30">
        <f>ALL_METRICS!X17</f>
        <v>3.3</v>
      </c>
      <c r="G17" s="31" t="str">
        <f>ALL_METRICS!AT17</f>
        <v>A — Evidence-Rich</v>
      </c>
      <c r="H17" s="44" t="str">
        <f>ALL_METRICS!AW17</f>
        <v>MODERATE</v>
      </c>
      <c r="I17" s="29" t="str">
        <f>ALL_METRICS!ED17</f>
        <v>F (Needs Citations)</v>
      </c>
      <c r="J17" s="30">
        <f>ALL_METRICS!CD17</f>
        <v>0</v>
      </c>
      <c r="K17" s="30">
        <f>ALL_METRICS!DC17</f>
        <v>4</v>
      </c>
      <c r="L17" s="30">
        <f>ALL_METRICS!DE17</f>
        <v>0</v>
      </c>
      <c r="M17" s="31">
        <f>ALL_METRICS!DJ17</f>
        <v>0.16</v>
      </c>
      <c r="N17" s="49">
        <f>ALL_METRICS!EB17</f>
        <v>10.14</v>
      </c>
      <c r="O17" s="29">
        <f>ALL_METRICS!EE17</f>
        <v>0.86</v>
      </c>
      <c r="P17" s="30" t="str">
        <f>ALL_METRICS!EF17</f>
        <v>WEAK</v>
      </c>
      <c r="Q17" s="30">
        <f>ALL_METRICS!EG17</f>
        <v>0.14000000000000001</v>
      </c>
      <c r="R17" s="30">
        <f>ALL_METRICS!EH17</f>
        <v>0.37</v>
      </c>
      <c r="S17" s="31">
        <f>ALL_METRICS!EI17</f>
        <v>0.38500000000000001</v>
      </c>
      <c r="T17" s="54" t="str">
        <f>ALL_METRICS!EL17</f>
        <v>goodness</v>
      </c>
      <c r="U17" s="29">
        <f>ALL_METRICS!FN17</f>
        <v>0.49659999999999999</v>
      </c>
      <c r="V17" s="30">
        <f>ALL_METRICS!FO17</f>
        <v>0.77500000000000002</v>
      </c>
      <c r="W17" s="31">
        <f>ALL_METRICS!FY17</f>
        <v>0.3594</v>
      </c>
      <c r="X17" s="59" t="str">
        <f>ALL_METRICS!JD17</f>
        <v>spiritually ordered; technically strong, spiritually ordered</v>
      </c>
      <c r="Y17" s="29">
        <f>ALL_METRICS!LI17</f>
        <v>0</v>
      </c>
      <c r="Z17" s="30">
        <f>ALL_METRICS!LJ17</f>
        <v>0</v>
      </c>
      <c r="AA17" s="31">
        <f>ALL_METRICS!LK17</f>
        <v>0</v>
      </c>
      <c r="AB17" s="64">
        <f>ALL_METRICS!LL17</f>
        <v>0</v>
      </c>
      <c r="AC17" s="29">
        <f>ALL_METRICS!LX17</f>
        <v>0.4642</v>
      </c>
      <c r="AD17" s="31" t="str">
        <f>ALL_METRICS!ME17</f>
        <v>HIGH (academic)</v>
      </c>
    </row>
    <row r="18" spans="1:30" ht="18" customHeight="1" x14ac:dyDescent="0.3">
      <c r="A18" s="66" t="str">
        <f>ALL_METRICS!B18</f>
        <v>MDA-017-unraveling-1960.md</v>
      </c>
      <c r="B18" s="28" t="str">
        <f>ALL_METRICS!A18</f>
        <v>P-58a9cda404de</v>
      </c>
      <c r="C18" s="38">
        <f>ALL_METRICS!J18</f>
        <v>1648</v>
      </c>
      <c r="D18" s="26">
        <f>ALL_METRICS!L18</f>
        <v>0.42599999999999999</v>
      </c>
      <c r="E18" s="27">
        <f>ALL_METRICS!P18</f>
        <v>29.4</v>
      </c>
      <c r="F18" s="27">
        <f>ALL_METRICS!X18</f>
        <v>3.9</v>
      </c>
      <c r="G18" s="28" t="str">
        <f>ALL_METRICS!AT18</f>
        <v>A — Evidence-Rich</v>
      </c>
      <c r="H18" s="43" t="str">
        <f>ALL_METRICS!AW18</f>
        <v>HIGH</v>
      </c>
      <c r="I18" s="26" t="str">
        <f>ALL_METRICS!ED18</f>
        <v>B (Strong)</v>
      </c>
      <c r="J18" s="27">
        <f>ALL_METRICS!CD18</f>
        <v>24</v>
      </c>
      <c r="K18" s="27">
        <f>ALL_METRICS!DC18</f>
        <v>34</v>
      </c>
      <c r="L18" s="27">
        <f>ALL_METRICS!DE18</f>
        <v>0</v>
      </c>
      <c r="M18" s="28">
        <f>ALL_METRICS!DJ18</f>
        <v>0.5</v>
      </c>
      <c r="N18" s="48">
        <f>ALL_METRICS!EB18</f>
        <v>14.14</v>
      </c>
      <c r="O18" s="26">
        <f>ALL_METRICS!EE18</f>
        <v>1.52</v>
      </c>
      <c r="P18" s="27" t="str">
        <f>ALL_METRICS!EF18</f>
        <v>WEAK</v>
      </c>
      <c r="Q18" s="27">
        <f>ALL_METRICS!EG18</f>
        <v>0.12</v>
      </c>
      <c r="R18" s="27">
        <f>ALL_METRICS!EH18</f>
        <v>1.21</v>
      </c>
      <c r="S18" s="28">
        <f>ALL_METRICS!EI18</f>
        <v>0.1</v>
      </c>
      <c r="T18" s="53" t="str">
        <f>ALL_METRICS!EL18</f>
        <v>peace</v>
      </c>
      <c r="U18" s="26">
        <f>ALL_METRICS!FN18</f>
        <v>0.62629999999999997</v>
      </c>
      <c r="V18" s="27">
        <f>ALL_METRICS!FO18</f>
        <v>0.77500000000000002</v>
      </c>
      <c r="W18" s="28">
        <f>ALL_METRICS!FY18</f>
        <v>0.25919999999999999</v>
      </c>
      <c r="X18" s="58" t="str">
        <f>ALL_METRICS!JD18</f>
        <v>mixed spiritual posture</v>
      </c>
      <c r="Y18" s="26">
        <f>ALL_METRICS!LI18</f>
        <v>0</v>
      </c>
      <c r="Z18" s="27">
        <f>ALL_METRICS!LJ18</f>
        <v>0</v>
      </c>
      <c r="AA18" s="28">
        <f>ALL_METRICS!LK18</f>
        <v>0</v>
      </c>
      <c r="AB18" s="63">
        <f>ALL_METRICS!LL18</f>
        <v>0</v>
      </c>
      <c r="AC18" s="26">
        <f>ALL_METRICS!LX18</f>
        <v>0.5121</v>
      </c>
      <c r="AD18" s="28" t="str">
        <f>ALL_METRICS!ME18</f>
        <v>HIGH (academic)</v>
      </c>
    </row>
    <row r="19" spans="1:30" ht="18" customHeight="1" x14ac:dyDescent="0.3">
      <c r="A19" s="67" t="str">
        <f>ALL_METRICS!B19</f>
        <v>MDA-018-great-decoupling-1968.md</v>
      </c>
      <c r="B19" s="31" t="str">
        <f>ALL_METRICS!A19</f>
        <v>P-3a2228a446d2</v>
      </c>
      <c r="C19" s="39">
        <f>ALL_METRICS!J19</f>
        <v>2767</v>
      </c>
      <c r="D19" s="29">
        <f>ALL_METRICS!L19</f>
        <v>0.373</v>
      </c>
      <c r="E19" s="30">
        <f>ALL_METRICS!P19</f>
        <v>18</v>
      </c>
      <c r="F19" s="30">
        <f>ALL_METRICS!X19</f>
        <v>4.3</v>
      </c>
      <c r="G19" s="31" t="str">
        <f>ALL_METRICS!AT19</f>
        <v>A — Evidence-Rich</v>
      </c>
      <c r="H19" s="44" t="str">
        <f>ALL_METRICS!AW19</f>
        <v>MODERATE</v>
      </c>
      <c r="I19" s="29" t="str">
        <f>ALL_METRICS!ED19</f>
        <v>D (Light)</v>
      </c>
      <c r="J19" s="30">
        <f>ALL_METRICS!CD19</f>
        <v>0</v>
      </c>
      <c r="K19" s="30">
        <f>ALL_METRICS!DC19</f>
        <v>9</v>
      </c>
      <c r="L19" s="30">
        <f>ALL_METRICS!DE19</f>
        <v>0.36</v>
      </c>
      <c r="M19" s="31">
        <f>ALL_METRICS!DJ19</f>
        <v>0</v>
      </c>
      <c r="N19" s="49">
        <f>ALL_METRICS!EB19</f>
        <v>9.93</v>
      </c>
      <c r="O19" s="29">
        <f>ALL_METRICS!EE19</f>
        <v>1.39</v>
      </c>
      <c r="P19" s="30" t="str">
        <f>ALL_METRICS!EF19</f>
        <v>WEAK</v>
      </c>
      <c r="Q19" s="30">
        <f>ALL_METRICS!EG19</f>
        <v>0.18</v>
      </c>
      <c r="R19" s="30">
        <f>ALL_METRICS!EH19</f>
        <v>0.65</v>
      </c>
      <c r="S19" s="31">
        <f>ALL_METRICS!EI19</f>
        <v>0.27800000000000002</v>
      </c>
      <c r="T19" s="54" t="str">
        <f>ALL_METRICS!EL19</f>
        <v>peace</v>
      </c>
      <c r="U19" s="29">
        <f>ALL_METRICS!FN19</f>
        <v>0.56210000000000004</v>
      </c>
      <c r="V19" s="30">
        <f>ALL_METRICS!FO19</f>
        <v>0.77500000000000002</v>
      </c>
      <c r="W19" s="31">
        <f>ALL_METRICS!FY19</f>
        <v>0.2626</v>
      </c>
      <c r="X19" s="59" t="str">
        <f>ALL_METRICS!JD19</f>
        <v>mixed spiritual posture</v>
      </c>
      <c r="Y19" s="29">
        <f>ALL_METRICS!LI19</f>
        <v>0</v>
      </c>
      <c r="Z19" s="30">
        <f>ALL_METRICS!LJ19</f>
        <v>0</v>
      </c>
      <c r="AA19" s="31">
        <f>ALL_METRICS!LK19</f>
        <v>0</v>
      </c>
      <c r="AB19" s="64">
        <f>ALL_METRICS!LL19</f>
        <v>0</v>
      </c>
      <c r="AC19" s="29">
        <f>ALL_METRICS!LX19</f>
        <v>0.50419999999999998</v>
      </c>
      <c r="AD19" s="31" t="str">
        <f>ALL_METRICS!ME19</f>
        <v>HIGH (academic)</v>
      </c>
    </row>
    <row r="20" spans="1:30" ht="18" customHeight="1" x14ac:dyDescent="0.3">
      <c r="A20" s="66" t="str">
        <f>ALL_METRICS!B20</f>
        <v>MDA-019-current-state-2024.md</v>
      </c>
      <c r="B20" s="28" t="str">
        <f>ALL_METRICS!A20</f>
        <v>P-5349e862c92a</v>
      </c>
      <c r="C20" s="38">
        <f>ALL_METRICS!J20</f>
        <v>2242</v>
      </c>
      <c r="D20" s="26">
        <f>ALL_METRICS!L20</f>
        <v>0.45</v>
      </c>
      <c r="E20" s="27">
        <f>ALL_METRICS!P20</f>
        <v>17.2</v>
      </c>
      <c r="F20" s="27">
        <f>ALL_METRICS!X20</f>
        <v>2.4</v>
      </c>
      <c r="G20" s="28" t="str">
        <f>ALL_METRICS!AT20</f>
        <v>A — Evidence-Rich</v>
      </c>
      <c r="H20" s="43" t="str">
        <f>ALL_METRICS!AW20</f>
        <v>MODERATE</v>
      </c>
      <c r="I20" s="26" t="str">
        <f>ALL_METRICS!ED20</f>
        <v>F (Needs Citations)</v>
      </c>
      <c r="J20" s="27">
        <f>ALL_METRICS!CD20</f>
        <v>0</v>
      </c>
      <c r="K20" s="27">
        <f>ALL_METRICS!DC20</f>
        <v>18</v>
      </c>
      <c r="L20" s="27">
        <f>ALL_METRICS!DE20</f>
        <v>0.45</v>
      </c>
      <c r="M20" s="28">
        <f>ALL_METRICS!DJ20</f>
        <v>1.6</v>
      </c>
      <c r="N20" s="48">
        <f>ALL_METRICS!EB20</f>
        <v>10.81</v>
      </c>
      <c r="O20" s="26">
        <f>ALL_METRICS!EE20</f>
        <v>2.0099999999999998</v>
      </c>
      <c r="P20" s="27" t="str">
        <f>ALL_METRICS!EF20</f>
        <v>WEAK</v>
      </c>
      <c r="Q20" s="27">
        <f>ALL_METRICS!EG20</f>
        <v>0.09</v>
      </c>
      <c r="R20" s="27">
        <f>ALL_METRICS!EH20</f>
        <v>1.1599999999999999</v>
      </c>
      <c r="S20" s="28">
        <f>ALL_METRICS!EI20</f>
        <v>7.6999999999999999E-2</v>
      </c>
      <c r="T20" s="53" t="str">
        <f>ALL_METRICS!EL20</f>
        <v>peace</v>
      </c>
      <c r="U20" s="26">
        <f>ALL_METRICS!FN20</f>
        <v>0.60219999999999996</v>
      </c>
      <c r="V20" s="27">
        <f>ALL_METRICS!FO20</f>
        <v>0.77500000000000002</v>
      </c>
      <c r="W20" s="28">
        <f>ALL_METRICS!FY20</f>
        <v>0.25650000000000001</v>
      </c>
      <c r="X20" s="58" t="str">
        <f>ALL_METRICS!JD20</f>
        <v>mixed spiritual posture</v>
      </c>
      <c r="Y20" s="26">
        <f>ALL_METRICS!LI20</f>
        <v>0</v>
      </c>
      <c r="Z20" s="27">
        <f>ALL_METRICS!LJ20</f>
        <v>0</v>
      </c>
      <c r="AA20" s="28">
        <f>ALL_METRICS!LK20</f>
        <v>0</v>
      </c>
      <c r="AB20" s="63">
        <f>ALL_METRICS!LL20</f>
        <v>0</v>
      </c>
      <c r="AC20" s="26">
        <f>ALL_METRICS!LX20</f>
        <v>0.53100000000000003</v>
      </c>
      <c r="AD20" s="28" t="str">
        <f>ALL_METRICS!ME20</f>
        <v>HIGH (academic)</v>
      </c>
    </row>
    <row r="21" spans="1:30" ht="18" customHeight="1" x14ac:dyDescent="0.3">
      <c r="A21" s="67" t="str">
        <f>ALL_METRICS!B21</f>
        <v>MDA-020-phase-transition.md</v>
      </c>
      <c r="B21" s="31" t="str">
        <f>ALL_METRICS!A21</f>
        <v>P-22ea47d87533</v>
      </c>
      <c r="C21" s="39">
        <f>ALL_METRICS!J21</f>
        <v>1030</v>
      </c>
      <c r="D21" s="29">
        <f>ALL_METRICS!L21</f>
        <v>0.49609999999999999</v>
      </c>
      <c r="E21" s="30">
        <f>ALL_METRICS!P21</f>
        <v>12.1</v>
      </c>
      <c r="F21" s="30">
        <f>ALL_METRICS!X21</f>
        <v>3</v>
      </c>
      <c r="G21" s="31" t="str">
        <f>ALL_METRICS!AT21</f>
        <v>A — Evidence-Rich</v>
      </c>
      <c r="H21" s="44" t="str">
        <f>ALL_METRICS!AW21</f>
        <v>MODERATE</v>
      </c>
      <c r="I21" s="29" t="str">
        <f>ALL_METRICS!ED21</f>
        <v>F (Needs Citations)</v>
      </c>
      <c r="J21" s="30">
        <f>ALL_METRICS!CD21</f>
        <v>0</v>
      </c>
      <c r="K21" s="30">
        <f>ALL_METRICS!DC21</f>
        <v>3</v>
      </c>
      <c r="L21" s="30">
        <f>ALL_METRICS!DE21</f>
        <v>0</v>
      </c>
      <c r="M21" s="31">
        <f>ALL_METRICS!DJ21</f>
        <v>1</v>
      </c>
      <c r="N21" s="49">
        <f>ALL_METRICS!EB21</f>
        <v>7.71</v>
      </c>
      <c r="O21" s="29">
        <f>ALL_METRICS!EE21</f>
        <v>9.2100000000000009</v>
      </c>
      <c r="P21" s="30" t="str">
        <f>ALL_METRICS!EF21</f>
        <v>HIGH</v>
      </c>
      <c r="Q21" s="30">
        <f>ALL_METRICS!EG21</f>
        <v>0.39</v>
      </c>
      <c r="R21" s="30">
        <f>ALL_METRICS!EH21</f>
        <v>1.55</v>
      </c>
      <c r="S21" s="31">
        <f>ALL_METRICS!EI21</f>
        <v>0.25</v>
      </c>
      <c r="T21" s="54" t="str">
        <f>ALL_METRICS!EL21</f>
        <v>peace</v>
      </c>
      <c r="U21" s="29">
        <f>ALL_METRICS!FN21</f>
        <v>0.49359999999999998</v>
      </c>
      <c r="V21" s="30">
        <f>ALL_METRICS!FO21</f>
        <v>0.77500000000000002</v>
      </c>
      <c r="W21" s="31">
        <f>ALL_METRICS!FY21</f>
        <v>0.25069999999999998</v>
      </c>
      <c r="X21" s="59" t="str">
        <f>ALL_METRICS!JD21</f>
        <v>abrasive or coercive; agitated or reactionary; disciplined; morally unstable</v>
      </c>
      <c r="Y21" s="29">
        <f>ALL_METRICS!LI21</f>
        <v>0</v>
      </c>
      <c r="Z21" s="30">
        <f>ALL_METRICS!LJ21</f>
        <v>0</v>
      </c>
      <c r="AA21" s="31">
        <f>ALL_METRICS!LK21</f>
        <v>0</v>
      </c>
      <c r="AB21" s="64">
        <f>ALL_METRICS!LL21</f>
        <v>0</v>
      </c>
      <c r="AC21" s="29">
        <f>ALL_METRICS!LX21</f>
        <v>0.57609999999999995</v>
      </c>
      <c r="AD21" s="31" t="str">
        <f>ALL_METRICS!ME21</f>
        <v>VERY HIGH (dense academic)</v>
      </c>
    </row>
    <row r="22" spans="1:30" ht="18" customHeight="1" x14ac:dyDescent="0.3">
      <c r="A22" s="66" t="str">
        <f>ALL_METRICS!B22</f>
        <v>MDA-021-anatomy-of-phase-transition.md</v>
      </c>
      <c r="B22" s="28" t="str">
        <f>ALL_METRICS!A22</f>
        <v>P-44ae8352c797</v>
      </c>
      <c r="C22" s="38">
        <f>ALL_METRICS!J22</f>
        <v>1449</v>
      </c>
      <c r="D22" s="26">
        <f>ALL_METRICS!L22</f>
        <v>0.43269999999999997</v>
      </c>
      <c r="E22" s="27">
        <f>ALL_METRICS!P22</f>
        <v>14.6</v>
      </c>
      <c r="F22" s="27">
        <f>ALL_METRICS!X22</f>
        <v>11</v>
      </c>
      <c r="G22" s="28" t="str">
        <f>ALL_METRICS!AT22</f>
        <v>A — Evidence-Rich</v>
      </c>
      <c r="H22" s="43" t="str">
        <f>ALL_METRICS!AW22</f>
        <v>HIGH</v>
      </c>
      <c r="I22" s="26" t="str">
        <f>ALL_METRICS!ED22</f>
        <v>D (Light)</v>
      </c>
      <c r="J22" s="27">
        <f>ALL_METRICS!CD22</f>
        <v>0</v>
      </c>
      <c r="K22" s="27">
        <f>ALL_METRICS!DC22</f>
        <v>11</v>
      </c>
      <c r="L22" s="27">
        <f>ALL_METRICS!DE22</f>
        <v>0.69</v>
      </c>
      <c r="M22" s="28">
        <f>ALL_METRICS!DJ22</f>
        <v>0.67</v>
      </c>
      <c r="N22" s="48">
        <f>ALL_METRICS!EB22</f>
        <v>8.7100000000000009</v>
      </c>
      <c r="O22" s="26">
        <f>ALL_METRICS!EE22</f>
        <v>10</v>
      </c>
      <c r="P22" s="27" t="str">
        <f>ALL_METRICS!EF22</f>
        <v>HIGH</v>
      </c>
      <c r="Q22" s="27">
        <f>ALL_METRICS!EG22</f>
        <v>0</v>
      </c>
      <c r="R22" s="27">
        <f>ALL_METRICS!EH22</f>
        <v>2.83</v>
      </c>
      <c r="S22" s="28">
        <f>ALL_METRICS!EI22</f>
        <v>0</v>
      </c>
      <c r="T22" s="53" t="str">
        <f>ALL_METRICS!EL22</f>
        <v>goodness</v>
      </c>
      <c r="U22" s="26">
        <f>ALL_METRICS!FN22</f>
        <v>0.4869</v>
      </c>
      <c r="V22" s="27">
        <f>ALL_METRICS!FO22</f>
        <v>0.77500000000000002</v>
      </c>
      <c r="W22" s="28">
        <f>ALL_METRICS!FY22</f>
        <v>0.2601</v>
      </c>
      <c r="X22" s="58" t="str">
        <f>ALL_METRICS!JD22</f>
        <v>mixed spiritual posture</v>
      </c>
      <c r="Y22" s="26">
        <f>ALL_METRICS!LI22</f>
        <v>0</v>
      </c>
      <c r="Z22" s="27">
        <f>ALL_METRICS!LJ22</f>
        <v>0</v>
      </c>
      <c r="AA22" s="28">
        <f>ALL_METRICS!LK22</f>
        <v>0</v>
      </c>
      <c r="AB22" s="63">
        <f>ALL_METRICS!LL22</f>
        <v>0</v>
      </c>
      <c r="AC22" s="26">
        <f>ALL_METRICS!LX22</f>
        <v>0.50670000000000004</v>
      </c>
      <c r="AD22" s="28" t="str">
        <f>ALL_METRICS!ME22</f>
        <v>HIGH (academic)</v>
      </c>
    </row>
    <row r="23" spans="1:30" ht="18" customHeight="1" x14ac:dyDescent="0.3">
      <c r="A23" s="67" t="str">
        <f>ALL_METRICS!B23</f>
        <v>MDA-022-cascade.md</v>
      </c>
      <c r="B23" s="31" t="str">
        <f>ALL_METRICS!A23</f>
        <v>P-dd187c77de28</v>
      </c>
      <c r="C23" s="39">
        <f>ALL_METRICS!J23</f>
        <v>1072</v>
      </c>
      <c r="D23" s="29">
        <f>ALL_METRICS!L23</f>
        <v>0.49530000000000002</v>
      </c>
      <c r="E23" s="30">
        <f>ALL_METRICS!P23</f>
        <v>15.3</v>
      </c>
      <c r="F23" s="30">
        <f>ALL_METRICS!X23</f>
        <v>3</v>
      </c>
      <c r="G23" s="31" t="str">
        <f>ALL_METRICS!AT23</f>
        <v>A — Evidence-Rich</v>
      </c>
      <c r="H23" s="44" t="str">
        <f>ALL_METRICS!AW23</f>
        <v>HIGH</v>
      </c>
      <c r="I23" s="29" t="str">
        <f>ALL_METRICS!ED23</f>
        <v>F (Needs Citations)</v>
      </c>
      <c r="J23" s="30">
        <f>ALL_METRICS!CD23</f>
        <v>0</v>
      </c>
      <c r="K23" s="30">
        <f>ALL_METRICS!DC23</f>
        <v>4</v>
      </c>
      <c r="L23" s="30">
        <f>ALL_METRICS!DE23</f>
        <v>0.93</v>
      </c>
      <c r="M23" s="31">
        <f>ALL_METRICS!DJ23</f>
        <v>0</v>
      </c>
      <c r="N23" s="49">
        <f>ALL_METRICS!EB23</f>
        <v>8.8800000000000008</v>
      </c>
      <c r="O23" s="29">
        <f>ALL_METRICS!EE23</f>
        <v>7.69</v>
      </c>
      <c r="P23" s="30" t="str">
        <f>ALL_METRICS!EF23</f>
        <v>STRONG</v>
      </c>
      <c r="Q23" s="30">
        <f>ALL_METRICS!EG23</f>
        <v>0.09</v>
      </c>
      <c r="R23" s="30">
        <f>ALL_METRICS!EH23</f>
        <v>2.0499999999999998</v>
      </c>
      <c r="S23" s="31">
        <f>ALL_METRICS!EI23</f>
        <v>4.4999999999999998E-2</v>
      </c>
      <c r="T23" s="54" t="str">
        <f>ALL_METRICS!EL23</f>
        <v>peace</v>
      </c>
      <c r="U23" s="29">
        <f>ALL_METRICS!FN23</f>
        <v>0.5121</v>
      </c>
      <c r="V23" s="30">
        <f>ALL_METRICS!FO23</f>
        <v>0.77500000000000002</v>
      </c>
      <c r="W23" s="31">
        <f>ALL_METRICS!FY23</f>
        <v>0.25950000000000001</v>
      </c>
      <c r="X23" s="59" t="str">
        <f>ALL_METRICS!JD23</f>
        <v>morally unstable</v>
      </c>
      <c r="Y23" s="29">
        <f>ALL_METRICS!LI23</f>
        <v>0</v>
      </c>
      <c r="Z23" s="30">
        <f>ALL_METRICS!LJ23</f>
        <v>0</v>
      </c>
      <c r="AA23" s="31">
        <f>ALL_METRICS!LK23</f>
        <v>0</v>
      </c>
      <c r="AB23" s="64">
        <f>ALL_METRICS!LL23</f>
        <v>0</v>
      </c>
      <c r="AC23" s="29">
        <f>ALL_METRICS!LX23</f>
        <v>0.60899999999999999</v>
      </c>
      <c r="AD23" s="31" t="str">
        <f>ALL_METRICS!ME23</f>
        <v>VERY HIGH (dense academic)</v>
      </c>
    </row>
    <row r="24" spans="1:30" ht="18" customHeight="1" x14ac:dyDescent="0.3">
      <c r="A24" s="66" t="str">
        <f>ALL_METRICS!B24</f>
        <v>MDA-023-coherence-cascade.md</v>
      </c>
      <c r="B24" s="28" t="str">
        <f>ALL_METRICS!A24</f>
        <v>P-ab956f66e9a5</v>
      </c>
      <c r="C24" s="38">
        <f>ALL_METRICS!J24</f>
        <v>441</v>
      </c>
      <c r="D24" s="26">
        <f>ALL_METRICS!L24</f>
        <v>0.47849999999999998</v>
      </c>
      <c r="E24" s="27">
        <f>ALL_METRICS!P24</f>
        <v>40.1</v>
      </c>
      <c r="F24" s="27">
        <f>ALL_METRICS!X24</f>
        <v>3.3</v>
      </c>
      <c r="G24" s="28" t="str">
        <f>ALL_METRICS!AT24</f>
        <v>A — Evidence-Rich</v>
      </c>
      <c r="H24" s="43" t="str">
        <f>ALL_METRICS!AW24</f>
        <v>HIGH</v>
      </c>
      <c r="I24" s="26" t="str">
        <f>ALL_METRICS!ED24</f>
        <v>F (Needs Citations)</v>
      </c>
      <c r="J24" s="27">
        <f>ALL_METRICS!CD24</f>
        <v>0</v>
      </c>
      <c r="K24" s="27">
        <f>ALL_METRICS!DC24</f>
        <v>5</v>
      </c>
      <c r="L24" s="27">
        <f>ALL_METRICS!DE24</f>
        <v>0</v>
      </c>
      <c r="M24" s="28">
        <f>ALL_METRICS!DJ24</f>
        <v>0</v>
      </c>
      <c r="N24" s="48">
        <f>ALL_METRICS!EB24</f>
        <v>7.71</v>
      </c>
      <c r="O24" s="26">
        <f>ALL_METRICS!EE24</f>
        <v>9.9499999999999993</v>
      </c>
      <c r="P24" s="27" t="str">
        <f>ALL_METRICS!EF24</f>
        <v>HIGH</v>
      </c>
      <c r="Q24" s="27">
        <f>ALL_METRICS!EG24</f>
        <v>0</v>
      </c>
      <c r="R24" s="27">
        <f>ALL_METRICS!EH24</f>
        <v>3.17</v>
      </c>
      <c r="S24" s="28">
        <f>ALL_METRICS!EI24</f>
        <v>0</v>
      </c>
      <c r="T24" s="53" t="str">
        <f>ALL_METRICS!EL24</f>
        <v>goodness</v>
      </c>
      <c r="U24" s="26">
        <f>ALL_METRICS!FN24</f>
        <v>0.57230000000000003</v>
      </c>
      <c r="V24" s="27">
        <f>ALL_METRICS!FO24</f>
        <v>0.77500000000000002</v>
      </c>
      <c r="W24" s="28">
        <f>ALL_METRICS!FY24</f>
        <v>0.25</v>
      </c>
      <c r="X24" s="58" t="str">
        <f>ALL_METRICS!JD24</f>
        <v>mixed spiritual posture</v>
      </c>
      <c r="Y24" s="26">
        <f>ALL_METRICS!LI24</f>
        <v>0</v>
      </c>
      <c r="Z24" s="27">
        <f>ALL_METRICS!LJ24</f>
        <v>0</v>
      </c>
      <c r="AA24" s="28">
        <f>ALL_METRICS!LK24</f>
        <v>0</v>
      </c>
      <c r="AB24" s="63">
        <f>ALL_METRICS!LL24</f>
        <v>0</v>
      </c>
      <c r="AC24" s="26">
        <f>ALL_METRICS!LX24</f>
        <v>0.50960000000000005</v>
      </c>
      <c r="AD24" s="28" t="str">
        <f>ALL_METRICS!ME24</f>
        <v>HIGH (academic)</v>
      </c>
    </row>
    <row r="25" spans="1:30" ht="18" customHeight="1" x14ac:dyDescent="0.3">
      <c r="A25" s="67" t="str">
        <f>ALL_METRICS!B25</f>
        <v>MDA-024-semantic-collapse.md</v>
      </c>
      <c r="B25" s="31" t="str">
        <f>ALL_METRICS!A25</f>
        <v>P-e814124ae8b8</v>
      </c>
      <c r="C25" s="39">
        <f>ALL_METRICS!J25</f>
        <v>847</v>
      </c>
      <c r="D25" s="29">
        <f>ALL_METRICS!L25</f>
        <v>0.41909999999999997</v>
      </c>
      <c r="E25" s="30">
        <f>ALL_METRICS!P25</f>
        <v>20.2</v>
      </c>
      <c r="F25" s="30">
        <f>ALL_METRICS!X25</f>
        <v>9.8000000000000007</v>
      </c>
      <c r="G25" s="31" t="str">
        <f>ALL_METRICS!AT25</f>
        <v>A — Evidence-Rich</v>
      </c>
      <c r="H25" s="44" t="str">
        <f>ALL_METRICS!AW25</f>
        <v>HIGH</v>
      </c>
      <c r="I25" s="29" t="str">
        <f>ALL_METRICS!ED25</f>
        <v>F (Needs Citations)</v>
      </c>
      <c r="J25" s="30">
        <f>ALL_METRICS!CD25</f>
        <v>0</v>
      </c>
      <c r="K25" s="30">
        <f>ALL_METRICS!DC25</f>
        <v>4</v>
      </c>
      <c r="L25" s="30">
        <f>ALL_METRICS!DE25</f>
        <v>0</v>
      </c>
      <c r="M25" s="31">
        <f>ALL_METRICS!DJ25</f>
        <v>2</v>
      </c>
      <c r="N25" s="49">
        <f>ALL_METRICS!EB25</f>
        <v>9.4700000000000006</v>
      </c>
      <c r="O25" s="29">
        <f>ALL_METRICS!EE25</f>
        <v>3.36</v>
      </c>
      <c r="P25" s="30" t="str">
        <f>ALL_METRICS!EF25</f>
        <v>WEAK</v>
      </c>
      <c r="Q25" s="30">
        <f>ALL_METRICS!EG25</f>
        <v>0.71</v>
      </c>
      <c r="R25" s="30">
        <f>ALL_METRICS!EH25</f>
        <v>2.2400000000000002</v>
      </c>
      <c r="S25" s="31">
        <f>ALL_METRICS!EI25</f>
        <v>0.316</v>
      </c>
      <c r="T25" s="54" t="str">
        <f>ALL_METRICS!EL25</f>
        <v>goodness</v>
      </c>
      <c r="U25" s="29">
        <f>ALL_METRICS!FN25</f>
        <v>0.57179999999999997</v>
      </c>
      <c r="V25" s="30">
        <f>ALL_METRICS!FO25</f>
        <v>0.77500000000000002</v>
      </c>
      <c r="W25" s="31">
        <f>ALL_METRICS!FY25</f>
        <v>0.3422</v>
      </c>
      <c r="X25" s="59" t="str">
        <f>ALL_METRICS!JD25</f>
        <v>agitated or reactionary; spiritually ordered; technically strong, spiritually ordered</v>
      </c>
      <c r="Y25" s="29">
        <f>ALL_METRICS!LI25</f>
        <v>0</v>
      </c>
      <c r="Z25" s="30">
        <f>ALL_METRICS!LJ25</f>
        <v>0</v>
      </c>
      <c r="AA25" s="31">
        <f>ALL_METRICS!LK25</f>
        <v>0</v>
      </c>
      <c r="AB25" s="64">
        <f>ALL_METRICS!LL25</f>
        <v>0</v>
      </c>
      <c r="AC25" s="29">
        <f>ALL_METRICS!LX25</f>
        <v>0.4723</v>
      </c>
      <c r="AD25" s="31" t="str">
        <f>ALL_METRICS!ME25</f>
        <v>HIGH (academic)</v>
      </c>
    </row>
    <row r="26" spans="1:30" ht="18" customHeight="1" x14ac:dyDescent="0.3">
      <c r="A26" s="66" t="str">
        <f>ALL_METRICS!B26</f>
        <v>MDA-025-cognitive-decline.md</v>
      </c>
      <c r="B26" s="28" t="str">
        <f>ALL_METRICS!A26</f>
        <v>P-1ddcf11fa2ab</v>
      </c>
      <c r="C26" s="38">
        <f>ALL_METRICS!J26</f>
        <v>807</v>
      </c>
      <c r="D26" s="26">
        <f>ALL_METRICS!L26</f>
        <v>0.43740000000000001</v>
      </c>
      <c r="E26" s="27">
        <f>ALL_METRICS!P26</f>
        <v>20.7</v>
      </c>
      <c r="F26" s="27">
        <f>ALL_METRICS!X26</f>
        <v>1.4</v>
      </c>
      <c r="G26" s="28" t="str">
        <f>ALL_METRICS!AT26</f>
        <v>A — Evidence-Rich</v>
      </c>
      <c r="H26" s="43" t="str">
        <f>ALL_METRICS!AW26</f>
        <v>MODERATE</v>
      </c>
      <c r="I26" s="26" t="str">
        <f>ALL_METRICS!ED26</f>
        <v>F (Needs Citations)</v>
      </c>
      <c r="J26" s="27">
        <f>ALL_METRICS!CD26</f>
        <v>0</v>
      </c>
      <c r="K26" s="27">
        <f>ALL_METRICS!DC26</f>
        <v>5</v>
      </c>
      <c r="L26" s="27">
        <f>ALL_METRICS!DE26</f>
        <v>0</v>
      </c>
      <c r="M26" s="28">
        <f>ALL_METRICS!DJ26</f>
        <v>1</v>
      </c>
      <c r="N26" s="48">
        <f>ALL_METRICS!EB26</f>
        <v>8.6</v>
      </c>
      <c r="O26" s="26">
        <f>ALL_METRICS!EE26</f>
        <v>2.35</v>
      </c>
      <c r="P26" s="27" t="str">
        <f>ALL_METRICS!EF26</f>
        <v>WEAK</v>
      </c>
      <c r="Q26" s="27">
        <f>ALL_METRICS!EG26</f>
        <v>0.87</v>
      </c>
      <c r="R26" s="27">
        <f>ALL_METRICS!EH26</f>
        <v>1.98</v>
      </c>
      <c r="S26" s="28">
        <f>ALL_METRICS!EI26</f>
        <v>0.438</v>
      </c>
      <c r="T26" s="53" t="str">
        <f>ALL_METRICS!EL26</f>
        <v>goodness</v>
      </c>
      <c r="U26" s="26">
        <f>ALL_METRICS!FN26</f>
        <v>0.60619999999999996</v>
      </c>
      <c r="V26" s="27">
        <f>ALL_METRICS!FO26</f>
        <v>0.77500000000000002</v>
      </c>
      <c r="W26" s="28">
        <f>ALL_METRICS!FY26</f>
        <v>0.36659999999999998</v>
      </c>
      <c r="X26" s="58" t="str">
        <f>ALL_METRICS!JD26</f>
        <v>agitated or reactionary; disciplined; spiritually ordered; technically strong, spiritually ordered</v>
      </c>
      <c r="Y26" s="26">
        <f>ALL_METRICS!LI26</f>
        <v>0</v>
      </c>
      <c r="Z26" s="27">
        <f>ALL_METRICS!LJ26</f>
        <v>0</v>
      </c>
      <c r="AA26" s="28">
        <f>ALL_METRICS!LK26</f>
        <v>0</v>
      </c>
      <c r="AB26" s="63">
        <f>ALL_METRICS!LL26</f>
        <v>0</v>
      </c>
      <c r="AC26" s="26">
        <f>ALL_METRICS!LX26</f>
        <v>0.47810000000000002</v>
      </c>
      <c r="AD26" s="28" t="str">
        <f>ALL_METRICS!ME26</f>
        <v>HIGH (academic)</v>
      </c>
    </row>
    <row r="27" spans="1:30" ht="18" customHeight="1" x14ac:dyDescent="0.3">
      <c r="A27" s="67" t="str">
        <f>ALL_METRICS!B27</f>
        <v>MDA-026-spiritual-collapse.md</v>
      </c>
      <c r="B27" s="31" t="str">
        <f>ALL_METRICS!A27</f>
        <v>P-330dab9ddded</v>
      </c>
      <c r="C27" s="39">
        <f>ALL_METRICS!J27</f>
        <v>829</v>
      </c>
      <c r="D27" s="29">
        <f>ALL_METRICS!L27</f>
        <v>0.37390000000000001</v>
      </c>
      <c r="E27" s="30">
        <f>ALL_METRICS!P27</f>
        <v>24.4</v>
      </c>
      <c r="F27" s="30">
        <f>ALL_METRICS!X27</f>
        <v>7</v>
      </c>
      <c r="G27" s="31" t="str">
        <f>ALL_METRICS!AT27</f>
        <v>A — Evidence-Rich</v>
      </c>
      <c r="H27" s="44" t="str">
        <f>ALL_METRICS!AW27</f>
        <v>HIGH</v>
      </c>
      <c r="I27" s="29" t="str">
        <f>ALL_METRICS!ED27</f>
        <v>F (Needs Citations)</v>
      </c>
      <c r="J27" s="30">
        <f>ALL_METRICS!CD27</f>
        <v>0</v>
      </c>
      <c r="K27" s="30">
        <f>ALL_METRICS!DC27</f>
        <v>5</v>
      </c>
      <c r="L27" s="30">
        <f>ALL_METRICS!DE27</f>
        <v>0</v>
      </c>
      <c r="M27" s="31">
        <f>ALL_METRICS!DJ27</f>
        <v>1</v>
      </c>
      <c r="N27" s="49">
        <f>ALL_METRICS!EB27</f>
        <v>8.43</v>
      </c>
      <c r="O27" s="29">
        <f>ALL_METRICS!EE27</f>
        <v>4.58</v>
      </c>
      <c r="P27" s="30" t="str">
        <f>ALL_METRICS!EF27</f>
        <v>MODERATE</v>
      </c>
      <c r="Q27" s="30">
        <f>ALL_METRICS!EG27</f>
        <v>1.93</v>
      </c>
      <c r="R27" s="30">
        <f>ALL_METRICS!EH27</f>
        <v>1.69</v>
      </c>
      <c r="S27" s="31">
        <f>ALL_METRICS!EI27</f>
        <v>1.143</v>
      </c>
      <c r="T27" s="54" t="str">
        <f>ALL_METRICS!EL27</f>
        <v>goodness</v>
      </c>
      <c r="U27" s="29">
        <f>ALL_METRICS!FN27</f>
        <v>0.63039999999999996</v>
      </c>
      <c r="V27" s="30">
        <f>ALL_METRICS!FO27</f>
        <v>0.77500000000000002</v>
      </c>
      <c r="W27" s="31">
        <f>ALL_METRICS!FY27</f>
        <v>0.36030000000000001</v>
      </c>
      <c r="X27" s="59" t="str">
        <f>ALL_METRICS!JD27</f>
        <v>spiritually ordered; technically strong, spiritually ordered</v>
      </c>
      <c r="Y27" s="29">
        <f>ALL_METRICS!LI27</f>
        <v>0</v>
      </c>
      <c r="Z27" s="30">
        <f>ALL_METRICS!LJ27</f>
        <v>0</v>
      </c>
      <c r="AA27" s="31">
        <f>ALL_METRICS!LK27</f>
        <v>0</v>
      </c>
      <c r="AB27" s="64">
        <f>ALL_METRICS!LL27</f>
        <v>0</v>
      </c>
      <c r="AC27" s="29">
        <f>ALL_METRICS!LX27</f>
        <v>0.50549999999999995</v>
      </c>
      <c r="AD27" s="31" t="str">
        <f>ALL_METRICS!ME27</f>
        <v>HIGH (academic)</v>
      </c>
    </row>
    <row r="28" spans="1:30" ht="18" customHeight="1" x14ac:dyDescent="0.3">
      <c r="A28" s="66" t="str">
        <f>ALL_METRICS!B28</f>
        <v>MDA-027-signal-went-dark.md</v>
      </c>
      <c r="B28" s="28" t="str">
        <f>ALL_METRICS!A28</f>
        <v>P-6c170c999572</v>
      </c>
      <c r="C28" s="38">
        <f>ALL_METRICS!J28</f>
        <v>1427</v>
      </c>
      <c r="D28" s="26">
        <f>ALL_METRICS!L28</f>
        <v>0.4471</v>
      </c>
      <c r="E28" s="27">
        <f>ALL_METRICS!P28</f>
        <v>17.8</v>
      </c>
      <c r="F28" s="27">
        <f>ALL_METRICS!X28</f>
        <v>2.8</v>
      </c>
      <c r="G28" s="28" t="str">
        <f>ALL_METRICS!AT28</f>
        <v>A — Evidence-Rich</v>
      </c>
      <c r="H28" s="43" t="str">
        <f>ALL_METRICS!AW28</f>
        <v>MODERATE</v>
      </c>
      <c r="I28" s="26" t="str">
        <f>ALL_METRICS!ED28</f>
        <v>F (Needs Citations)</v>
      </c>
      <c r="J28" s="27">
        <f>ALL_METRICS!CD28</f>
        <v>0</v>
      </c>
      <c r="K28" s="27">
        <f>ALL_METRICS!DC28</f>
        <v>11</v>
      </c>
      <c r="L28" s="27">
        <f>ALL_METRICS!DE28</f>
        <v>0</v>
      </c>
      <c r="M28" s="28">
        <f>ALL_METRICS!DJ28</f>
        <v>0.11</v>
      </c>
      <c r="N28" s="48">
        <f>ALL_METRICS!EB28</f>
        <v>7.71</v>
      </c>
      <c r="O28" s="26">
        <f>ALL_METRICS!EE28</f>
        <v>7.39</v>
      </c>
      <c r="P28" s="27" t="str">
        <f>ALL_METRICS!EF28</f>
        <v>STRONG</v>
      </c>
      <c r="Q28" s="27">
        <f>ALL_METRICS!EG28</f>
        <v>1.47</v>
      </c>
      <c r="R28" s="27">
        <f>ALL_METRICS!EH28</f>
        <v>1.89</v>
      </c>
      <c r="S28" s="28">
        <f>ALL_METRICS!EI28</f>
        <v>0.77800000000000002</v>
      </c>
      <c r="T28" s="53" t="str">
        <f>ALL_METRICS!EL28</f>
        <v>peace</v>
      </c>
      <c r="U28" s="26">
        <f>ALL_METRICS!FN28</f>
        <v>0.51639999999999997</v>
      </c>
      <c r="V28" s="27">
        <f>ALL_METRICS!FO28</f>
        <v>0.77500000000000002</v>
      </c>
      <c r="W28" s="28">
        <f>ALL_METRICS!FY28</f>
        <v>0.26040000000000002</v>
      </c>
      <c r="X28" s="58" t="str">
        <f>ALL_METRICS!JD28</f>
        <v>mixed spiritual posture</v>
      </c>
      <c r="Y28" s="26">
        <f>ALL_METRICS!LI28</f>
        <v>0</v>
      </c>
      <c r="Z28" s="27">
        <f>ALL_METRICS!LJ28</f>
        <v>0</v>
      </c>
      <c r="AA28" s="28">
        <f>ALL_METRICS!LK28</f>
        <v>0</v>
      </c>
      <c r="AB28" s="63">
        <f>ALL_METRICS!LL28</f>
        <v>0</v>
      </c>
      <c r="AC28" s="26">
        <f>ALL_METRICS!LX28</f>
        <v>0.61650000000000005</v>
      </c>
      <c r="AD28" s="28" t="str">
        <f>ALL_METRICS!ME28</f>
        <v>VERY HIGH (dense academic)</v>
      </c>
    </row>
    <row r="29" spans="1:30" ht="18" customHeight="1" x14ac:dyDescent="0.3">
      <c r="A29" s="67" t="str">
        <f>ALL_METRICS!B29</f>
        <v>MDA-028-phantom-money.md</v>
      </c>
      <c r="B29" s="31" t="str">
        <f>ALL_METRICS!A29</f>
        <v>P-641ee6da7311</v>
      </c>
      <c r="C29" s="39">
        <f>ALL_METRICS!J29</f>
        <v>1450</v>
      </c>
      <c r="D29" s="29">
        <f>ALL_METRICS!L29</f>
        <v>0.43380000000000002</v>
      </c>
      <c r="E29" s="30">
        <f>ALL_METRICS!P29</f>
        <v>21.6</v>
      </c>
      <c r="F29" s="30">
        <f>ALL_METRICS!X29</f>
        <v>7.1</v>
      </c>
      <c r="G29" s="31" t="str">
        <f>ALL_METRICS!AT29</f>
        <v>A — Evidence-Rich</v>
      </c>
      <c r="H29" s="44" t="str">
        <f>ALL_METRICS!AW29</f>
        <v>LOW</v>
      </c>
      <c r="I29" s="29" t="str">
        <f>ALL_METRICS!ED29</f>
        <v>F (Needs Citations)</v>
      </c>
      <c r="J29" s="30">
        <f>ALL_METRICS!CD29</f>
        <v>0</v>
      </c>
      <c r="K29" s="30">
        <f>ALL_METRICS!DC29</f>
        <v>6</v>
      </c>
      <c r="L29" s="30">
        <f>ALL_METRICS!DE29</f>
        <v>0</v>
      </c>
      <c r="M29" s="31">
        <f>ALL_METRICS!DJ29</f>
        <v>0.14000000000000001</v>
      </c>
      <c r="N29" s="49">
        <f>ALL_METRICS!EB29</f>
        <v>9.6</v>
      </c>
      <c r="O29" s="29">
        <f>ALL_METRICS!EE29</f>
        <v>6.37</v>
      </c>
      <c r="P29" s="30" t="str">
        <f>ALL_METRICS!EF29</f>
        <v>STRONG</v>
      </c>
      <c r="Q29" s="30">
        <f>ALL_METRICS!EG29</f>
        <v>0.76</v>
      </c>
      <c r="R29" s="30">
        <f>ALL_METRICS!EH29</f>
        <v>1.1000000000000001</v>
      </c>
      <c r="S29" s="31">
        <f>ALL_METRICS!EI29</f>
        <v>0.68799999999999994</v>
      </c>
      <c r="T29" s="54" t="str">
        <f>ALL_METRICS!EL29</f>
        <v>peace</v>
      </c>
      <c r="U29" s="29">
        <f>ALL_METRICS!FN29</f>
        <v>0.54910000000000003</v>
      </c>
      <c r="V29" s="30">
        <f>ALL_METRICS!FO29</f>
        <v>0.77500000000000002</v>
      </c>
      <c r="W29" s="31">
        <f>ALL_METRICS!FY29</f>
        <v>0.28470000000000001</v>
      </c>
      <c r="X29" s="59" t="str">
        <f>ALL_METRICS!JD29</f>
        <v>mixed spiritual posture</v>
      </c>
      <c r="Y29" s="29">
        <f>ALL_METRICS!LI29</f>
        <v>0</v>
      </c>
      <c r="Z29" s="30">
        <f>ALL_METRICS!LJ29</f>
        <v>0</v>
      </c>
      <c r="AA29" s="31">
        <f>ALL_METRICS!LK29</f>
        <v>0</v>
      </c>
      <c r="AB29" s="64">
        <f>ALL_METRICS!LL29</f>
        <v>0</v>
      </c>
      <c r="AC29" s="29">
        <f>ALL_METRICS!LX29</f>
        <v>0.52180000000000004</v>
      </c>
      <c r="AD29" s="31" t="str">
        <f>ALL_METRICS!ME29</f>
        <v>HIGH (academic)</v>
      </c>
    </row>
    <row r="30" spans="1:30" ht="18" customHeight="1" x14ac:dyDescent="0.3">
      <c r="A30" s="66" t="str">
        <f>ALL_METRICS!B30</f>
        <v>MDA-029-observer-collapsed.md</v>
      </c>
      <c r="B30" s="28" t="str">
        <f>ALL_METRICS!A30</f>
        <v>P-655a7e473f59</v>
      </c>
      <c r="C30" s="38">
        <f>ALL_METRICS!J30</f>
        <v>1479</v>
      </c>
      <c r="D30" s="26">
        <f>ALL_METRICS!L30</f>
        <v>0.43609999999999999</v>
      </c>
      <c r="E30" s="27">
        <f>ALL_METRICS!P30</f>
        <v>20</v>
      </c>
      <c r="F30" s="27">
        <f>ALL_METRICS!X30</f>
        <v>4.3</v>
      </c>
      <c r="G30" s="28" t="str">
        <f>ALL_METRICS!AT30</f>
        <v>A — Evidence-Rich</v>
      </c>
      <c r="H30" s="43" t="str">
        <f>ALL_METRICS!AW30</f>
        <v>HIGH</v>
      </c>
      <c r="I30" s="26" t="str">
        <f>ALL_METRICS!ED30</f>
        <v>F (Needs Citations)</v>
      </c>
      <c r="J30" s="27">
        <f>ALL_METRICS!CD30</f>
        <v>0</v>
      </c>
      <c r="K30" s="27">
        <f>ALL_METRICS!DC30</f>
        <v>3.5</v>
      </c>
      <c r="L30" s="27">
        <f>ALL_METRICS!DE30</f>
        <v>0.68</v>
      </c>
      <c r="M30" s="28">
        <f>ALL_METRICS!DJ30</f>
        <v>0.38</v>
      </c>
      <c r="N30" s="48">
        <f>ALL_METRICS!EB30</f>
        <v>10.47</v>
      </c>
      <c r="O30" s="26">
        <f>ALL_METRICS!EE30</f>
        <v>10</v>
      </c>
      <c r="P30" s="27" t="str">
        <f>ALL_METRICS!EF30</f>
        <v>HIGH</v>
      </c>
      <c r="Q30" s="27">
        <f>ALL_METRICS!EG30</f>
        <v>0.2</v>
      </c>
      <c r="R30" s="27">
        <f>ALL_METRICS!EH30</f>
        <v>1.28</v>
      </c>
      <c r="S30" s="28">
        <f>ALL_METRICS!EI30</f>
        <v>0.158</v>
      </c>
      <c r="T30" s="53" t="str">
        <f>ALL_METRICS!EL30</f>
        <v>peace</v>
      </c>
      <c r="U30" s="26">
        <f>ALL_METRICS!FN30</f>
        <v>0.4914</v>
      </c>
      <c r="V30" s="27">
        <f>ALL_METRICS!FO30</f>
        <v>0.77500000000000002</v>
      </c>
      <c r="W30" s="28">
        <f>ALL_METRICS!FY30</f>
        <v>0.27979999999999999</v>
      </c>
      <c r="X30" s="58" t="str">
        <f>ALL_METRICS!JD30</f>
        <v>mixed spiritual posture</v>
      </c>
      <c r="Y30" s="26">
        <f>ALL_METRICS!LI30</f>
        <v>0</v>
      </c>
      <c r="Z30" s="27">
        <f>ALL_METRICS!LJ30</f>
        <v>0</v>
      </c>
      <c r="AA30" s="28">
        <f>ALL_METRICS!LK30</f>
        <v>0</v>
      </c>
      <c r="AB30" s="63">
        <f>ALL_METRICS!LL30</f>
        <v>0</v>
      </c>
      <c r="AC30" s="26">
        <f>ALL_METRICS!LX30</f>
        <v>0.56040000000000001</v>
      </c>
      <c r="AD30" s="28" t="str">
        <f>ALL_METRICS!ME30</f>
        <v>VERY HIGH (dense academic)</v>
      </c>
    </row>
    <row r="31" spans="1:30" ht="18" customHeight="1" x14ac:dyDescent="0.3">
      <c r="A31" s="67" t="str">
        <f>ALL_METRICS!B31</f>
        <v>MDA-030-trinity-mechanism.md</v>
      </c>
      <c r="B31" s="31" t="str">
        <f>ALL_METRICS!A31</f>
        <v>P-4e228696268c</v>
      </c>
      <c r="C31" s="39">
        <f>ALL_METRICS!J31</f>
        <v>1865</v>
      </c>
      <c r="D31" s="29">
        <f>ALL_METRICS!L31</f>
        <v>0.31369999999999998</v>
      </c>
      <c r="E31" s="30">
        <f>ALL_METRICS!P31</f>
        <v>18.600000000000001</v>
      </c>
      <c r="F31" s="30">
        <f>ALL_METRICS!X31</f>
        <v>2.9</v>
      </c>
      <c r="G31" s="31" t="str">
        <f>ALL_METRICS!AT31</f>
        <v>B — Supported</v>
      </c>
      <c r="H31" s="44" t="str">
        <f>ALL_METRICS!AW31</f>
        <v>HIGH</v>
      </c>
      <c r="I31" s="29" t="str">
        <f>ALL_METRICS!ED31</f>
        <v>D (Light)</v>
      </c>
      <c r="J31" s="30">
        <f>ALL_METRICS!CD31</f>
        <v>0</v>
      </c>
      <c r="K31" s="30">
        <f>ALL_METRICS!DC31</f>
        <v>1.5</v>
      </c>
      <c r="L31" s="30">
        <f>ALL_METRICS!DE31</f>
        <v>3.22</v>
      </c>
      <c r="M31" s="31">
        <f>ALL_METRICS!DJ31</f>
        <v>0.2</v>
      </c>
      <c r="N31" s="49">
        <f>ALL_METRICS!EB31</f>
        <v>15.74</v>
      </c>
      <c r="O31" s="29">
        <f>ALL_METRICS!EE31</f>
        <v>10</v>
      </c>
      <c r="P31" s="30" t="str">
        <f>ALL_METRICS!EF31</f>
        <v>HIGH</v>
      </c>
      <c r="Q31" s="30">
        <f>ALL_METRICS!EG31</f>
        <v>1.98</v>
      </c>
      <c r="R31" s="30">
        <f>ALL_METRICS!EH31</f>
        <v>3.05</v>
      </c>
      <c r="S31" s="31">
        <f>ALL_METRICS!EI31</f>
        <v>0.64900000000000002</v>
      </c>
      <c r="T31" s="54" t="str">
        <f>ALL_METRICS!EL31</f>
        <v>love</v>
      </c>
      <c r="U31" s="29">
        <f>ALL_METRICS!FN31</f>
        <v>0.5877</v>
      </c>
      <c r="V31" s="30">
        <f>ALL_METRICS!FO31</f>
        <v>0.77500000000000002</v>
      </c>
      <c r="W31" s="31">
        <f>ALL_METRICS!FY31</f>
        <v>0.27650000000000002</v>
      </c>
      <c r="X31" s="59" t="str">
        <f>ALL_METRICS!JD31</f>
        <v>agitated or reactionary</v>
      </c>
      <c r="Y31" s="29">
        <f>ALL_METRICS!LI31</f>
        <v>0</v>
      </c>
      <c r="Z31" s="30">
        <f>ALL_METRICS!LJ31</f>
        <v>0</v>
      </c>
      <c r="AA31" s="31">
        <f>ALL_METRICS!LK31</f>
        <v>0</v>
      </c>
      <c r="AB31" s="64">
        <f>ALL_METRICS!LL31</f>
        <v>0</v>
      </c>
      <c r="AC31" s="29">
        <f>ALL_METRICS!LX31</f>
        <v>0.49</v>
      </c>
      <c r="AD31" s="31" t="str">
        <f>ALL_METRICS!ME31</f>
        <v>HIGH (academic)</v>
      </c>
    </row>
    <row r="32" spans="1:30" ht="18" customHeight="1" x14ac:dyDescent="0.3">
      <c r="A32" s="66" t="str">
        <f>ALL_METRICS!B32</f>
        <v>MDA-031-jacob-1998.md</v>
      </c>
      <c r="B32" s="28" t="str">
        <f>ALL_METRICS!A32</f>
        <v>P-3af9304e8dcb</v>
      </c>
      <c r="C32" s="38">
        <f>ALL_METRICS!J32</f>
        <v>2949</v>
      </c>
      <c r="D32" s="26">
        <f>ALL_METRICS!L32</f>
        <v>0.35270000000000001</v>
      </c>
      <c r="E32" s="27">
        <f>ALL_METRICS!P32</f>
        <v>10.1</v>
      </c>
      <c r="F32" s="27">
        <f>ALL_METRICS!X32</f>
        <v>4.0999999999999996</v>
      </c>
      <c r="G32" s="28" t="str">
        <f>ALL_METRICS!AT32</f>
        <v>A — Evidence-Rich</v>
      </c>
      <c r="H32" s="43" t="str">
        <f>ALL_METRICS!AW32</f>
        <v>MODERATE</v>
      </c>
      <c r="I32" s="26" t="str">
        <f>ALL_METRICS!ED32</f>
        <v>F (Needs Citations)</v>
      </c>
      <c r="J32" s="27">
        <f>ALL_METRICS!CD32</f>
        <v>0</v>
      </c>
      <c r="K32" s="27">
        <f>ALL_METRICS!DC32</f>
        <v>4</v>
      </c>
      <c r="L32" s="27">
        <f>ALL_METRICS!DE32</f>
        <v>0</v>
      </c>
      <c r="M32" s="28">
        <f>ALL_METRICS!DJ32</f>
        <v>0.25</v>
      </c>
      <c r="N32" s="48">
        <f>ALL_METRICS!EB32</f>
        <v>8.6</v>
      </c>
      <c r="O32" s="26">
        <f>ALL_METRICS!EE32</f>
        <v>1.29</v>
      </c>
      <c r="P32" s="27" t="str">
        <f>ALL_METRICS!EF32</f>
        <v>WEAK</v>
      </c>
      <c r="Q32" s="27">
        <f>ALL_METRICS!EG32</f>
        <v>0.37</v>
      </c>
      <c r="R32" s="27">
        <f>ALL_METRICS!EH32</f>
        <v>0.54</v>
      </c>
      <c r="S32" s="28">
        <f>ALL_METRICS!EI32</f>
        <v>0.68799999999999994</v>
      </c>
      <c r="T32" s="53" t="str">
        <f>ALL_METRICS!EL32</f>
        <v>peace</v>
      </c>
      <c r="U32" s="26">
        <f>ALL_METRICS!FN32</f>
        <v>0.49469999999999997</v>
      </c>
      <c r="V32" s="27">
        <f>ALL_METRICS!FO32</f>
        <v>0.77500000000000002</v>
      </c>
      <c r="W32" s="28">
        <f>ALL_METRICS!FY32</f>
        <v>0.35670000000000002</v>
      </c>
      <c r="X32" s="58" t="str">
        <f>ALL_METRICS!JD32</f>
        <v>spiritually ordered; technically strong, spiritually ordered</v>
      </c>
      <c r="Y32" s="26">
        <f>ALL_METRICS!LI32</f>
        <v>0</v>
      </c>
      <c r="Z32" s="27">
        <f>ALL_METRICS!LJ32</f>
        <v>0</v>
      </c>
      <c r="AA32" s="28">
        <f>ALL_METRICS!LK32</f>
        <v>0</v>
      </c>
      <c r="AB32" s="63">
        <f>ALL_METRICS!LL32</f>
        <v>0</v>
      </c>
      <c r="AC32" s="26">
        <f>ALL_METRICS!LX32</f>
        <v>0.49370000000000003</v>
      </c>
      <c r="AD32" s="28" t="str">
        <f>ALL_METRICS!ME32</f>
        <v>HIGH (academic)</v>
      </c>
    </row>
    <row r="33" spans="1:30" ht="18" customHeight="1" x14ac:dyDescent="0.3">
      <c r="A33" s="67" t="str">
        <f>ALL_METRICS!B33</f>
        <v>MDA-032-why-bad-is-easier.md</v>
      </c>
      <c r="B33" s="31" t="str">
        <f>ALL_METRICS!A33</f>
        <v>P-fe4f6e60fe31</v>
      </c>
      <c r="C33" s="39">
        <f>ALL_METRICS!J33</f>
        <v>963</v>
      </c>
      <c r="D33" s="29">
        <f>ALL_METRICS!L33</f>
        <v>0.42470000000000002</v>
      </c>
      <c r="E33" s="30">
        <f>ALL_METRICS!P33</f>
        <v>13.2</v>
      </c>
      <c r="F33" s="30">
        <f>ALL_METRICS!X33</f>
        <v>4.3</v>
      </c>
      <c r="G33" s="31" t="str">
        <f>ALL_METRICS!AT33</f>
        <v>A — Evidence-Rich</v>
      </c>
      <c r="H33" s="44" t="str">
        <f>ALL_METRICS!AW33</f>
        <v>MODERATE</v>
      </c>
      <c r="I33" s="29" t="str">
        <f>ALL_METRICS!ED33</f>
        <v>F (Needs Citations)</v>
      </c>
      <c r="J33" s="30">
        <f>ALL_METRICS!CD33</f>
        <v>0</v>
      </c>
      <c r="K33" s="30">
        <f>ALL_METRICS!DC33</f>
        <v>10</v>
      </c>
      <c r="L33" s="30">
        <f>ALL_METRICS!DE33</f>
        <v>0</v>
      </c>
      <c r="M33" s="31">
        <f>ALL_METRICS!DJ33</f>
        <v>0.09</v>
      </c>
      <c r="N33" s="49">
        <f>ALL_METRICS!EB33</f>
        <v>10.47</v>
      </c>
      <c r="O33" s="29">
        <f>ALL_METRICS!EE33</f>
        <v>6.43</v>
      </c>
      <c r="P33" s="30" t="str">
        <f>ALL_METRICS!EF33</f>
        <v>STRONG</v>
      </c>
      <c r="Q33" s="30">
        <f>ALL_METRICS!EG33</f>
        <v>1.24</v>
      </c>
      <c r="R33" s="30">
        <f>ALL_METRICS!EH33</f>
        <v>2.2799999999999998</v>
      </c>
      <c r="S33" s="31">
        <f>ALL_METRICS!EI33</f>
        <v>0.54500000000000004</v>
      </c>
      <c r="T33" s="54" t="str">
        <f>ALL_METRICS!EL33</f>
        <v>goodness</v>
      </c>
      <c r="U33" s="29">
        <f>ALL_METRICS!FN33</f>
        <v>0.47410000000000002</v>
      </c>
      <c r="V33" s="30">
        <f>ALL_METRICS!FO33</f>
        <v>0.77500000000000002</v>
      </c>
      <c r="W33" s="31">
        <f>ALL_METRICS!FY33</f>
        <v>0.58479999999999999</v>
      </c>
      <c r="X33" s="59" t="str">
        <f>ALL_METRICS!JD33</f>
        <v>agitated or reactionary; charitable; disciplined; spiritually ordered; technically strong, spiritually ordered</v>
      </c>
      <c r="Y33" s="29">
        <f>ALL_METRICS!LI33</f>
        <v>0</v>
      </c>
      <c r="Z33" s="30">
        <f>ALL_METRICS!LJ33</f>
        <v>0</v>
      </c>
      <c r="AA33" s="31">
        <f>ALL_METRICS!LK33</f>
        <v>0</v>
      </c>
      <c r="AB33" s="64">
        <f>ALL_METRICS!LL33</f>
        <v>0</v>
      </c>
      <c r="AC33" s="29">
        <f>ALL_METRICS!LX33</f>
        <v>0.48370000000000002</v>
      </c>
      <c r="AD33" s="31" t="str">
        <f>ALL_METRICS!ME33</f>
        <v>HIGH (academic)</v>
      </c>
    </row>
    <row r="34" spans="1:30" ht="18" customHeight="1" x14ac:dyDescent="0.3">
      <c r="A34" s="66" t="str">
        <f>ALL_METRICS!B34</f>
        <v>MDA-033-entropic-society.md</v>
      </c>
      <c r="B34" s="28" t="str">
        <f>ALL_METRICS!A34</f>
        <v>P-b0436df3efb4</v>
      </c>
      <c r="C34" s="38">
        <f>ALL_METRICS!J34</f>
        <v>4120</v>
      </c>
      <c r="D34" s="26">
        <f>ALL_METRICS!L34</f>
        <v>0.34389999999999998</v>
      </c>
      <c r="E34" s="27">
        <f>ALL_METRICS!P34</f>
        <v>25.8</v>
      </c>
      <c r="F34" s="27">
        <f>ALL_METRICS!X34</f>
        <v>5.5</v>
      </c>
      <c r="G34" s="28" t="str">
        <f>ALL_METRICS!AT34</f>
        <v>A — Evidence-Rich</v>
      </c>
      <c r="H34" s="43" t="str">
        <f>ALL_METRICS!AW34</f>
        <v>HIGH</v>
      </c>
      <c r="I34" s="26" t="str">
        <f>ALL_METRICS!ED34</f>
        <v>D (Light)</v>
      </c>
      <c r="J34" s="27">
        <f>ALL_METRICS!CD34</f>
        <v>0</v>
      </c>
      <c r="K34" s="27">
        <f>ALL_METRICS!DC34</f>
        <v>14.33</v>
      </c>
      <c r="L34" s="27">
        <f>ALL_METRICS!DE34</f>
        <v>0.49</v>
      </c>
      <c r="M34" s="28">
        <f>ALL_METRICS!DJ34</f>
        <v>1.07</v>
      </c>
      <c r="N34" s="48">
        <f>ALL_METRICS!EB34</f>
        <v>14.29</v>
      </c>
      <c r="O34" s="26">
        <f>ALL_METRICS!EE34</f>
        <v>5.48</v>
      </c>
      <c r="P34" s="27" t="str">
        <f>ALL_METRICS!EF34</f>
        <v>MODERATE</v>
      </c>
      <c r="Q34" s="27">
        <f>ALL_METRICS!EG34</f>
        <v>0.02</v>
      </c>
      <c r="R34" s="27">
        <f>ALL_METRICS!EH34</f>
        <v>2.06</v>
      </c>
      <c r="S34" s="28">
        <f>ALL_METRICS!EI34</f>
        <v>1.2E-2</v>
      </c>
      <c r="T34" s="53" t="str">
        <f>ALL_METRICS!EL34</f>
        <v>love</v>
      </c>
      <c r="U34" s="26">
        <f>ALL_METRICS!FN34</f>
        <v>0.63670000000000004</v>
      </c>
      <c r="V34" s="27">
        <f>ALL_METRICS!FO34</f>
        <v>0.77500000000000002</v>
      </c>
      <c r="W34" s="28">
        <f>ALL_METRICS!FY34</f>
        <v>0.26140000000000002</v>
      </c>
      <c r="X34" s="58" t="str">
        <f>ALL_METRICS!JD34</f>
        <v>disciplined</v>
      </c>
      <c r="Y34" s="26">
        <f>ALL_METRICS!LI34</f>
        <v>0</v>
      </c>
      <c r="Z34" s="27">
        <f>ALL_METRICS!LJ34</f>
        <v>0</v>
      </c>
      <c r="AA34" s="28">
        <f>ALL_METRICS!LK34</f>
        <v>0</v>
      </c>
      <c r="AB34" s="63">
        <f>ALL_METRICS!LL34</f>
        <v>0</v>
      </c>
      <c r="AC34" s="26">
        <f>ALL_METRICS!LX34</f>
        <v>0.6542</v>
      </c>
      <c r="AD34" s="28" t="str">
        <f>ALL_METRICS!ME34</f>
        <v>VERY HIGH (dense academic)</v>
      </c>
    </row>
    <row r="35" spans="1:30" ht="18" customHeight="1" x14ac:dyDescent="0.3">
      <c r="A35" s="67" t="str">
        <f>ALL_METRICS!B35</f>
        <v>MDA-034-technology-entropy.md</v>
      </c>
      <c r="B35" s="31" t="str">
        <f>ALL_METRICS!A35</f>
        <v>P-04531653ac4e</v>
      </c>
      <c r="C35" s="39">
        <f>ALL_METRICS!J35</f>
        <v>2055</v>
      </c>
      <c r="D35" s="29">
        <f>ALL_METRICS!L35</f>
        <v>0.47149999999999997</v>
      </c>
      <c r="E35" s="30">
        <f>ALL_METRICS!P35</f>
        <v>33.700000000000003</v>
      </c>
      <c r="F35" s="30">
        <f>ALL_METRICS!X35</f>
        <v>5.4</v>
      </c>
      <c r="G35" s="31" t="str">
        <f>ALL_METRICS!AT35</f>
        <v>A — Evidence-Rich</v>
      </c>
      <c r="H35" s="44" t="str">
        <f>ALL_METRICS!AW35</f>
        <v>HIGH</v>
      </c>
      <c r="I35" s="29" t="str">
        <f>ALL_METRICS!ED35</f>
        <v>B (Strong)</v>
      </c>
      <c r="J35" s="30">
        <f>ALL_METRICS!CD35</f>
        <v>26</v>
      </c>
      <c r="K35" s="30">
        <f>ALL_METRICS!DC35</f>
        <v>48</v>
      </c>
      <c r="L35" s="30">
        <f>ALL_METRICS!DE35</f>
        <v>0</v>
      </c>
      <c r="M35" s="31">
        <f>ALL_METRICS!DJ35</f>
        <v>1</v>
      </c>
      <c r="N35" s="49">
        <f>ALL_METRICS!EB35</f>
        <v>15.74</v>
      </c>
      <c r="O35" s="29">
        <f>ALL_METRICS!EE35</f>
        <v>5.5</v>
      </c>
      <c r="P35" s="30" t="str">
        <f>ALL_METRICS!EF35</f>
        <v>MODERATE</v>
      </c>
      <c r="Q35" s="30">
        <f>ALL_METRICS!EG35</f>
        <v>0.05</v>
      </c>
      <c r="R35" s="30">
        <f>ALL_METRICS!EH35</f>
        <v>2.29</v>
      </c>
      <c r="S35" s="31">
        <f>ALL_METRICS!EI35</f>
        <v>2.1000000000000001E-2</v>
      </c>
      <c r="T35" s="54" t="str">
        <f>ALL_METRICS!EL35</f>
        <v>love</v>
      </c>
      <c r="U35" s="29">
        <f>ALL_METRICS!FN35</f>
        <v>0.61029999999999995</v>
      </c>
      <c r="V35" s="30">
        <f>ALL_METRICS!FO35</f>
        <v>0.77500000000000002</v>
      </c>
      <c r="W35" s="31">
        <f>ALL_METRICS!FY35</f>
        <v>0.2455</v>
      </c>
      <c r="X35" s="59" t="str">
        <f>ALL_METRICS!JD35</f>
        <v>mixed spiritual posture</v>
      </c>
      <c r="Y35" s="29">
        <f>ALL_METRICS!LI35</f>
        <v>0</v>
      </c>
      <c r="Z35" s="30">
        <f>ALL_METRICS!LJ35</f>
        <v>0</v>
      </c>
      <c r="AA35" s="31">
        <f>ALL_METRICS!LK35</f>
        <v>0</v>
      </c>
      <c r="AB35" s="64">
        <f>ALL_METRICS!LL35</f>
        <v>0</v>
      </c>
      <c r="AC35" s="29">
        <f>ALL_METRICS!LX35</f>
        <v>0.61970000000000003</v>
      </c>
      <c r="AD35" s="31" t="str">
        <f>ALL_METRICS!ME35</f>
        <v>VERY HIGH (dense academic)</v>
      </c>
    </row>
    <row r="36" spans="1:30" ht="18" customHeight="1" x14ac:dyDescent="0.3">
      <c r="A36" s="66" t="str">
        <f>ALL_METRICS!B36</f>
        <v>MDA-035-great-reconfiguration.md</v>
      </c>
      <c r="B36" s="28" t="str">
        <f>ALL_METRICS!A36</f>
        <v>P-788ce3a3f5cf</v>
      </c>
      <c r="C36" s="38">
        <f>ALL_METRICS!J36</f>
        <v>3733</v>
      </c>
      <c r="D36" s="26">
        <f>ALL_METRICS!L36</f>
        <v>0.3654</v>
      </c>
      <c r="E36" s="27">
        <f>ALL_METRICS!P36</f>
        <v>24.6</v>
      </c>
      <c r="F36" s="27">
        <f>ALL_METRICS!X36</f>
        <v>3</v>
      </c>
      <c r="G36" s="28" t="str">
        <f>ALL_METRICS!AT36</f>
        <v>A — Evidence-Rich</v>
      </c>
      <c r="H36" s="43" t="str">
        <f>ALL_METRICS!AW36</f>
        <v>HIGH</v>
      </c>
      <c r="I36" s="26" t="str">
        <f>ALL_METRICS!ED36</f>
        <v>B (Strong)</v>
      </c>
      <c r="J36" s="27">
        <f>ALL_METRICS!CD36</f>
        <v>28</v>
      </c>
      <c r="K36" s="27">
        <f>ALL_METRICS!DC36</f>
        <v>15.5</v>
      </c>
      <c r="L36" s="27">
        <f>ALL_METRICS!DE36</f>
        <v>0</v>
      </c>
      <c r="M36" s="28">
        <f>ALL_METRICS!DJ36</f>
        <v>0.67</v>
      </c>
      <c r="N36" s="48">
        <f>ALL_METRICS!EB36</f>
        <v>18.12</v>
      </c>
      <c r="O36" s="26">
        <f>ALL_METRICS!EE36</f>
        <v>1.29</v>
      </c>
      <c r="P36" s="27" t="str">
        <f>ALL_METRICS!EF36</f>
        <v>WEAK</v>
      </c>
      <c r="Q36" s="27">
        <f>ALL_METRICS!EG36</f>
        <v>0.32</v>
      </c>
      <c r="R36" s="27">
        <f>ALL_METRICS!EH36</f>
        <v>0.94</v>
      </c>
      <c r="S36" s="28">
        <f>ALL_METRICS!EI36</f>
        <v>0.34300000000000003</v>
      </c>
      <c r="T36" s="53" t="str">
        <f>ALL_METRICS!EL36</f>
        <v>kindness</v>
      </c>
      <c r="U36" s="26">
        <f>ALL_METRICS!FN36</f>
        <v>0.65249999999999997</v>
      </c>
      <c r="V36" s="27">
        <f>ALL_METRICS!FO36</f>
        <v>0.77500000000000002</v>
      </c>
      <c r="W36" s="28">
        <f>ALL_METRICS!FY36</f>
        <v>0.26650000000000001</v>
      </c>
      <c r="X36" s="58" t="str">
        <f>ALL_METRICS!JD36</f>
        <v>mixed spiritual posture</v>
      </c>
      <c r="Y36" s="26">
        <f>ALL_METRICS!LI36</f>
        <v>0</v>
      </c>
      <c r="Z36" s="27">
        <f>ALL_METRICS!LJ36</f>
        <v>0</v>
      </c>
      <c r="AA36" s="28">
        <f>ALL_METRICS!LK36</f>
        <v>0</v>
      </c>
      <c r="AB36" s="63">
        <f>ALL_METRICS!LL36</f>
        <v>0</v>
      </c>
      <c r="AC36" s="26">
        <f>ALL_METRICS!LX36</f>
        <v>0.58389999999999997</v>
      </c>
      <c r="AD36" s="28" t="str">
        <f>ALL_METRICS!ME36</f>
        <v>VERY HIGH (dense academic)</v>
      </c>
    </row>
    <row r="37" spans="1:30" ht="18" customHeight="1" x14ac:dyDescent="0.3">
      <c r="A37" s="67" t="str">
        <f>ALL_METRICS!B37</f>
        <v>MDA-036-regulatory-impulse-1900.md</v>
      </c>
      <c r="B37" s="31" t="str">
        <f>ALL_METRICS!A37</f>
        <v>P-97dd764132b0</v>
      </c>
      <c r="C37" s="39">
        <f>ALL_METRICS!J37</f>
        <v>4701</v>
      </c>
      <c r="D37" s="29">
        <f>ALL_METRICS!L37</f>
        <v>0.32840000000000003</v>
      </c>
      <c r="E37" s="30">
        <f>ALL_METRICS!P37</f>
        <v>30.1</v>
      </c>
      <c r="F37" s="30">
        <f>ALL_METRICS!X37</f>
        <v>4.9000000000000004</v>
      </c>
      <c r="G37" s="31" t="str">
        <f>ALL_METRICS!AT37</f>
        <v>A — Evidence-Rich</v>
      </c>
      <c r="H37" s="44" t="str">
        <f>ALL_METRICS!AW37</f>
        <v>HIGH</v>
      </c>
      <c r="I37" s="29" t="str">
        <f>ALL_METRICS!ED37</f>
        <v>D (Light)</v>
      </c>
      <c r="J37" s="30">
        <f>ALL_METRICS!CD37</f>
        <v>2</v>
      </c>
      <c r="K37" s="30">
        <f>ALL_METRICS!DC37</f>
        <v>5</v>
      </c>
      <c r="L37" s="30">
        <f>ALL_METRICS!DE37</f>
        <v>0.21</v>
      </c>
      <c r="M37" s="31">
        <f>ALL_METRICS!DJ37</f>
        <v>1.8</v>
      </c>
      <c r="N37" s="49">
        <f>ALL_METRICS!EB37</f>
        <v>15.96</v>
      </c>
      <c r="O37" s="29">
        <f>ALL_METRICS!EE37</f>
        <v>1.83</v>
      </c>
      <c r="P37" s="30" t="str">
        <f>ALL_METRICS!EF37</f>
        <v>WEAK</v>
      </c>
      <c r="Q37" s="30">
        <f>ALL_METRICS!EG37</f>
        <v>0.23</v>
      </c>
      <c r="R37" s="30">
        <f>ALL_METRICS!EH37</f>
        <v>1.08</v>
      </c>
      <c r="S37" s="31">
        <f>ALL_METRICS!EI37</f>
        <v>0.216</v>
      </c>
      <c r="T37" s="54" t="str">
        <f>ALL_METRICS!EL37</f>
        <v>goodness</v>
      </c>
      <c r="U37" s="29">
        <f>ALL_METRICS!FN37</f>
        <v>0.62209999999999999</v>
      </c>
      <c r="V37" s="30">
        <f>ALL_METRICS!FO37</f>
        <v>0.77500000000000002</v>
      </c>
      <c r="W37" s="31">
        <f>ALL_METRICS!FY37</f>
        <v>0.26250000000000001</v>
      </c>
      <c r="X37" s="59" t="str">
        <f>ALL_METRICS!JD37</f>
        <v>mixed spiritual posture</v>
      </c>
      <c r="Y37" s="29">
        <f>ALL_METRICS!LI37</f>
        <v>0</v>
      </c>
      <c r="Z37" s="30">
        <f>ALL_METRICS!LJ37</f>
        <v>0</v>
      </c>
      <c r="AA37" s="31">
        <f>ALL_METRICS!LK37</f>
        <v>0</v>
      </c>
      <c r="AB37" s="64">
        <f>ALL_METRICS!LL37</f>
        <v>0</v>
      </c>
      <c r="AC37" s="29">
        <f>ALL_METRICS!LX37</f>
        <v>0.56540000000000001</v>
      </c>
      <c r="AD37" s="31" t="str">
        <f>ALL_METRICS!ME37</f>
        <v>VERY HIGH (dense academic)</v>
      </c>
    </row>
    <row r="38" spans="1:30" ht="18" customHeight="1" x14ac:dyDescent="0.3">
      <c r="A38" s="66" t="str">
        <f>ALL_METRICS!B38</f>
        <v>MDA-037-biaxiosum-audit.md</v>
      </c>
      <c r="B38" s="28" t="str">
        <f>ALL_METRICS!A38</f>
        <v>P-54a4ffc1bfd0</v>
      </c>
      <c r="C38" s="38">
        <f>ALL_METRICS!J38</f>
        <v>1304</v>
      </c>
      <c r="D38" s="26">
        <f>ALL_METRICS!L38</f>
        <v>0.37959999999999999</v>
      </c>
      <c r="E38" s="27">
        <f>ALL_METRICS!P38</f>
        <v>16.100000000000001</v>
      </c>
      <c r="F38" s="27">
        <f>ALL_METRICS!X38</f>
        <v>5.3</v>
      </c>
      <c r="G38" s="28" t="str">
        <f>ALL_METRICS!AT38</f>
        <v>A — Evidence-Rich</v>
      </c>
      <c r="H38" s="43" t="str">
        <f>ALL_METRICS!AW38</f>
        <v>MODERATE</v>
      </c>
      <c r="I38" s="26" t="str">
        <f>ALL_METRICS!ED38</f>
        <v>D (Light)</v>
      </c>
      <c r="J38" s="27">
        <f>ALL_METRICS!CD38</f>
        <v>1</v>
      </c>
      <c r="K38" s="27">
        <f>ALL_METRICS!DC38</f>
        <v>4</v>
      </c>
      <c r="L38" s="27">
        <f>ALL_METRICS!DE38</f>
        <v>0</v>
      </c>
      <c r="M38" s="28">
        <f>ALL_METRICS!DJ38</f>
        <v>0.17</v>
      </c>
      <c r="N38" s="48">
        <f>ALL_METRICS!EB38</f>
        <v>8.2899999999999991</v>
      </c>
      <c r="O38" s="26">
        <f>ALL_METRICS!EE38</f>
        <v>5.59</v>
      </c>
      <c r="P38" s="27" t="str">
        <f>ALL_METRICS!EF38</f>
        <v>MODERATE</v>
      </c>
      <c r="Q38" s="27">
        <f>ALL_METRICS!EG38</f>
        <v>0.92</v>
      </c>
      <c r="R38" s="27">
        <f>ALL_METRICS!EH38</f>
        <v>1.61</v>
      </c>
      <c r="S38" s="28">
        <f>ALL_METRICS!EI38</f>
        <v>0.57099999999999995</v>
      </c>
      <c r="T38" s="53" t="str">
        <f>ALL_METRICS!EL38</f>
        <v>joy</v>
      </c>
      <c r="U38" s="26">
        <f>ALL_METRICS!FN38</f>
        <v>0.48799999999999999</v>
      </c>
      <c r="V38" s="27">
        <f>ALL_METRICS!FO38</f>
        <v>0.77500000000000002</v>
      </c>
      <c r="W38" s="28">
        <f>ALL_METRICS!FY38</f>
        <v>0.25</v>
      </c>
      <c r="X38" s="58" t="str">
        <f>ALL_METRICS!JD38</f>
        <v>mixed spiritual posture</v>
      </c>
      <c r="Y38" s="26">
        <f>ALL_METRICS!LI38</f>
        <v>0</v>
      </c>
      <c r="Z38" s="27">
        <f>ALL_METRICS!LJ38</f>
        <v>0</v>
      </c>
      <c r="AA38" s="28">
        <f>ALL_METRICS!LK38</f>
        <v>0</v>
      </c>
      <c r="AB38" s="63">
        <f>ALL_METRICS!LL38</f>
        <v>0</v>
      </c>
      <c r="AC38" s="26">
        <f>ALL_METRICS!LX38</f>
        <v>0.44040000000000001</v>
      </c>
      <c r="AD38" s="28" t="str">
        <f>ALL_METRICS!ME38</f>
        <v>MODERATE (accessible)</v>
      </c>
    </row>
    <row r="39" spans="1:30" ht="18" customHeight="1" x14ac:dyDescent="0.3">
      <c r="A39" s="67" t="str">
        <f>ALL_METRICS!B39</f>
        <v>MDA-038-coherence-metric.md</v>
      </c>
      <c r="B39" s="31" t="str">
        <f>ALL_METRICS!A39</f>
        <v>P-b867031ccb4e</v>
      </c>
      <c r="C39" s="39">
        <f>ALL_METRICS!J39</f>
        <v>1799</v>
      </c>
      <c r="D39" s="29">
        <f>ALL_METRICS!L39</f>
        <v>0.42409999999999998</v>
      </c>
      <c r="E39" s="30">
        <f>ALL_METRICS!P39</f>
        <v>14.5</v>
      </c>
      <c r="F39" s="30">
        <f>ALL_METRICS!X39</f>
        <v>5.3</v>
      </c>
      <c r="G39" s="31" t="str">
        <f>ALL_METRICS!AT39</f>
        <v>A — Evidence-Rich</v>
      </c>
      <c r="H39" s="44" t="str">
        <f>ALL_METRICS!AW39</f>
        <v>LOW</v>
      </c>
      <c r="I39" s="29" t="str">
        <f>ALL_METRICS!ED39</f>
        <v>C (Moderate)</v>
      </c>
      <c r="J39" s="30">
        <f>ALL_METRICS!CD39</f>
        <v>0</v>
      </c>
      <c r="K39" s="30">
        <f>ALL_METRICS!DC39</f>
        <v>29</v>
      </c>
      <c r="L39" s="30">
        <f>ALL_METRICS!DE39</f>
        <v>2.2200000000000002</v>
      </c>
      <c r="M39" s="31">
        <f>ALL_METRICS!DJ39</f>
        <v>0.43</v>
      </c>
      <c r="N39" s="49">
        <f>ALL_METRICS!EB39</f>
        <v>17.170000000000002</v>
      </c>
      <c r="O39" s="29">
        <f>ALL_METRICS!EE39</f>
        <v>10</v>
      </c>
      <c r="P39" s="30" t="str">
        <f>ALL_METRICS!EF39</f>
        <v>HIGH</v>
      </c>
      <c r="Q39" s="30">
        <f>ALL_METRICS!EG39</f>
        <v>0.78</v>
      </c>
      <c r="R39" s="30">
        <f>ALL_METRICS!EH39</f>
        <v>3.83</v>
      </c>
      <c r="S39" s="31">
        <f>ALL_METRICS!EI39</f>
        <v>0.20300000000000001</v>
      </c>
      <c r="T39" s="54" t="str">
        <f>ALL_METRICS!EL39</f>
        <v>peace</v>
      </c>
      <c r="U39" s="29">
        <f>ALL_METRICS!FN39</f>
        <v>0.54579999999999995</v>
      </c>
      <c r="V39" s="30">
        <f>ALL_METRICS!FO39</f>
        <v>0.77500000000000002</v>
      </c>
      <c r="W39" s="31">
        <f>ALL_METRICS!FY39</f>
        <v>0.25580000000000003</v>
      </c>
      <c r="X39" s="59" t="str">
        <f>ALL_METRICS!JD39</f>
        <v>mixed spiritual posture</v>
      </c>
      <c r="Y39" s="29">
        <f>ALL_METRICS!LI39</f>
        <v>0</v>
      </c>
      <c r="Z39" s="30">
        <f>ALL_METRICS!LJ39</f>
        <v>0</v>
      </c>
      <c r="AA39" s="31">
        <f>ALL_METRICS!LK39</f>
        <v>0</v>
      </c>
      <c r="AB39" s="64">
        <f>ALL_METRICS!LL39</f>
        <v>0</v>
      </c>
      <c r="AC39" s="29">
        <f>ALL_METRICS!LX39</f>
        <v>0.6431</v>
      </c>
      <c r="AD39" s="31" t="str">
        <f>ALL_METRICS!ME39</f>
        <v>VERY HIGH (dense academic)</v>
      </c>
    </row>
    <row r="40" spans="1:30" ht="18" customHeight="1" x14ac:dyDescent="0.3">
      <c r="A40" s="66" t="str">
        <f>ALL_METRICS!B40</f>
        <v>MDA-039-physics-of-coherence.md</v>
      </c>
      <c r="B40" s="28" t="str">
        <f>ALL_METRICS!A40</f>
        <v>P-264480bee695</v>
      </c>
      <c r="C40" s="38">
        <f>ALL_METRICS!J40</f>
        <v>705</v>
      </c>
      <c r="D40" s="26">
        <f>ALL_METRICS!L40</f>
        <v>0.39290000000000003</v>
      </c>
      <c r="E40" s="27">
        <f>ALL_METRICS!P40</f>
        <v>18.600000000000001</v>
      </c>
      <c r="F40" s="27">
        <f>ALL_METRICS!X40</f>
        <v>6.2</v>
      </c>
      <c r="G40" s="28" t="str">
        <f>ALL_METRICS!AT40</f>
        <v>A — Evidence-Rich</v>
      </c>
      <c r="H40" s="43" t="str">
        <f>ALL_METRICS!AW40</f>
        <v>HIGH</v>
      </c>
      <c r="I40" s="26" t="str">
        <f>ALL_METRICS!ED40</f>
        <v>F (Needs Citations)</v>
      </c>
      <c r="J40" s="27">
        <f>ALL_METRICS!CD40</f>
        <v>0</v>
      </c>
      <c r="K40" s="27">
        <f>ALL_METRICS!DC40</f>
        <v>3</v>
      </c>
      <c r="L40" s="27">
        <f>ALL_METRICS!DE40</f>
        <v>11.33</v>
      </c>
      <c r="M40" s="28">
        <f>ALL_METRICS!DJ40</f>
        <v>0</v>
      </c>
      <c r="N40" s="48">
        <f>ALL_METRICS!EB40</f>
        <v>13.04</v>
      </c>
      <c r="O40" s="26">
        <f>ALL_METRICS!EE40</f>
        <v>10</v>
      </c>
      <c r="P40" s="27" t="str">
        <f>ALL_METRICS!EF40</f>
        <v>HIGH</v>
      </c>
      <c r="Q40" s="27">
        <f>ALL_METRICS!EG40</f>
        <v>0</v>
      </c>
      <c r="R40" s="27">
        <f>ALL_METRICS!EH40</f>
        <v>4.67</v>
      </c>
      <c r="S40" s="28">
        <f>ALL_METRICS!EI40</f>
        <v>0</v>
      </c>
      <c r="T40" s="53" t="str">
        <f>ALL_METRICS!EL40</f>
        <v>peace</v>
      </c>
      <c r="U40" s="26">
        <f>ALL_METRICS!FN40</f>
        <v>0.54690000000000005</v>
      </c>
      <c r="V40" s="27">
        <f>ALL_METRICS!FO40</f>
        <v>0.77500000000000002</v>
      </c>
      <c r="W40" s="28">
        <f>ALL_METRICS!FY40</f>
        <v>0.27110000000000001</v>
      </c>
      <c r="X40" s="58" t="str">
        <f>ALL_METRICS!JD40</f>
        <v>mixed spiritual posture</v>
      </c>
      <c r="Y40" s="26">
        <f>ALL_METRICS!LI40</f>
        <v>0</v>
      </c>
      <c r="Z40" s="27">
        <f>ALL_METRICS!LJ40</f>
        <v>0</v>
      </c>
      <c r="AA40" s="28">
        <f>ALL_METRICS!LK40</f>
        <v>0</v>
      </c>
      <c r="AB40" s="63">
        <f>ALL_METRICS!LL40</f>
        <v>0</v>
      </c>
      <c r="AC40" s="26">
        <f>ALL_METRICS!LX40</f>
        <v>0.5141</v>
      </c>
      <c r="AD40" s="28" t="str">
        <f>ALL_METRICS!ME40</f>
        <v>HIGH (academic)</v>
      </c>
    </row>
    <row r="41" spans="1:30" ht="18" customHeight="1" x14ac:dyDescent="0.3">
      <c r="A41" s="67" t="str">
        <f>ALL_METRICS!B41</f>
        <v>MDA-040-statistical-synthesis.md</v>
      </c>
      <c r="B41" s="31" t="str">
        <f>ALL_METRICS!A41</f>
        <v>P-473600288551</v>
      </c>
      <c r="C41" s="39">
        <f>ALL_METRICS!J41</f>
        <v>2059</v>
      </c>
      <c r="D41" s="29">
        <f>ALL_METRICS!L41</f>
        <v>0.4128</v>
      </c>
      <c r="E41" s="30">
        <f>ALL_METRICS!P41</f>
        <v>17.600000000000001</v>
      </c>
      <c r="F41" s="30">
        <f>ALL_METRICS!X41</f>
        <v>3.2</v>
      </c>
      <c r="G41" s="31" t="str">
        <f>ALL_METRICS!AT41</f>
        <v>A — Evidence-Rich</v>
      </c>
      <c r="H41" s="44" t="str">
        <f>ALL_METRICS!AW41</f>
        <v>MODERATE</v>
      </c>
      <c r="I41" s="29" t="str">
        <f>ALL_METRICS!ED41</f>
        <v>F (Needs Citations)</v>
      </c>
      <c r="J41" s="30">
        <f>ALL_METRICS!CD41</f>
        <v>0</v>
      </c>
      <c r="K41" s="30">
        <f>ALL_METRICS!DC41</f>
        <v>7</v>
      </c>
      <c r="L41" s="30">
        <f>ALL_METRICS!DE41</f>
        <v>0</v>
      </c>
      <c r="M41" s="31">
        <f>ALL_METRICS!DJ41</f>
        <v>0.75</v>
      </c>
      <c r="N41" s="49">
        <f>ALL_METRICS!EB41</f>
        <v>8.93</v>
      </c>
      <c r="O41" s="29">
        <f>ALL_METRICS!EE41</f>
        <v>1.84</v>
      </c>
      <c r="P41" s="30" t="str">
        <f>ALL_METRICS!EF41</f>
        <v>WEAK</v>
      </c>
      <c r="Q41" s="30">
        <f>ALL_METRICS!EG41</f>
        <v>0.49</v>
      </c>
      <c r="R41" s="30">
        <f>ALL_METRICS!EH41</f>
        <v>0.92</v>
      </c>
      <c r="S41" s="31">
        <f>ALL_METRICS!EI41</f>
        <v>0.52600000000000002</v>
      </c>
      <c r="T41" s="54" t="str">
        <f>ALL_METRICS!EL41</f>
        <v>patience</v>
      </c>
      <c r="U41" s="29">
        <f>ALL_METRICS!FN41</f>
        <v>0.49919999999999998</v>
      </c>
      <c r="V41" s="30">
        <f>ALL_METRICS!FO41</f>
        <v>0.77500000000000002</v>
      </c>
      <c r="W41" s="31">
        <f>ALL_METRICS!FY41</f>
        <v>0.29039999999999999</v>
      </c>
      <c r="X41" s="59" t="str">
        <f>ALL_METRICS!JD41</f>
        <v>mixed spiritual posture</v>
      </c>
      <c r="Y41" s="29">
        <f>ALL_METRICS!LI41</f>
        <v>0</v>
      </c>
      <c r="Z41" s="30">
        <f>ALL_METRICS!LJ41</f>
        <v>0</v>
      </c>
      <c r="AA41" s="31">
        <f>ALL_METRICS!LK41</f>
        <v>0</v>
      </c>
      <c r="AB41" s="64">
        <f>ALL_METRICS!LL41</f>
        <v>0</v>
      </c>
      <c r="AC41" s="29">
        <f>ALL_METRICS!LX41</f>
        <v>0.49640000000000001</v>
      </c>
      <c r="AD41" s="31" t="str">
        <f>ALL_METRICS!ME41</f>
        <v>HIGH (academic)</v>
      </c>
    </row>
    <row r="42" spans="1:30" ht="18" customHeight="1" x14ac:dyDescent="0.3">
      <c r="A42" s="66" t="str">
        <f>ALL_METRICS!B42</f>
        <v>MDA-041-statistical-spine.md</v>
      </c>
      <c r="B42" s="28" t="str">
        <f>ALL_METRICS!A42</f>
        <v>P-fc7d6ca270a1</v>
      </c>
      <c r="C42" s="38">
        <f>ALL_METRICS!J42</f>
        <v>936</v>
      </c>
      <c r="D42" s="26">
        <f>ALL_METRICS!L42</f>
        <v>0.42309999999999998</v>
      </c>
      <c r="E42" s="27">
        <f>ALL_METRICS!P42</f>
        <v>25.3</v>
      </c>
      <c r="F42" s="27">
        <f>ALL_METRICS!X42</f>
        <v>3.2</v>
      </c>
      <c r="G42" s="28" t="str">
        <f>ALL_METRICS!AT42</f>
        <v>A — Evidence-Rich</v>
      </c>
      <c r="H42" s="43" t="str">
        <f>ALL_METRICS!AW42</f>
        <v>HIGH</v>
      </c>
      <c r="I42" s="26" t="str">
        <f>ALL_METRICS!ED42</f>
        <v>F (Needs Citations)</v>
      </c>
      <c r="J42" s="27">
        <f>ALL_METRICS!CD42</f>
        <v>0</v>
      </c>
      <c r="K42" s="27">
        <f>ALL_METRICS!DC42</f>
        <v>6</v>
      </c>
      <c r="L42" s="27">
        <f>ALL_METRICS!DE42</f>
        <v>6.4</v>
      </c>
      <c r="M42" s="28">
        <f>ALL_METRICS!DJ42</f>
        <v>0</v>
      </c>
      <c r="N42" s="48">
        <f>ALL_METRICS!EB42</f>
        <v>12.71</v>
      </c>
      <c r="O42" s="26">
        <f>ALL_METRICS!EE42</f>
        <v>4.8</v>
      </c>
      <c r="P42" s="27" t="str">
        <f>ALL_METRICS!EF42</f>
        <v>MODERATE</v>
      </c>
      <c r="Q42" s="27">
        <f>ALL_METRICS!EG42</f>
        <v>0</v>
      </c>
      <c r="R42" s="27">
        <f>ALL_METRICS!EH42</f>
        <v>2.77</v>
      </c>
      <c r="S42" s="28">
        <f>ALL_METRICS!EI42</f>
        <v>0</v>
      </c>
      <c r="T42" s="53" t="str">
        <f>ALL_METRICS!EL42</f>
        <v>peace</v>
      </c>
      <c r="U42" s="26">
        <f>ALL_METRICS!FN42</f>
        <v>0.59889999999999999</v>
      </c>
      <c r="V42" s="27">
        <f>ALL_METRICS!FO42</f>
        <v>0.77500000000000002</v>
      </c>
      <c r="W42" s="28">
        <f>ALL_METRICS!FY42</f>
        <v>0.25</v>
      </c>
      <c r="X42" s="58" t="str">
        <f>ALL_METRICS!JD42</f>
        <v>mixed spiritual posture</v>
      </c>
      <c r="Y42" s="26">
        <f>ALL_METRICS!LI42</f>
        <v>0</v>
      </c>
      <c r="Z42" s="27">
        <f>ALL_METRICS!LJ42</f>
        <v>0</v>
      </c>
      <c r="AA42" s="28">
        <f>ALL_METRICS!LK42</f>
        <v>0</v>
      </c>
      <c r="AB42" s="63">
        <f>ALL_METRICS!LL42</f>
        <v>0</v>
      </c>
      <c r="AC42" s="26">
        <f>ALL_METRICS!LX42</f>
        <v>0.47739999999999999</v>
      </c>
      <c r="AD42" s="28" t="str">
        <f>ALL_METRICS!ME42</f>
        <v>HIGH (academic)</v>
      </c>
    </row>
    <row r="43" spans="1:30" ht="18" customHeight="1" x14ac:dyDescent="0.3">
      <c r="A43" s="67" t="str">
        <f>ALL_METRICS!B43</f>
        <v>MDA-042-amish-exception-THE-CLAIM.md</v>
      </c>
      <c r="B43" s="31" t="str">
        <f>ALL_METRICS!A43</f>
        <v>P-48fe7a04f08e</v>
      </c>
      <c r="C43" s="39">
        <f>ALL_METRICS!J43</f>
        <v>996</v>
      </c>
      <c r="D43" s="29">
        <f>ALL_METRICS!L43</f>
        <v>0.52010000000000001</v>
      </c>
      <c r="E43" s="30">
        <f>ALL_METRICS!P43</f>
        <v>10.9</v>
      </c>
      <c r="F43" s="30">
        <f>ALL_METRICS!X43</f>
        <v>4.0999999999999996</v>
      </c>
      <c r="G43" s="31" t="str">
        <f>ALL_METRICS!AT43</f>
        <v>A — Evidence-Rich</v>
      </c>
      <c r="H43" s="44" t="str">
        <f>ALL_METRICS!AW43</f>
        <v>MODERATE</v>
      </c>
      <c r="I43" s="29" t="str">
        <f>ALL_METRICS!ED43</f>
        <v>F (Needs Citations)</v>
      </c>
      <c r="J43" s="30">
        <f>ALL_METRICS!CD43</f>
        <v>0</v>
      </c>
      <c r="K43" s="30">
        <f>ALL_METRICS!DC43</f>
        <v>3</v>
      </c>
      <c r="L43" s="30">
        <f>ALL_METRICS!DE43</f>
        <v>0</v>
      </c>
      <c r="M43" s="31">
        <f>ALL_METRICS!DJ43</f>
        <v>0.12</v>
      </c>
      <c r="N43" s="49">
        <f>ALL_METRICS!EB43</f>
        <v>9.26</v>
      </c>
      <c r="O43" s="29">
        <f>ALL_METRICS!EE43</f>
        <v>10</v>
      </c>
      <c r="P43" s="30" t="str">
        <f>ALL_METRICS!EF43</f>
        <v>HIGH</v>
      </c>
      <c r="Q43" s="30">
        <f>ALL_METRICS!EG43</f>
        <v>0.2</v>
      </c>
      <c r="R43" s="30">
        <f>ALL_METRICS!EH43</f>
        <v>2.0099999999999998</v>
      </c>
      <c r="S43" s="31">
        <f>ALL_METRICS!EI43</f>
        <v>0.1</v>
      </c>
      <c r="T43" s="54" t="str">
        <f>ALL_METRICS!EL43</f>
        <v>love</v>
      </c>
      <c r="U43" s="29">
        <f>ALL_METRICS!FN43</f>
        <v>0.48559999999999998</v>
      </c>
      <c r="V43" s="30">
        <f>ALL_METRICS!FO43</f>
        <v>0.77500000000000002</v>
      </c>
      <c r="W43" s="31">
        <f>ALL_METRICS!FY43</f>
        <v>0.25</v>
      </c>
      <c r="X43" s="59" t="str">
        <f>ALL_METRICS!JD43</f>
        <v>mixed spiritual posture</v>
      </c>
      <c r="Y43" s="29">
        <f>ALL_METRICS!LI43</f>
        <v>0</v>
      </c>
      <c r="Z43" s="30">
        <f>ALL_METRICS!LJ43</f>
        <v>0</v>
      </c>
      <c r="AA43" s="31">
        <f>ALL_METRICS!LK43</f>
        <v>0</v>
      </c>
      <c r="AB43" s="64">
        <f>ALL_METRICS!LL43</f>
        <v>0</v>
      </c>
      <c r="AC43" s="29">
        <f>ALL_METRICS!LX43</f>
        <v>0.70109999999999995</v>
      </c>
      <c r="AD43" s="31" t="str">
        <f>ALL_METRICS!ME43</f>
        <v>VERY HIGH (dense academic)</v>
      </c>
    </row>
    <row r="44" spans="1:30" ht="18" customHeight="1" x14ac:dyDescent="0.3">
      <c r="A44" s="66" t="str">
        <f>ALL_METRICS!B44</f>
        <v>MDA-043-amish-proof-THE-PROOF.md</v>
      </c>
      <c r="B44" s="28" t="str">
        <f>ALL_METRICS!A44</f>
        <v>P-40605d768e0a</v>
      </c>
      <c r="C44" s="38">
        <f>ALL_METRICS!J44</f>
        <v>2212</v>
      </c>
      <c r="D44" s="26">
        <f>ALL_METRICS!L44</f>
        <v>0.45519999999999999</v>
      </c>
      <c r="E44" s="27">
        <f>ALL_METRICS!P44</f>
        <v>12</v>
      </c>
      <c r="F44" s="27">
        <f>ALL_METRICS!X44</f>
        <v>4.5999999999999996</v>
      </c>
      <c r="G44" s="28" t="str">
        <f>ALL_METRICS!AT44</f>
        <v>A — Evidence-Rich</v>
      </c>
      <c r="H44" s="43" t="str">
        <f>ALL_METRICS!AW44</f>
        <v>MODERATE</v>
      </c>
      <c r="I44" s="26" t="str">
        <f>ALL_METRICS!ED44</f>
        <v>D (Light)</v>
      </c>
      <c r="J44" s="27">
        <f>ALL_METRICS!CD44</f>
        <v>4</v>
      </c>
      <c r="K44" s="27">
        <f>ALL_METRICS!DC44</f>
        <v>17</v>
      </c>
      <c r="L44" s="27">
        <f>ALL_METRICS!DE44</f>
        <v>0</v>
      </c>
      <c r="M44" s="28">
        <f>ALL_METRICS!DJ44</f>
        <v>0.08</v>
      </c>
      <c r="N44" s="48">
        <f>ALL_METRICS!EB44</f>
        <v>11.81</v>
      </c>
      <c r="O44" s="26">
        <f>ALL_METRICS!EE44</f>
        <v>5.92</v>
      </c>
      <c r="P44" s="27" t="str">
        <f>ALL_METRICS!EF44</f>
        <v>MODERATE</v>
      </c>
      <c r="Q44" s="27">
        <f>ALL_METRICS!EG44</f>
        <v>0.14000000000000001</v>
      </c>
      <c r="R44" s="27">
        <f>ALL_METRICS!EH44</f>
        <v>1.81</v>
      </c>
      <c r="S44" s="28">
        <f>ALL_METRICS!EI44</f>
        <v>7.4999999999999997E-2</v>
      </c>
      <c r="T44" s="53" t="str">
        <f>ALL_METRICS!EL44</f>
        <v>peace</v>
      </c>
      <c r="U44" s="26">
        <f>ALL_METRICS!FN44</f>
        <v>0.51780000000000004</v>
      </c>
      <c r="V44" s="27">
        <f>ALL_METRICS!FO44</f>
        <v>0.77500000000000002</v>
      </c>
      <c r="W44" s="28">
        <f>ALL_METRICS!FY44</f>
        <v>0.28889999999999999</v>
      </c>
      <c r="X44" s="58" t="str">
        <f>ALL_METRICS!JD44</f>
        <v>mixed spiritual posture</v>
      </c>
      <c r="Y44" s="26">
        <f>ALL_METRICS!LI44</f>
        <v>0</v>
      </c>
      <c r="Z44" s="27">
        <f>ALL_METRICS!LJ44</f>
        <v>0</v>
      </c>
      <c r="AA44" s="28">
        <f>ALL_METRICS!LK44</f>
        <v>0</v>
      </c>
      <c r="AB44" s="63">
        <f>ALL_METRICS!LL44</f>
        <v>0</v>
      </c>
      <c r="AC44" s="26">
        <f>ALL_METRICS!LX44</f>
        <v>0.62060000000000004</v>
      </c>
      <c r="AD44" s="28" t="str">
        <f>ALL_METRICS!ME44</f>
        <v>VERY HIGH (dense academic)</v>
      </c>
    </row>
    <row r="45" spans="1:30" ht="18" customHeight="1" x14ac:dyDescent="0.3">
      <c r="A45" s="67" t="str">
        <f>ALL_METRICS!B45</f>
        <v>MDA-044-amish-control-study-THE-METHOD.md</v>
      </c>
      <c r="B45" s="31" t="str">
        <f>ALL_METRICS!A45</f>
        <v>P-5e228b059ecf</v>
      </c>
      <c r="C45" s="39">
        <f>ALL_METRICS!J45</f>
        <v>1342</v>
      </c>
      <c r="D45" s="29">
        <f>ALL_METRICS!L45</f>
        <v>0.50070000000000003</v>
      </c>
      <c r="E45" s="30">
        <f>ALL_METRICS!P45</f>
        <v>15.8</v>
      </c>
      <c r="F45" s="30">
        <f>ALL_METRICS!X45</f>
        <v>2</v>
      </c>
      <c r="G45" s="31" t="str">
        <f>ALL_METRICS!AT45</f>
        <v>A — Evidence-Rich</v>
      </c>
      <c r="H45" s="44" t="str">
        <f>ALL_METRICS!AW45</f>
        <v>MODERATE</v>
      </c>
      <c r="I45" s="29" t="str">
        <f>ALL_METRICS!ED45</f>
        <v>F (Needs Citations)</v>
      </c>
      <c r="J45" s="30">
        <f>ALL_METRICS!CD45</f>
        <v>0</v>
      </c>
      <c r="K45" s="30">
        <f>ALL_METRICS!DC45</f>
        <v>16</v>
      </c>
      <c r="L45" s="30">
        <f>ALL_METRICS!DE45</f>
        <v>0</v>
      </c>
      <c r="M45" s="31">
        <f>ALL_METRICS!DJ45</f>
        <v>0.14000000000000001</v>
      </c>
      <c r="N45" s="49">
        <f>ALL_METRICS!EB45</f>
        <v>12.14</v>
      </c>
      <c r="O45" s="29">
        <f>ALL_METRICS!EE45</f>
        <v>3.8</v>
      </c>
      <c r="P45" s="30" t="str">
        <f>ALL_METRICS!EF45</f>
        <v>WEAK</v>
      </c>
      <c r="Q45" s="30">
        <f>ALL_METRICS!EG45</f>
        <v>7.0000000000000007E-2</v>
      </c>
      <c r="R45" s="30">
        <f>ALL_METRICS!EH45</f>
        <v>2.0099999999999998</v>
      </c>
      <c r="S45" s="31">
        <f>ALL_METRICS!EI45</f>
        <v>3.6999999999999998E-2</v>
      </c>
      <c r="T45" s="54" t="str">
        <f>ALL_METRICS!EL45</f>
        <v>peace</v>
      </c>
      <c r="U45" s="29">
        <f>ALL_METRICS!FN45</f>
        <v>0.53249999999999997</v>
      </c>
      <c r="V45" s="30">
        <f>ALL_METRICS!FO45</f>
        <v>0.77500000000000002</v>
      </c>
      <c r="W45" s="31">
        <f>ALL_METRICS!FY45</f>
        <v>0.2923</v>
      </c>
      <c r="X45" s="59" t="str">
        <f>ALL_METRICS!JD45</f>
        <v>mixed spiritual posture; underlying threat structure</v>
      </c>
      <c r="Y45" s="29">
        <f>ALL_METRICS!LI45</f>
        <v>0</v>
      </c>
      <c r="Z45" s="30">
        <f>ALL_METRICS!LJ45</f>
        <v>0</v>
      </c>
      <c r="AA45" s="31">
        <f>ALL_METRICS!LK45</f>
        <v>0</v>
      </c>
      <c r="AB45" s="64">
        <f>ALL_METRICS!LL45</f>
        <v>0</v>
      </c>
      <c r="AC45" s="29">
        <f>ALL_METRICS!LX45</f>
        <v>0.51480000000000004</v>
      </c>
      <c r="AD45" s="31" t="str">
        <f>ALL_METRICS!ME45</f>
        <v>HIGH (academic)</v>
      </c>
    </row>
    <row r="46" spans="1:30" ht="18" customHeight="1" x14ac:dyDescent="0.3">
      <c r="A46" s="66" t="str">
        <f>ALL_METRICS!B46</f>
        <v>MDA-045-amish-control-group-THE-DATA.md</v>
      </c>
      <c r="B46" s="28" t="str">
        <f>ALL_METRICS!A46</f>
        <v>P-80481f19301b</v>
      </c>
      <c r="C46" s="38">
        <f>ALL_METRICS!J46</f>
        <v>3343</v>
      </c>
      <c r="D46" s="26">
        <f>ALL_METRICS!L46</f>
        <v>0.42599999999999999</v>
      </c>
      <c r="E46" s="27">
        <f>ALL_METRICS!P46</f>
        <v>13.8</v>
      </c>
      <c r="F46" s="27">
        <f>ALL_METRICS!X46</f>
        <v>4.5999999999999996</v>
      </c>
      <c r="G46" s="28" t="str">
        <f>ALL_METRICS!AT46</f>
        <v>A — Evidence-Rich</v>
      </c>
      <c r="H46" s="43" t="str">
        <f>ALL_METRICS!AW46</f>
        <v>MODERATE</v>
      </c>
      <c r="I46" s="26" t="str">
        <f>ALL_METRICS!ED46</f>
        <v>C (Moderate)</v>
      </c>
      <c r="J46" s="27">
        <f>ALL_METRICS!CD46</f>
        <v>10</v>
      </c>
      <c r="K46" s="27">
        <f>ALL_METRICS!DC46</f>
        <v>42</v>
      </c>
      <c r="L46" s="27">
        <f>ALL_METRICS!DE46</f>
        <v>0.3</v>
      </c>
      <c r="M46" s="28">
        <f>ALL_METRICS!DJ46</f>
        <v>1.6</v>
      </c>
      <c r="N46" s="48">
        <f>ALL_METRICS!EB46</f>
        <v>13.36</v>
      </c>
      <c r="O46" s="26">
        <f>ALL_METRICS!EE46</f>
        <v>3.82</v>
      </c>
      <c r="P46" s="27" t="str">
        <f>ALL_METRICS!EF46</f>
        <v>WEAK</v>
      </c>
      <c r="Q46" s="27">
        <f>ALL_METRICS!EG46</f>
        <v>0.12</v>
      </c>
      <c r="R46" s="27">
        <f>ALL_METRICS!EH46</f>
        <v>1.1399999999999999</v>
      </c>
      <c r="S46" s="28">
        <f>ALL_METRICS!EI46</f>
        <v>0.105</v>
      </c>
      <c r="T46" s="53" t="str">
        <f>ALL_METRICS!EL46</f>
        <v>love</v>
      </c>
      <c r="U46" s="26">
        <f>ALL_METRICS!FN46</f>
        <v>0.58599999999999997</v>
      </c>
      <c r="V46" s="27">
        <f>ALL_METRICS!FO46</f>
        <v>0.77500000000000002</v>
      </c>
      <c r="W46" s="28">
        <f>ALL_METRICS!FY46</f>
        <v>0.2681</v>
      </c>
      <c r="X46" s="58" t="str">
        <f>ALL_METRICS!JD46</f>
        <v>mixed spiritual posture</v>
      </c>
      <c r="Y46" s="26">
        <f>ALL_METRICS!LI46</f>
        <v>0</v>
      </c>
      <c r="Z46" s="27">
        <f>ALL_METRICS!LJ46</f>
        <v>0</v>
      </c>
      <c r="AA46" s="28">
        <f>ALL_METRICS!LK46</f>
        <v>0</v>
      </c>
      <c r="AB46" s="63">
        <f>ALL_METRICS!LL46</f>
        <v>0</v>
      </c>
      <c r="AC46" s="26">
        <f>ALL_METRICS!LX46</f>
        <v>0.5827</v>
      </c>
      <c r="AD46" s="28" t="str">
        <f>ALL_METRICS!ME46</f>
        <v>VERY HIGH (dense academic)</v>
      </c>
    </row>
    <row r="47" spans="1:30" ht="18" customHeight="1" x14ac:dyDescent="0.3">
      <c r="A47" s="67" t="str">
        <f>ALL_METRICS!B47</f>
        <v>MDA-046-amish-demographics-THE-NUMBERS.md</v>
      </c>
      <c r="B47" s="31" t="str">
        <f>ALL_METRICS!A47</f>
        <v>P-390744b8d828</v>
      </c>
      <c r="C47" s="39">
        <f>ALL_METRICS!J47</f>
        <v>2351</v>
      </c>
      <c r="D47" s="29">
        <f>ALL_METRICS!L47</f>
        <v>0.4556</v>
      </c>
      <c r="E47" s="30">
        <f>ALL_METRICS!P47</f>
        <v>17.899999999999999</v>
      </c>
      <c r="F47" s="30">
        <f>ALL_METRICS!X47</f>
        <v>3.4</v>
      </c>
      <c r="G47" s="31" t="str">
        <f>ALL_METRICS!AT47</f>
        <v>A — Evidence-Rich</v>
      </c>
      <c r="H47" s="44" t="str">
        <f>ALL_METRICS!AW47</f>
        <v>MODERATE</v>
      </c>
      <c r="I47" s="29" t="str">
        <f>ALL_METRICS!ED47</f>
        <v>D (Light)</v>
      </c>
      <c r="J47" s="30">
        <f>ALL_METRICS!CD47</f>
        <v>0</v>
      </c>
      <c r="K47" s="30">
        <f>ALL_METRICS!DC47</f>
        <v>15</v>
      </c>
      <c r="L47" s="30">
        <f>ALL_METRICS!DE47</f>
        <v>0</v>
      </c>
      <c r="M47" s="31">
        <f>ALL_METRICS!DJ47</f>
        <v>1.25</v>
      </c>
      <c r="N47" s="49">
        <f>ALL_METRICS!EB47</f>
        <v>9.81</v>
      </c>
      <c r="O47" s="29">
        <f>ALL_METRICS!EE47</f>
        <v>1.08</v>
      </c>
      <c r="P47" s="30" t="str">
        <f>ALL_METRICS!EF47</f>
        <v>WEAK</v>
      </c>
      <c r="Q47" s="30">
        <f>ALL_METRICS!EG47</f>
        <v>0.04</v>
      </c>
      <c r="R47" s="30">
        <f>ALL_METRICS!EH47</f>
        <v>0.94</v>
      </c>
      <c r="S47" s="31">
        <f>ALL_METRICS!EI47</f>
        <v>4.4999999999999998E-2</v>
      </c>
      <c r="T47" s="54" t="str">
        <f>ALL_METRICS!EL47</f>
        <v>peace</v>
      </c>
      <c r="U47" s="29">
        <f>ALL_METRICS!FN47</f>
        <v>0.61229999999999996</v>
      </c>
      <c r="V47" s="30">
        <f>ALL_METRICS!FO47</f>
        <v>0.77500000000000002</v>
      </c>
      <c r="W47" s="31">
        <f>ALL_METRICS!FY47</f>
        <v>0.25619999999999998</v>
      </c>
      <c r="X47" s="59" t="str">
        <f>ALL_METRICS!JD47</f>
        <v>mixed spiritual posture</v>
      </c>
      <c r="Y47" s="29">
        <f>ALL_METRICS!LI47</f>
        <v>0</v>
      </c>
      <c r="Z47" s="30">
        <f>ALL_METRICS!LJ47</f>
        <v>0</v>
      </c>
      <c r="AA47" s="31">
        <f>ALL_METRICS!LK47</f>
        <v>0</v>
      </c>
      <c r="AB47" s="64">
        <f>ALL_METRICS!LL47</f>
        <v>0</v>
      </c>
      <c r="AC47" s="29">
        <f>ALL_METRICS!LX47</f>
        <v>0.54479999999999995</v>
      </c>
      <c r="AD47" s="31" t="str">
        <f>ALL_METRICS!ME47</f>
        <v>HIGH (academic)</v>
      </c>
    </row>
    <row r="48" spans="1:30" ht="18" customHeight="1" x14ac:dyDescent="0.3">
      <c r="A48" s="66" t="str">
        <f>ALL_METRICS!B48</f>
        <v>MDA-047-amish-tech-filter-THE-FILTER.md</v>
      </c>
      <c r="B48" s="28" t="str">
        <f>ALL_METRICS!A48</f>
        <v>P-79a70eee1027</v>
      </c>
      <c r="C48" s="38">
        <f>ALL_METRICS!J48</f>
        <v>2118</v>
      </c>
      <c r="D48" s="26">
        <f>ALL_METRICS!L48</f>
        <v>0.42399999999999999</v>
      </c>
      <c r="E48" s="27">
        <f>ALL_METRICS!P48</f>
        <v>15.3</v>
      </c>
      <c r="F48" s="27">
        <f>ALL_METRICS!X48</f>
        <v>3.8</v>
      </c>
      <c r="G48" s="28" t="str">
        <f>ALL_METRICS!AT48</f>
        <v>A — Evidence-Rich</v>
      </c>
      <c r="H48" s="43" t="str">
        <f>ALL_METRICS!AW48</f>
        <v>HIGH</v>
      </c>
      <c r="I48" s="26" t="str">
        <f>ALL_METRICS!ED48</f>
        <v>F (Needs Citations)</v>
      </c>
      <c r="J48" s="27">
        <f>ALL_METRICS!CD48</f>
        <v>0</v>
      </c>
      <c r="K48" s="27">
        <f>ALL_METRICS!DC48</f>
        <v>14</v>
      </c>
      <c r="L48" s="27">
        <f>ALL_METRICS!DE48</f>
        <v>0.47</v>
      </c>
      <c r="M48" s="28">
        <f>ALL_METRICS!DJ48</f>
        <v>0.56000000000000005</v>
      </c>
      <c r="N48" s="48">
        <f>ALL_METRICS!EB48</f>
        <v>10.14</v>
      </c>
      <c r="O48" s="26">
        <f>ALL_METRICS!EE48</f>
        <v>4.29</v>
      </c>
      <c r="P48" s="27" t="str">
        <f>ALL_METRICS!EF48</f>
        <v>MODERATE</v>
      </c>
      <c r="Q48" s="27">
        <f>ALL_METRICS!EG48</f>
        <v>0.09</v>
      </c>
      <c r="R48" s="27">
        <f>ALL_METRICS!EH48</f>
        <v>1.56</v>
      </c>
      <c r="S48" s="28">
        <f>ALL_METRICS!EI48</f>
        <v>6.0999999999999999E-2</v>
      </c>
      <c r="T48" s="53" t="str">
        <f>ALL_METRICS!EL48</f>
        <v>love</v>
      </c>
      <c r="U48" s="26">
        <f>ALL_METRICS!FN48</f>
        <v>0.49709999999999999</v>
      </c>
      <c r="V48" s="27">
        <f>ALL_METRICS!FO48</f>
        <v>0.77500000000000002</v>
      </c>
      <c r="W48" s="28">
        <f>ALL_METRICS!FY48</f>
        <v>0.27279999999999999</v>
      </c>
      <c r="X48" s="58" t="str">
        <f>ALL_METRICS!JD48</f>
        <v>mixed spiritual posture</v>
      </c>
      <c r="Y48" s="26">
        <f>ALL_METRICS!LI48</f>
        <v>0</v>
      </c>
      <c r="Z48" s="27">
        <f>ALL_METRICS!LJ48</f>
        <v>0</v>
      </c>
      <c r="AA48" s="28">
        <f>ALL_METRICS!LK48</f>
        <v>0</v>
      </c>
      <c r="AB48" s="63">
        <f>ALL_METRICS!LL48</f>
        <v>0</v>
      </c>
      <c r="AC48" s="26">
        <f>ALL_METRICS!LX48</f>
        <v>0.54100000000000004</v>
      </c>
      <c r="AD48" s="28" t="str">
        <f>ALL_METRICS!ME48</f>
        <v>HIGH (academic)</v>
      </c>
    </row>
    <row r="49" spans="1:30" ht="18" customHeight="1" x14ac:dyDescent="0.3">
      <c r="A49" s="67" t="str">
        <f>ALL_METRICS!B49</f>
        <v>MDA-048-ordnung-algorithm-THE-MECHANISM.md</v>
      </c>
      <c r="B49" s="31" t="str">
        <f>ALL_METRICS!A49</f>
        <v>P-16aca2ff116f</v>
      </c>
      <c r="C49" s="39">
        <f>ALL_METRICS!J49</f>
        <v>4475</v>
      </c>
      <c r="D49" s="29">
        <f>ALL_METRICS!L49</f>
        <v>0.31730000000000003</v>
      </c>
      <c r="E49" s="30">
        <f>ALL_METRICS!P49</f>
        <v>16.899999999999999</v>
      </c>
      <c r="F49" s="30">
        <f>ALL_METRICS!X49</f>
        <v>6.2</v>
      </c>
      <c r="G49" s="31" t="str">
        <f>ALL_METRICS!AT49</f>
        <v>A — Evidence-Rich</v>
      </c>
      <c r="H49" s="44" t="str">
        <f>ALL_METRICS!AW49</f>
        <v>MODERATE</v>
      </c>
      <c r="I49" s="29" t="str">
        <f>ALL_METRICS!ED49</f>
        <v>B (Strong)</v>
      </c>
      <c r="J49" s="30">
        <f>ALL_METRICS!CD49</f>
        <v>20</v>
      </c>
      <c r="K49" s="30">
        <f>ALL_METRICS!DC49</f>
        <v>5.4</v>
      </c>
      <c r="L49" s="30">
        <f>ALL_METRICS!DE49</f>
        <v>0.67</v>
      </c>
      <c r="M49" s="31">
        <f>ALL_METRICS!DJ49</f>
        <v>0.37</v>
      </c>
      <c r="N49" s="49">
        <f>ALL_METRICS!EB49</f>
        <v>20.69</v>
      </c>
      <c r="O49" s="29">
        <f>ALL_METRICS!EE49</f>
        <v>4.5599999999999996</v>
      </c>
      <c r="P49" s="30" t="str">
        <f>ALL_METRICS!EF49</f>
        <v>MODERATE</v>
      </c>
      <c r="Q49" s="30">
        <f>ALL_METRICS!EG49</f>
        <v>0.02</v>
      </c>
      <c r="R49" s="30">
        <f>ALL_METRICS!EH49</f>
        <v>1.03</v>
      </c>
      <c r="S49" s="31">
        <f>ALL_METRICS!EI49</f>
        <v>2.1999999999999999E-2</v>
      </c>
      <c r="T49" s="54" t="str">
        <f>ALL_METRICS!EL49</f>
        <v>peace</v>
      </c>
      <c r="U49" s="29">
        <f>ALL_METRICS!FN49</f>
        <v>0.59930000000000005</v>
      </c>
      <c r="V49" s="30">
        <f>ALL_METRICS!FO49</f>
        <v>0.77500000000000002</v>
      </c>
      <c r="W49" s="31">
        <f>ALL_METRICS!FY49</f>
        <v>0.27039999999999997</v>
      </c>
      <c r="X49" s="59" t="str">
        <f>ALL_METRICS!JD49</f>
        <v>mixed spiritual posture</v>
      </c>
      <c r="Y49" s="29">
        <f>ALL_METRICS!LI49</f>
        <v>0</v>
      </c>
      <c r="Z49" s="30">
        <f>ALL_METRICS!LJ49</f>
        <v>0</v>
      </c>
      <c r="AA49" s="31">
        <f>ALL_METRICS!LK49</f>
        <v>0</v>
      </c>
      <c r="AB49" s="64">
        <f>ALL_METRICS!LL49</f>
        <v>0</v>
      </c>
      <c r="AC49" s="29">
        <f>ALL_METRICS!LX49</f>
        <v>0.50249999999999995</v>
      </c>
      <c r="AD49" s="31" t="str">
        <f>ALL_METRICS!ME49</f>
        <v>HIGH (academic)</v>
      </c>
    </row>
    <row r="50" spans="1:30" ht="18" customHeight="1" x14ac:dyDescent="0.3">
      <c r="A50" s="66" t="str">
        <f>ALL_METRICS!B50</f>
        <v>MDA-049-coherence-factory-THE-SYNTHESIS.md</v>
      </c>
      <c r="B50" s="28" t="str">
        <f>ALL_METRICS!A50</f>
        <v>P-438e249e11ed</v>
      </c>
      <c r="C50" s="38">
        <f>ALL_METRICS!J50</f>
        <v>1787</v>
      </c>
      <c r="D50" s="26">
        <f>ALL_METRICS!L50</f>
        <v>0.40789999999999998</v>
      </c>
      <c r="E50" s="27">
        <f>ALL_METRICS!P50</f>
        <v>15.1</v>
      </c>
      <c r="F50" s="27">
        <f>ALL_METRICS!X50</f>
        <v>5.3</v>
      </c>
      <c r="G50" s="28" t="str">
        <f>ALL_METRICS!AT50</f>
        <v>A — Evidence-Rich</v>
      </c>
      <c r="H50" s="43" t="str">
        <f>ALL_METRICS!AW50</f>
        <v>MODERATE</v>
      </c>
      <c r="I50" s="26" t="str">
        <f>ALL_METRICS!ED50</f>
        <v>F (Needs Citations)</v>
      </c>
      <c r="J50" s="27">
        <f>ALL_METRICS!CD50</f>
        <v>0</v>
      </c>
      <c r="K50" s="27">
        <f>ALL_METRICS!DC50</f>
        <v>3.5</v>
      </c>
      <c r="L50" s="27">
        <f>ALL_METRICS!DE50</f>
        <v>0</v>
      </c>
      <c r="M50" s="28">
        <f>ALL_METRICS!DJ50</f>
        <v>0</v>
      </c>
      <c r="N50" s="48">
        <f>ALL_METRICS!EB50</f>
        <v>9.76</v>
      </c>
      <c r="O50" s="26">
        <f>ALL_METRICS!EE50</f>
        <v>4.8899999999999997</v>
      </c>
      <c r="P50" s="27" t="str">
        <f>ALL_METRICS!EF50</f>
        <v>MODERATE</v>
      </c>
      <c r="Q50" s="27">
        <f>ALL_METRICS!EG50</f>
        <v>0</v>
      </c>
      <c r="R50" s="27">
        <f>ALL_METRICS!EH50</f>
        <v>1.45</v>
      </c>
      <c r="S50" s="28">
        <f>ALL_METRICS!EI50</f>
        <v>0</v>
      </c>
      <c r="T50" s="53" t="str">
        <f>ALL_METRICS!EL50</f>
        <v>peace</v>
      </c>
      <c r="U50" s="26">
        <f>ALL_METRICS!FN50</f>
        <v>0.52990000000000004</v>
      </c>
      <c r="V50" s="27">
        <f>ALL_METRICS!FO50</f>
        <v>0.77500000000000002</v>
      </c>
      <c r="W50" s="28">
        <f>ALL_METRICS!FY50</f>
        <v>0.26590000000000003</v>
      </c>
      <c r="X50" s="58" t="str">
        <f>ALL_METRICS!JD50</f>
        <v>mixed spiritual posture</v>
      </c>
      <c r="Y50" s="26">
        <f>ALL_METRICS!LI50</f>
        <v>0</v>
      </c>
      <c r="Z50" s="27">
        <f>ALL_METRICS!LJ50</f>
        <v>0</v>
      </c>
      <c r="AA50" s="28">
        <f>ALL_METRICS!LK50</f>
        <v>0</v>
      </c>
      <c r="AB50" s="63">
        <f>ALL_METRICS!LL50</f>
        <v>0</v>
      </c>
      <c r="AC50" s="26">
        <f>ALL_METRICS!LX50</f>
        <v>0.48270000000000002</v>
      </c>
      <c r="AD50" s="28" t="str">
        <f>ALL_METRICS!ME50</f>
        <v>HIGH (academic)</v>
      </c>
    </row>
    <row r="51" spans="1:30" ht="18" customHeight="1" x14ac:dyDescent="0.3">
      <c r="A51" s="67" t="str">
        <f>ALL_METRICS!B51</f>
        <v>MDA-050-jacob-2025.md</v>
      </c>
      <c r="B51" s="31" t="str">
        <f>ALL_METRICS!A51</f>
        <v>P-5ddcd33335f1</v>
      </c>
      <c r="C51" s="39">
        <f>ALL_METRICS!J51</f>
        <v>4456</v>
      </c>
      <c r="D51" s="29">
        <f>ALL_METRICS!L51</f>
        <v>0.25109999999999999</v>
      </c>
      <c r="E51" s="30">
        <f>ALL_METRICS!P51</f>
        <v>10.6</v>
      </c>
      <c r="F51" s="30">
        <f>ALL_METRICS!X51</f>
        <v>2.5</v>
      </c>
      <c r="G51" s="31" t="str">
        <f>ALL_METRICS!AT51</f>
        <v>A — Evidence-Rich</v>
      </c>
      <c r="H51" s="44" t="str">
        <f>ALL_METRICS!AW51</f>
        <v>HIGH</v>
      </c>
      <c r="I51" s="29" t="str">
        <f>ALL_METRICS!ED51</f>
        <v>F (Needs Citations)</v>
      </c>
      <c r="J51" s="30">
        <f>ALL_METRICS!CD51</f>
        <v>0</v>
      </c>
      <c r="K51" s="30">
        <f>ALL_METRICS!DC51</f>
        <v>4</v>
      </c>
      <c r="L51" s="30">
        <f>ALL_METRICS!DE51</f>
        <v>0</v>
      </c>
      <c r="M51" s="31">
        <f>ALL_METRICS!DJ51</f>
        <v>0.21</v>
      </c>
      <c r="N51" s="49">
        <f>ALL_METRICS!EB51</f>
        <v>14.53</v>
      </c>
      <c r="O51" s="29">
        <f>ALL_METRICS!EE51</f>
        <v>1.18</v>
      </c>
      <c r="P51" s="30" t="str">
        <f>ALL_METRICS!EF51</f>
        <v>WEAK</v>
      </c>
      <c r="Q51" s="30">
        <f>ALL_METRICS!EG51</f>
        <v>0.27</v>
      </c>
      <c r="R51" s="30">
        <f>ALL_METRICS!EH51</f>
        <v>0.34</v>
      </c>
      <c r="S51" s="31">
        <f>ALL_METRICS!EI51</f>
        <v>0.8</v>
      </c>
      <c r="T51" s="54" t="str">
        <f>ALL_METRICS!EL51</f>
        <v>goodness</v>
      </c>
      <c r="U51" s="29">
        <f>ALL_METRICS!FN51</f>
        <v>0.48880000000000001</v>
      </c>
      <c r="V51" s="30">
        <f>ALL_METRICS!FO51</f>
        <v>0.77500000000000002</v>
      </c>
      <c r="W51" s="31">
        <f>ALL_METRICS!FY51</f>
        <v>0.32529999999999998</v>
      </c>
      <c r="X51" s="59" t="str">
        <f>ALL_METRICS!JD51</f>
        <v>technically strong, spiritually ordered</v>
      </c>
      <c r="Y51" s="29">
        <f>ALL_METRICS!LI51</f>
        <v>0</v>
      </c>
      <c r="Z51" s="30">
        <f>ALL_METRICS!LJ51</f>
        <v>0</v>
      </c>
      <c r="AA51" s="31">
        <f>ALL_METRICS!LK51</f>
        <v>0</v>
      </c>
      <c r="AB51" s="64">
        <f>ALL_METRICS!LL51</f>
        <v>0</v>
      </c>
      <c r="AC51" s="29">
        <f>ALL_METRICS!LX51</f>
        <v>0.47289999999999999</v>
      </c>
      <c r="AD51" s="31" t="str">
        <f>ALL_METRICS!ME51</f>
        <v>HIGH (academic)</v>
      </c>
    </row>
    <row r="52" spans="1:30" ht="18" customHeight="1" x14ac:dyDescent="0.3">
      <c r="A52" s="66" t="str">
        <f>ALL_METRICS!B52</f>
        <v>MDA-051-korea-experiment.md</v>
      </c>
      <c r="B52" s="28" t="str">
        <f>ALL_METRICS!A52</f>
        <v>P-90908773a681</v>
      </c>
      <c r="C52" s="38">
        <f>ALL_METRICS!J52</f>
        <v>962</v>
      </c>
      <c r="D52" s="26">
        <f>ALL_METRICS!L52</f>
        <v>0.4844</v>
      </c>
      <c r="E52" s="27">
        <f>ALL_METRICS!P52</f>
        <v>18.2</v>
      </c>
      <c r="F52" s="27">
        <f>ALL_METRICS!X52</f>
        <v>4.4000000000000004</v>
      </c>
      <c r="G52" s="28" t="str">
        <f>ALL_METRICS!AT52</f>
        <v>A — Evidence-Rich</v>
      </c>
      <c r="H52" s="43" t="str">
        <f>ALL_METRICS!AW52</f>
        <v>HIGH</v>
      </c>
      <c r="I52" s="26" t="str">
        <f>ALL_METRICS!ED52</f>
        <v>F (Needs Citations)</v>
      </c>
      <c r="J52" s="27">
        <f>ALL_METRICS!CD52</f>
        <v>0</v>
      </c>
      <c r="K52" s="27">
        <f>ALL_METRICS!DC52</f>
        <v>16</v>
      </c>
      <c r="L52" s="27">
        <f>ALL_METRICS!DE52</f>
        <v>0</v>
      </c>
      <c r="M52" s="28">
        <f>ALL_METRICS!DJ52</f>
        <v>0</v>
      </c>
      <c r="N52" s="48">
        <f>ALL_METRICS!EB52</f>
        <v>8.43</v>
      </c>
      <c r="O52" s="26">
        <f>ALL_METRICS!EE52</f>
        <v>8.52</v>
      </c>
      <c r="P52" s="27" t="str">
        <f>ALL_METRICS!EF52</f>
        <v>HIGH</v>
      </c>
      <c r="Q52" s="27">
        <f>ALL_METRICS!EG52</f>
        <v>0.93</v>
      </c>
      <c r="R52" s="27">
        <f>ALL_METRICS!EH52</f>
        <v>3.22</v>
      </c>
      <c r="S52" s="28">
        <f>ALL_METRICS!EI52</f>
        <v>0.28999999999999998</v>
      </c>
      <c r="T52" s="53" t="str">
        <f>ALL_METRICS!EL52</f>
        <v>grace</v>
      </c>
      <c r="U52" s="26">
        <f>ALL_METRICS!FN52</f>
        <v>0.57509999999999994</v>
      </c>
      <c r="V52" s="27">
        <f>ALL_METRICS!FO52</f>
        <v>0.77500000000000002</v>
      </c>
      <c r="W52" s="28">
        <f>ALL_METRICS!FY52</f>
        <v>0.27050000000000002</v>
      </c>
      <c r="X52" s="58" t="str">
        <f>ALL_METRICS!JD52</f>
        <v>agitated or reactionary; disciplined</v>
      </c>
      <c r="Y52" s="26">
        <f>ALL_METRICS!LI52</f>
        <v>0</v>
      </c>
      <c r="Z52" s="27">
        <f>ALL_METRICS!LJ52</f>
        <v>0</v>
      </c>
      <c r="AA52" s="28">
        <f>ALL_METRICS!LK52</f>
        <v>0</v>
      </c>
      <c r="AB52" s="63">
        <f>ALL_METRICS!LL52</f>
        <v>0</v>
      </c>
      <c r="AC52" s="26">
        <f>ALL_METRICS!LX52</f>
        <v>0.60929999999999995</v>
      </c>
      <c r="AD52" s="28" t="str">
        <f>ALL_METRICS!ME52</f>
        <v>VERY HIGH (dense academic)</v>
      </c>
    </row>
    <row r="53" spans="1:30" ht="18" customHeight="1" x14ac:dyDescent="0.3">
      <c r="A53" s="67" t="str">
        <f>ALL_METRICS!B53</f>
        <v>MDA-052-individual-recovery.md</v>
      </c>
      <c r="B53" s="31" t="str">
        <f>ALL_METRICS!A53</f>
        <v>P-6283b3ce83ad</v>
      </c>
      <c r="C53" s="39">
        <f>ALL_METRICS!J53</f>
        <v>1035</v>
      </c>
      <c r="D53" s="29">
        <f>ALL_METRICS!L53</f>
        <v>0.49659999999999999</v>
      </c>
      <c r="E53" s="30">
        <f>ALL_METRICS!P53</f>
        <v>15.2</v>
      </c>
      <c r="F53" s="30">
        <f>ALL_METRICS!X53</f>
        <v>2.5</v>
      </c>
      <c r="G53" s="31" t="str">
        <f>ALL_METRICS!AT53</f>
        <v>A — Evidence-Rich</v>
      </c>
      <c r="H53" s="44" t="str">
        <f>ALL_METRICS!AW53</f>
        <v>MODERATE</v>
      </c>
      <c r="I53" s="29" t="str">
        <f>ALL_METRICS!ED53</f>
        <v>F (Needs Citations)</v>
      </c>
      <c r="J53" s="30">
        <f>ALL_METRICS!CD53</f>
        <v>0</v>
      </c>
      <c r="K53" s="30">
        <f>ALL_METRICS!DC53</f>
        <v>6</v>
      </c>
      <c r="L53" s="30">
        <f>ALL_METRICS!DE53</f>
        <v>0</v>
      </c>
      <c r="M53" s="31">
        <f>ALL_METRICS!DJ53</f>
        <v>0.44</v>
      </c>
      <c r="N53" s="49">
        <f>ALL_METRICS!EB53</f>
        <v>8.43</v>
      </c>
      <c r="O53" s="29">
        <f>ALL_METRICS!EE53</f>
        <v>6.95</v>
      </c>
      <c r="P53" s="30" t="str">
        <f>ALL_METRICS!EF53</f>
        <v>STRONG</v>
      </c>
      <c r="Q53" s="30">
        <f>ALL_METRICS!EG53</f>
        <v>0.68</v>
      </c>
      <c r="R53" s="30">
        <f>ALL_METRICS!EH53</f>
        <v>1.64</v>
      </c>
      <c r="S53" s="31">
        <f>ALL_METRICS!EI53</f>
        <v>0.41199999999999998</v>
      </c>
      <c r="T53" s="54" t="str">
        <f>ALL_METRICS!EL53</f>
        <v>peace</v>
      </c>
      <c r="U53" s="29">
        <f>ALL_METRICS!FN53</f>
        <v>0.46910000000000002</v>
      </c>
      <c r="V53" s="30">
        <f>ALL_METRICS!FO53</f>
        <v>0.77500000000000002</v>
      </c>
      <c r="W53" s="31">
        <f>ALL_METRICS!FY53</f>
        <v>0.2777</v>
      </c>
      <c r="X53" s="59" t="str">
        <f>ALL_METRICS!JD53</f>
        <v>disciplined</v>
      </c>
      <c r="Y53" s="29">
        <f>ALL_METRICS!LI53</f>
        <v>0</v>
      </c>
      <c r="Z53" s="30">
        <f>ALL_METRICS!LJ53</f>
        <v>0</v>
      </c>
      <c r="AA53" s="31">
        <f>ALL_METRICS!LK53</f>
        <v>0</v>
      </c>
      <c r="AB53" s="64">
        <f>ALL_METRICS!LL53</f>
        <v>0</v>
      </c>
      <c r="AC53" s="29">
        <f>ALL_METRICS!LX53</f>
        <v>0.57569999999999999</v>
      </c>
      <c r="AD53" s="31" t="str">
        <f>ALL_METRICS!ME53</f>
        <v>VERY HIGH (dense academic)</v>
      </c>
    </row>
    <row r="54" spans="1:30" ht="18" customHeight="1" x14ac:dyDescent="0.3">
      <c r="A54" s="66" t="str">
        <f>ALL_METRICS!B54</f>
        <v>MDA-053-the-question.md</v>
      </c>
      <c r="B54" s="28" t="str">
        <f>ALL_METRICS!A54</f>
        <v>P-9a1a625d0214</v>
      </c>
      <c r="C54" s="38">
        <f>ALL_METRICS!J54</f>
        <v>1328</v>
      </c>
      <c r="D54" s="26">
        <f>ALL_METRICS!L54</f>
        <v>0.36370000000000002</v>
      </c>
      <c r="E54" s="27">
        <f>ALL_METRICS!P54</f>
        <v>11.8</v>
      </c>
      <c r="F54" s="27">
        <f>ALL_METRICS!X54</f>
        <v>5.2</v>
      </c>
      <c r="G54" s="28" t="str">
        <f>ALL_METRICS!AT54</f>
        <v>A — Evidence-Rich</v>
      </c>
      <c r="H54" s="43" t="str">
        <f>ALL_METRICS!AW54</f>
        <v>MODERATE</v>
      </c>
      <c r="I54" s="26" t="str">
        <f>ALL_METRICS!ED54</f>
        <v>F (Needs Citations)</v>
      </c>
      <c r="J54" s="27">
        <f>ALL_METRICS!CD54</f>
        <v>0</v>
      </c>
      <c r="K54" s="27">
        <f>ALL_METRICS!DC54</f>
        <v>13</v>
      </c>
      <c r="L54" s="27">
        <f>ALL_METRICS!DE54</f>
        <v>0.75</v>
      </c>
      <c r="M54" s="28">
        <f>ALL_METRICS!DJ54</f>
        <v>0.23</v>
      </c>
      <c r="N54" s="48">
        <f>ALL_METRICS!EB54</f>
        <v>9.6</v>
      </c>
      <c r="O54" s="26">
        <f>ALL_METRICS!EE54</f>
        <v>7.83</v>
      </c>
      <c r="P54" s="27" t="str">
        <f>ALL_METRICS!EF54</f>
        <v>STRONG</v>
      </c>
      <c r="Q54" s="27">
        <f>ALL_METRICS!EG54</f>
        <v>0.6</v>
      </c>
      <c r="R54" s="27">
        <f>ALL_METRICS!EH54</f>
        <v>2.0299999999999998</v>
      </c>
      <c r="S54" s="28">
        <f>ALL_METRICS!EI54</f>
        <v>0.29599999999999999</v>
      </c>
      <c r="T54" s="53" t="str">
        <f>ALL_METRICS!EL54</f>
        <v>peace</v>
      </c>
      <c r="U54" s="26">
        <f>ALL_METRICS!FN54</f>
        <v>0.4723</v>
      </c>
      <c r="V54" s="27">
        <f>ALL_METRICS!FO54</f>
        <v>0.77500000000000002</v>
      </c>
      <c r="W54" s="28">
        <f>ALL_METRICS!FY54</f>
        <v>0.26119999999999999</v>
      </c>
      <c r="X54" s="58" t="str">
        <f>ALL_METRICS!JD54</f>
        <v>mixed spiritual posture</v>
      </c>
      <c r="Y54" s="26">
        <f>ALL_METRICS!LI54</f>
        <v>0</v>
      </c>
      <c r="Z54" s="27">
        <f>ALL_METRICS!LJ54</f>
        <v>0</v>
      </c>
      <c r="AA54" s="28">
        <f>ALL_METRICS!LK54</f>
        <v>0</v>
      </c>
      <c r="AB54" s="63">
        <f>ALL_METRICS!LL54</f>
        <v>0</v>
      </c>
      <c r="AC54" s="26">
        <f>ALL_METRICS!LX54</f>
        <v>0.58640000000000003</v>
      </c>
      <c r="AD54" s="28" t="str">
        <f>ALL_METRICS!ME54</f>
        <v>VERY HIGH (dense academic)</v>
      </c>
    </row>
    <row r="55" spans="1:30" ht="18" customHeight="1" x14ac:dyDescent="0.3">
      <c r="A55" s="67" t="str">
        <f>ALL_METRICS!B55</f>
        <v>MDA-054-way-back.md</v>
      </c>
      <c r="B55" s="31" t="str">
        <f>ALL_METRICS!A55</f>
        <v>P-ca07295e7130</v>
      </c>
      <c r="C55" s="39">
        <f>ALL_METRICS!J55</f>
        <v>2856</v>
      </c>
      <c r="D55" s="29">
        <f>ALL_METRICS!L55</f>
        <v>0.37459999999999999</v>
      </c>
      <c r="E55" s="30">
        <f>ALL_METRICS!P55</f>
        <v>11.4</v>
      </c>
      <c r="F55" s="30">
        <f>ALL_METRICS!X55</f>
        <v>5.3</v>
      </c>
      <c r="G55" s="31" t="str">
        <f>ALL_METRICS!AT55</f>
        <v>A — Evidence-Rich</v>
      </c>
      <c r="H55" s="44" t="str">
        <f>ALL_METRICS!AW55</f>
        <v>MODERATE</v>
      </c>
      <c r="I55" s="29" t="str">
        <f>ALL_METRICS!ED55</f>
        <v>D (Light)</v>
      </c>
      <c r="J55" s="30">
        <f>ALL_METRICS!CD55</f>
        <v>0</v>
      </c>
      <c r="K55" s="30">
        <f>ALL_METRICS!DC55</f>
        <v>5</v>
      </c>
      <c r="L55" s="30">
        <f>ALL_METRICS!DE55</f>
        <v>0.7</v>
      </c>
      <c r="M55" s="31">
        <f>ALL_METRICS!DJ55</f>
        <v>0.14000000000000001</v>
      </c>
      <c r="N55" s="49">
        <f>ALL_METRICS!EB55</f>
        <v>15.19</v>
      </c>
      <c r="O55" s="29">
        <f>ALL_METRICS!EE55</f>
        <v>7.23</v>
      </c>
      <c r="P55" s="30" t="str">
        <f>ALL_METRICS!EF55</f>
        <v>STRONG</v>
      </c>
      <c r="Q55" s="30">
        <f>ALL_METRICS!EG55</f>
        <v>0.49</v>
      </c>
      <c r="R55" s="30">
        <f>ALL_METRICS!EH55</f>
        <v>1.3</v>
      </c>
      <c r="S55" s="31">
        <f>ALL_METRICS!EI55</f>
        <v>0.378</v>
      </c>
      <c r="T55" s="54" t="str">
        <f>ALL_METRICS!EL55</f>
        <v>peace</v>
      </c>
      <c r="U55" s="29">
        <f>ALL_METRICS!FN55</f>
        <v>0.50560000000000005</v>
      </c>
      <c r="V55" s="30">
        <f>ALL_METRICS!FO55</f>
        <v>0.77500000000000002</v>
      </c>
      <c r="W55" s="31">
        <f>ALL_METRICS!FY55</f>
        <v>0.25359999999999999</v>
      </c>
      <c r="X55" s="59" t="str">
        <f>ALL_METRICS!JD55</f>
        <v>mixed spiritual posture</v>
      </c>
      <c r="Y55" s="29">
        <f>ALL_METRICS!LI55</f>
        <v>0</v>
      </c>
      <c r="Z55" s="30">
        <f>ALL_METRICS!LJ55</f>
        <v>0</v>
      </c>
      <c r="AA55" s="31">
        <f>ALL_METRICS!LK55</f>
        <v>0</v>
      </c>
      <c r="AB55" s="64">
        <f>ALL_METRICS!LL55</f>
        <v>0</v>
      </c>
      <c r="AC55" s="29">
        <f>ALL_METRICS!LX55</f>
        <v>0.60629999999999995</v>
      </c>
      <c r="AD55" s="31" t="str">
        <f>ALL_METRICS!ME55</f>
        <v>VERY HIGH (dense academic)</v>
      </c>
    </row>
    <row r="56" spans="1:30" ht="18" customHeight="1" x14ac:dyDescent="0.3">
      <c r="A56" s="66" t="str">
        <f>ALL_METRICS!B56</f>
        <v>MDA-900-appendix-original-introduction.md</v>
      </c>
      <c r="B56" s="28" t="str">
        <f>ALL_METRICS!A56</f>
        <v>P-cf44e617aa1b</v>
      </c>
      <c r="C56" s="38">
        <f>ALL_METRICS!J56</f>
        <v>1381</v>
      </c>
      <c r="D56" s="26">
        <f>ALL_METRICS!L56</f>
        <v>0.45839999999999997</v>
      </c>
      <c r="E56" s="27">
        <f>ALL_METRICS!P56</f>
        <v>12.8</v>
      </c>
      <c r="F56" s="27">
        <f>ALL_METRICS!X56</f>
        <v>3.9</v>
      </c>
      <c r="G56" s="28" t="str">
        <f>ALL_METRICS!AT56</f>
        <v>A — Evidence-Rich</v>
      </c>
      <c r="H56" s="43" t="str">
        <f>ALL_METRICS!AW56</f>
        <v>MODERATE</v>
      </c>
      <c r="I56" s="26" t="str">
        <f>ALL_METRICS!ED56</f>
        <v>D (Light)</v>
      </c>
      <c r="J56" s="27">
        <f>ALL_METRICS!CD56</f>
        <v>0</v>
      </c>
      <c r="K56" s="27">
        <f>ALL_METRICS!DC56</f>
        <v>17</v>
      </c>
      <c r="L56" s="27">
        <f>ALL_METRICS!DE56</f>
        <v>0.72</v>
      </c>
      <c r="M56" s="28">
        <f>ALL_METRICS!DJ56</f>
        <v>0</v>
      </c>
      <c r="N56" s="48">
        <f>ALL_METRICS!EB56</f>
        <v>10.86</v>
      </c>
      <c r="O56" s="26">
        <f>ALL_METRICS!EE56</f>
        <v>9.1199999999999992</v>
      </c>
      <c r="P56" s="27" t="str">
        <f>ALL_METRICS!EF56</f>
        <v>HIGH</v>
      </c>
      <c r="Q56" s="27">
        <f>ALL_METRICS!EG56</f>
        <v>0.51</v>
      </c>
      <c r="R56" s="27">
        <f>ALL_METRICS!EH56</f>
        <v>3.69</v>
      </c>
      <c r="S56" s="28">
        <f>ALL_METRICS!EI56</f>
        <v>0.13700000000000001</v>
      </c>
      <c r="T56" s="53" t="str">
        <f>ALL_METRICS!EL56</f>
        <v>kindness</v>
      </c>
      <c r="U56" s="26">
        <f>ALL_METRICS!FN56</f>
        <v>0.50780000000000003</v>
      </c>
      <c r="V56" s="27">
        <f>ALL_METRICS!FO56</f>
        <v>0.77500000000000002</v>
      </c>
      <c r="W56" s="28">
        <f>ALL_METRICS!FY56</f>
        <v>0.2646</v>
      </c>
      <c r="X56" s="58" t="str">
        <f>ALL_METRICS!JD56</f>
        <v>mixed spiritual posture</v>
      </c>
      <c r="Y56" s="26">
        <f>ALL_METRICS!LI56</f>
        <v>0</v>
      </c>
      <c r="Z56" s="27">
        <f>ALL_METRICS!LJ56</f>
        <v>0</v>
      </c>
      <c r="AA56" s="28">
        <f>ALL_METRICS!LK56</f>
        <v>0</v>
      </c>
      <c r="AB56" s="63">
        <f>ALL_METRICS!LL56</f>
        <v>0</v>
      </c>
      <c r="AC56" s="26">
        <f>ALL_METRICS!LX56</f>
        <v>0.53680000000000005</v>
      </c>
      <c r="AD56" s="28" t="str">
        <f>ALL_METRICS!ME56</f>
        <v>HIGH (academic)</v>
      </c>
    </row>
    <row r="57" spans="1:30" ht="18" customHeight="1" x14ac:dyDescent="0.3">
      <c r="A57" s="67" t="str">
        <f>ALL_METRICS!B57</f>
        <v>MDA-901-appendix-america-index.md</v>
      </c>
      <c r="B57" s="31" t="str">
        <f>ALL_METRICS!A57</f>
        <v>P-5abc501ba058</v>
      </c>
      <c r="C57" s="39">
        <f>ALL_METRICS!J57</f>
        <v>434</v>
      </c>
      <c r="D57" s="29">
        <f>ALL_METRICS!L57</f>
        <v>0.5645</v>
      </c>
      <c r="E57" s="30">
        <f>ALL_METRICS!P57</f>
        <v>15.5</v>
      </c>
      <c r="F57" s="30">
        <f>ALL_METRICS!X57</f>
        <v>7.1</v>
      </c>
      <c r="G57" s="31" t="str">
        <f>ALL_METRICS!AT57</f>
        <v>A — Evidence-Rich</v>
      </c>
      <c r="H57" s="44" t="str">
        <f>ALL_METRICS!AW57</f>
        <v>MODERATE</v>
      </c>
      <c r="I57" s="29" t="str">
        <f>ALL_METRICS!ED57</f>
        <v>D (Light)</v>
      </c>
      <c r="J57" s="30">
        <f>ALL_METRICS!CD57</f>
        <v>0</v>
      </c>
      <c r="K57" s="30">
        <f>ALL_METRICS!DC57</f>
        <v>8</v>
      </c>
      <c r="L57" s="30">
        <f>ALL_METRICS!DE57</f>
        <v>0</v>
      </c>
      <c r="M57" s="31">
        <f>ALL_METRICS!DJ57</f>
        <v>0</v>
      </c>
      <c r="N57" s="49">
        <f>ALL_METRICS!EB57</f>
        <v>8.43</v>
      </c>
      <c r="O57" s="29">
        <f>ALL_METRICS!EE57</f>
        <v>4.9400000000000004</v>
      </c>
      <c r="P57" s="30" t="str">
        <f>ALL_METRICS!EF57</f>
        <v>MODERATE</v>
      </c>
      <c r="Q57" s="30">
        <f>ALL_METRICS!EG57</f>
        <v>0.23</v>
      </c>
      <c r="R57" s="30">
        <f>ALL_METRICS!EH57</f>
        <v>4.1399999999999997</v>
      </c>
      <c r="S57" s="31">
        <f>ALL_METRICS!EI57</f>
        <v>5.6000000000000001E-2</v>
      </c>
      <c r="T57" s="54" t="str">
        <f>ALL_METRICS!EL57</f>
        <v>goodness</v>
      </c>
      <c r="U57" s="29">
        <f>ALL_METRICS!FN57</f>
        <v>0.49769999999999998</v>
      </c>
      <c r="V57" s="30">
        <f>ALL_METRICS!FO57</f>
        <v>0.77500000000000002</v>
      </c>
      <c r="W57" s="31">
        <f>ALL_METRICS!FY57</f>
        <v>0.25</v>
      </c>
      <c r="X57" s="59" t="str">
        <f>ALL_METRICS!JD57</f>
        <v>mixed spiritual posture</v>
      </c>
      <c r="Y57" s="29">
        <f>ALL_METRICS!LI57</f>
        <v>0</v>
      </c>
      <c r="Z57" s="30">
        <f>ALL_METRICS!LJ57</f>
        <v>0</v>
      </c>
      <c r="AA57" s="31">
        <f>ALL_METRICS!LK57</f>
        <v>0</v>
      </c>
      <c r="AB57" s="64">
        <f>ALL_METRICS!LL57</f>
        <v>0</v>
      </c>
      <c r="AC57" s="29">
        <f>ALL_METRICS!LX57</f>
        <v>0.54959999999999998</v>
      </c>
      <c r="AD57" s="31" t="str">
        <f>ALL_METRICS!ME57</f>
        <v>HIGH (academic)</v>
      </c>
    </row>
    <row r="58" spans="1:30" ht="18" customHeight="1" x14ac:dyDescent="0.3">
      <c r="A58" s="66" t="str">
        <f>ALL_METRICS!B58</f>
        <v>MDA-902-appendix-trans-domain-analysis.md</v>
      </c>
      <c r="B58" s="28" t="str">
        <f>ALL_METRICS!A58</f>
        <v>P-f237b8383edd</v>
      </c>
      <c r="C58" s="38">
        <f>ALL_METRICS!J58</f>
        <v>3855</v>
      </c>
      <c r="D58" s="26">
        <f>ALL_METRICS!L58</f>
        <v>0.39789999999999998</v>
      </c>
      <c r="E58" s="27">
        <f>ALL_METRICS!P58</f>
        <v>12.2</v>
      </c>
      <c r="F58" s="27">
        <f>ALL_METRICS!X58</f>
        <v>3.6</v>
      </c>
      <c r="G58" s="28" t="str">
        <f>ALL_METRICS!AT58</f>
        <v>A — Evidence-Rich</v>
      </c>
      <c r="H58" s="43" t="str">
        <f>ALL_METRICS!AW58</f>
        <v>MODERATE</v>
      </c>
      <c r="I58" s="26" t="str">
        <f>ALL_METRICS!ED58</f>
        <v>D (Light)</v>
      </c>
      <c r="J58" s="27">
        <f>ALL_METRICS!CD58</f>
        <v>0</v>
      </c>
      <c r="K58" s="27">
        <f>ALL_METRICS!DC58</f>
        <v>34</v>
      </c>
      <c r="L58" s="27">
        <f>ALL_METRICS!DE58</f>
        <v>1.04</v>
      </c>
      <c r="M58" s="28">
        <f>ALL_METRICS!DJ58</f>
        <v>0.17</v>
      </c>
      <c r="N58" s="48">
        <f>ALL_METRICS!EB58</f>
        <v>14.31</v>
      </c>
      <c r="O58" s="26">
        <f>ALL_METRICS!EE58</f>
        <v>4.5999999999999996</v>
      </c>
      <c r="P58" s="27" t="str">
        <f>ALL_METRICS!EF58</f>
        <v>MODERATE</v>
      </c>
      <c r="Q58" s="27">
        <f>ALL_METRICS!EG58</f>
        <v>0.34</v>
      </c>
      <c r="R58" s="27">
        <f>ALL_METRICS!EH58</f>
        <v>1.19</v>
      </c>
      <c r="S58" s="28">
        <f>ALL_METRICS!EI58</f>
        <v>0.28299999999999997</v>
      </c>
      <c r="T58" s="53" t="str">
        <f>ALL_METRICS!EL58</f>
        <v>peace</v>
      </c>
      <c r="U58" s="26">
        <f>ALL_METRICS!FN58</f>
        <v>0.52829999999999999</v>
      </c>
      <c r="V58" s="27">
        <f>ALL_METRICS!FO58</f>
        <v>0.77500000000000002</v>
      </c>
      <c r="W58" s="28">
        <f>ALL_METRICS!FY58</f>
        <v>0.29520000000000002</v>
      </c>
      <c r="X58" s="58" t="str">
        <f>ALL_METRICS!JD58</f>
        <v>mixed spiritual posture</v>
      </c>
      <c r="Y58" s="26">
        <f>ALL_METRICS!LI58</f>
        <v>0</v>
      </c>
      <c r="Z58" s="27">
        <f>ALL_METRICS!LJ58</f>
        <v>0</v>
      </c>
      <c r="AA58" s="28">
        <f>ALL_METRICS!LK58</f>
        <v>0</v>
      </c>
      <c r="AB58" s="63">
        <f>ALL_METRICS!LL58</f>
        <v>0</v>
      </c>
      <c r="AC58" s="26">
        <f>ALL_METRICS!LX58</f>
        <v>0.57389999999999997</v>
      </c>
      <c r="AD58" s="28" t="str">
        <f>ALL_METRICS!ME58</f>
        <v>VERY HIGH (dense academic)</v>
      </c>
    </row>
    <row r="59" spans="1:30" ht="18" customHeight="1" x14ac:dyDescent="0.3">
      <c r="A59" s="67" t="str">
        <f>ALL_METRICS!B59</f>
        <v>MDA-903-appendix-series-home.md</v>
      </c>
      <c r="B59" s="31" t="str">
        <f>ALL_METRICS!A59</f>
        <v>P-e99bba60f06e</v>
      </c>
      <c r="C59" s="39">
        <f>ALL_METRICS!J59</f>
        <v>920</v>
      </c>
      <c r="D59" s="29">
        <f>ALL_METRICS!L59</f>
        <v>0.45329999999999998</v>
      </c>
      <c r="E59" s="30">
        <f>ALL_METRICS!P59</f>
        <v>13.5</v>
      </c>
      <c r="F59" s="30">
        <f>ALL_METRICS!X59</f>
        <v>4.2</v>
      </c>
      <c r="G59" s="31" t="str">
        <f>ALL_METRICS!AT59</f>
        <v>A — Evidence-Rich</v>
      </c>
      <c r="H59" s="44" t="str">
        <f>ALL_METRICS!AW59</f>
        <v>MODERATE</v>
      </c>
      <c r="I59" s="29" t="str">
        <f>ALL_METRICS!ED59</f>
        <v>D (Light)</v>
      </c>
      <c r="J59" s="30">
        <f>ALL_METRICS!CD59</f>
        <v>0</v>
      </c>
      <c r="K59" s="30">
        <f>ALL_METRICS!DC59</f>
        <v>12</v>
      </c>
      <c r="L59" s="30">
        <f>ALL_METRICS!DE59</f>
        <v>1.0900000000000001</v>
      </c>
      <c r="M59" s="31">
        <f>ALL_METRICS!DJ59</f>
        <v>0.5</v>
      </c>
      <c r="N59" s="49">
        <f>ALL_METRICS!EB59</f>
        <v>8.7100000000000009</v>
      </c>
      <c r="O59" s="29">
        <f>ALL_METRICS!EE59</f>
        <v>10</v>
      </c>
      <c r="P59" s="30" t="str">
        <f>ALL_METRICS!EF59</f>
        <v>HIGH</v>
      </c>
      <c r="Q59" s="30">
        <f>ALL_METRICS!EG59</f>
        <v>0.54</v>
      </c>
      <c r="R59" s="30">
        <f>ALL_METRICS!EH59</f>
        <v>4.13</v>
      </c>
      <c r="S59" s="31">
        <f>ALL_METRICS!EI59</f>
        <v>0.13200000000000001</v>
      </c>
      <c r="T59" s="54" t="str">
        <f>ALL_METRICS!EL59</f>
        <v>peace</v>
      </c>
      <c r="U59" s="29">
        <f>ALL_METRICS!FN59</f>
        <v>0.53469999999999995</v>
      </c>
      <c r="V59" s="30">
        <f>ALL_METRICS!FO59</f>
        <v>0.77500000000000002</v>
      </c>
      <c r="W59" s="31">
        <f>ALL_METRICS!FY59</f>
        <v>0.26090000000000002</v>
      </c>
      <c r="X59" s="59" t="str">
        <f>ALL_METRICS!JD59</f>
        <v>agitated or reactionary; disciplined</v>
      </c>
      <c r="Y59" s="29">
        <f>ALL_METRICS!LI59</f>
        <v>0</v>
      </c>
      <c r="Z59" s="30">
        <f>ALL_METRICS!LJ59</f>
        <v>0</v>
      </c>
      <c r="AA59" s="31">
        <f>ALL_METRICS!LK59</f>
        <v>0</v>
      </c>
      <c r="AB59" s="64">
        <f>ALL_METRICS!LL59</f>
        <v>0</v>
      </c>
      <c r="AC59" s="29">
        <f>ALL_METRICS!LX59</f>
        <v>0.62170000000000003</v>
      </c>
      <c r="AD59" s="31" t="str">
        <f>ALL_METRICS!ME59</f>
        <v>VERY HIGH (dense academic)</v>
      </c>
    </row>
    <row r="60" spans="1:30" ht="18" customHeight="1" x14ac:dyDescent="0.3">
      <c r="A60" s="66" t="str">
        <f>ALL_METRICS!B60</f>
        <v>MDA-904-appendix-sample.md</v>
      </c>
      <c r="B60" s="28" t="str">
        <f>ALL_METRICS!A60</f>
        <v>P-1f7fa63b8d1c</v>
      </c>
      <c r="C60" s="38">
        <f>ALL_METRICS!J60</f>
        <v>340</v>
      </c>
      <c r="D60" s="26">
        <f>ALL_METRICS!L60</f>
        <v>0.55589999999999995</v>
      </c>
      <c r="E60" s="27">
        <f>ALL_METRICS!P60</f>
        <v>14.8</v>
      </c>
      <c r="F60" s="27">
        <f>ALL_METRICS!X60</f>
        <v>3.4</v>
      </c>
      <c r="G60" s="28" t="str">
        <f>ALL_METRICS!AT60</f>
        <v>A — Evidence-Rich</v>
      </c>
      <c r="H60" s="43" t="str">
        <f>ALL_METRICS!AW60</f>
        <v>MODERATE</v>
      </c>
      <c r="I60" s="26" t="str">
        <f>ALL_METRICS!ED60</f>
        <v>F (Needs Citations)</v>
      </c>
      <c r="J60" s="27">
        <f>ALL_METRICS!CD60</f>
        <v>0</v>
      </c>
      <c r="K60" s="27">
        <f>ALL_METRICS!DC60</f>
        <v>3</v>
      </c>
      <c r="L60" s="27">
        <f>ALL_METRICS!DE60</f>
        <v>0</v>
      </c>
      <c r="M60" s="28">
        <f>ALL_METRICS!DJ60</f>
        <v>0</v>
      </c>
      <c r="N60" s="48">
        <f>ALL_METRICS!EB60</f>
        <v>8.43</v>
      </c>
      <c r="O60" s="26">
        <f>ALL_METRICS!EE60</f>
        <v>7.48</v>
      </c>
      <c r="P60" s="27" t="str">
        <f>ALL_METRICS!EF60</f>
        <v>STRONG</v>
      </c>
      <c r="Q60" s="27">
        <f>ALL_METRICS!EG60</f>
        <v>0.88</v>
      </c>
      <c r="R60" s="27">
        <f>ALL_METRICS!EH60</f>
        <v>3.52</v>
      </c>
      <c r="S60" s="28">
        <f>ALL_METRICS!EI60</f>
        <v>0.25</v>
      </c>
      <c r="T60" s="53" t="str">
        <f>ALL_METRICS!EL60</f>
        <v>love</v>
      </c>
      <c r="U60" s="26">
        <f>ALL_METRICS!FN60</f>
        <v>0.54079999999999995</v>
      </c>
      <c r="V60" s="27">
        <f>ALL_METRICS!FO60</f>
        <v>0.77500000000000002</v>
      </c>
      <c r="W60" s="28">
        <f>ALL_METRICS!FY60</f>
        <v>0.22109999999999999</v>
      </c>
      <c r="X60" s="58" t="str">
        <f>ALL_METRICS!JD60</f>
        <v>agitated or reactionary</v>
      </c>
      <c r="Y60" s="26">
        <f>ALL_METRICS!LI60</f>
        <v>0</v>
      </c>
      <c r="Z60" s="27">
        <f>ALL_METRICS!LJ60</f>
        <v>0</v>
      </c>
      <c r="AA60" s="28">
        <f>ALL_METRICS!LK60</f>
        <v>0</v>
      </c>
      <c r="AB60" s="63">
        <f>ALL_METRICS!LL60</f>
        <v>0</v>
      </c>
      <c r="AC60" s="26">
        <f>ALL_METRICS!LX60</f>
        <v>0.60840000000000005</v>
      </c>
      <c r="AD60" s="28" t="str">
        <f>ALL_METRICS!ME60</f>
        <v>VERY HIGH (dense academic)</v>
      </c>
    </row>
    <row r="61" spans="1:30" ht="18" customHeight="1" x14ac:dyDescent="0.3">
      <c r="A61" s="67" t="str">
        <f>ALL_METRICS!B61</f>
        <v>MDA-905-appendix-timeline.md</v>
      </c>
      <c r="B61" s="31" t="str">
        <f>ALL_METRICS!A61</f>
        <v>P-8b7777a9ef8d</v>
      </c>
      <c r="C61" s="39">
        <f>ALL_METRICS!J61</f>
        <v>1971</v>
      </c>
      <c r="D61" s="29">
        <f>ALL_METRICS!L61</f>
        <v>0.48149999999999998</v>
      </c>
      <c r="E61" s="30">
        <f>ALL_METRICS!P61</f>
        <v>41.9</v>
      </c>
      <c r="F61" s="30">
        <f>ALL_METRICS!X61</f>
        <v>4</v>
      </c>
      <c r="G61" s="31" t="str">
        <f>ALL_METRICS!AT61</f>
        <v>A — Evidence-Rich</v>
      </c>
      <c r="H61" s="44" t="str">
        <f>ALL_METRICS!AW61</f>
        <v>HIGH</v>
      </c>
      <c r="I61" s="29" t="str">
        <f>ALL_METRICS!ED61</f>
        <v>B (Strong)</v>
      </c>
      <c r="J61" s="30">
        <f>ALL_METRICS!CD61</f>
        <v>25</v>
      </c>
      <c r="K61" s="30">
        <f>ALL_METRICS!DC61</f>
        <v>38</v>
      </c>
      <c r="L61" s="30">
        <f>ALL_METRICS!DE61</f>
        <v>0</v>
      </c>
      <c r="M61" s="31">
        <f>ALL_METRICS!DJ61</f>
        <v>2</v>
      </c>
      <c r="N61" s="49">
        <f>ALL_METRICS!EB61</f>
        <v>16.57</v>
      </c>
      <c r="O61" s="29">
        <f>ALL_METRICS!EE61</f>
        <v>2.33</v>
      </c>
      <c r="P61" s="30" t="str">
        <f>ALL_METRICS!EF61</f>
        <v>WEAK</v>
      </c>
      <c r="Q61" s="30">
        <f>ALL_METRICS!EG61</f>
        <v>0.2</v>
      </c>
      <c r="R61" s="30">
        <f>ALL_METRICS!EH61</f>
        <v>0.96</v>
      </c>
      <c r="S61" s="31">
        <f>ALL_METRICS!EI61</f>
        <v>0.21099999999999999</v>
      </c>
      <c r="T61" s="54" t="str">
        <f>ALL_METRICS!EL61</f>
        <v>peace</v>
      </c>
      <c r="U61" s="29">
        <f>ALL_METRICS!FN61</f>
        <v>0.66649999999999998</v>
      </c>
      <c r="V61" s="30">
        <f>ALL_METRICS!FO61</f>
        <v>0.77500000000000002</v>
      </c>
      <c r="W61" s="31">
        <f>ALL_METRICS!FY61</f>
        <v>0.2576</v>
      </c>
      <c r="X61" s="59" t="str">
        <f>ALL_METRICS!JD61</f>
        <v>agitated or reactionary</v>
      </c>
      <c r="Y61" s="29">
        <f>ALL_METRICS!LI61</f>
        <v>0</v>
      </c>
      <c r="Z61" s="30">
        <f>ALL_METRICS!LJ61</f>
        <v>0</v>
      </c>
      <c r="AA61" s="31">
        <f>ALL_METRICS!LK61</f>
        <v>0</v>
      </c>
      <c r="AB61" s="64">
        <f>ALL_METRICS!LL61</f>
        <v>0</v>
      </c>
      <c r="AC61" s="29">
        <f>ALL_METRICS!LX61</f>
        <v>0.62029999999999996</v>
      </c>
      <c r="AD61" s="31" t="str">
        <f>ALL_METRICS!ME61</f>
        <v>VERY HIGH (dense academic)</v>
      </c>
    </row>
    <row r="62" spans="1:30" ht="18" customHeight="1" x14ac:dyDescent="0.3">
      <c r="A62" s="66" t="str">
        <f>ALL_METRICS!B62</f>
        <v>MDA-906-appendix-93-year-floor.md</v>
      </c>
      <c r="B62" s="28" t="str">
        <f>ALL_METRICS!A62</f>
        <v>P-1ed5c6caa083</v>
      </c>
      <c r="C62" s="38">
        <f>ALL_METRICS!J62</f>
        <v>2380</v>
      </c>
      <c r="D62" s="26">
        <f>ALL_METRICS!L62</f>
        <v>0.28660000000000002</v>
      </c>
      <c r="E62" s="27">
        <f>ALL_METRICS!P62</f>
        <v>16.3</v>
      </c>
      <c r="F62" s="27">
        <f>ALL_METRICS!X62</f>
        <v>0.8</v>
      </c>
      <c r="G62" s="28" t="str">
        <f>ALL_METRICS!AT62</f>
        <v>A — Evidence-Rich</v>
      </c>
      <c r="H62" s="43" t="str">
        <f>ALL_METRICS!AW62</f>
        <v>HIGH</v>
      </c>
      <c r="I62" s="26" t="str">
        <f>ALL_METRICS!ED62</f>
        <v>F (Needs Citations)</v>
      </c>
      <c r="J62" s="27">
        <f>ALL_METRICS!CD62</f>
        <v>0</v>
      </c>
      <c r="K62" s="27">
        <f>ALL_METRICS!DC62</f>
        <v>19</v>
      </c>
      <c r="L62" s="27">
        <f>ALL_METRICS!DE62</f>
        <v>0.84</v>
      </c>
      <c r="M62" s="28">
        <f>ALL_METRICS!DJ62</f>
        <v>0.24</v>
      </c>
      <c r="N62" s="48">
        <f>ALL_METRICS!EB62</f>
        <v>9.8800000000000008</v>
      </c>
      <c r="O62" s="26">
        <f>ALL_METRICS!EE62</f>
        <v>6.47</v>
      </c>
      <c r="P62" s="27" t="str">
        <f>ALL_METRICS!EF62</f>
        <v>STRONG</v>
      </c>
      <c r="Q62" s="27">
        <f>ALL_METRICS!EG62</f>
        <v>0.84</v>
      </c>
      <c r="R62" s="27">
        <f>ALL_METRICS!EH62</f>
        <v>2.56</v>
      </c>
      <c r="S62" s="28">
        <f>ALL_METRICS!EI62</f>
        <v>0.32800000000000001</v>
      </c>
      <c r="T62" s="53" t="str">
        <f>ALL_METRICS!EL62</f>
        <v>grace</v>
      </c>
      <c r="U62" s="26">
        <f>ALL_METRICS!FN62</f>
        <v>0.56889999999999996</v>
      </c>
      <c r="V62" s="27">
        <f>ALL_METRICS!FO62</f>
        <v>0.77500000000000002</v>
      </c>
      <c r="W62" s="28">
        <f>ALL_METRICS!FY62</f>
        <v>0.26219999999999999</v>
      </c>
      <c r="X62" s="58" t="str">
        <f>ALL_METRICS!JD62</f>
        <v>mixed spiritual posture</v>
      </c>
      <c r="Y62" s="26">
        <f>ALL_METRICS!LI62</f>
        <v>0</v>
      </c>
      <c r="Z62" s="27">
        <f>ALL_METRICS!LJ62</f>
        <v>0</v>
      </c>
      <c r="AA62" s="28">
        <f>ALL_METRICS!LK62</f>
        <v>0</v>
      </c>
      <c r="AB62" s="63">
        <f>ALL_METRICS!LL62</f>
        <v>0</v>
      </c>
      <c r="AC62" s="26">
        <f>ALL_METRICS!LX62</f>
        <v>0.43540000000000001</v>
      </c>
      <c r="AD62" s="28" t="str">
        <f>ALL_METRICS!ME62</f>
        <v>MODERATE (accessible)</v>
      </c>
    </row>
    <row r="63" spans="1:30" ht="18" customHeight="1" x14ac:dyDescent="0.3">
      <c r="A63" s="67" t="str">
        <f>ALL_METRICS!B63</f>
        <v>MDA-001-story-introduction.md</v>
      </c>
      <c r="B63" s="31" t="str">
        <f>ALL_METRICS!A63</f>
        <v>P-d03a0e6c62da</v>
      </c>
      <c r="C63" s="39">
        <f>ALL_METRICS!J63</f>
        <v>958</v>
      </c>
      <c r="D63" s="29">
        <f>ALL_METRICS!L63</f>
        <v>0.39979999999999999</v>
      </c>
      <c r="E63" s="30">
        <f>ALL_METRICS!P63</f>
        <v>14.7</v>
      </c>
      <c r="F63" s="30">
        <f>ALL_METRICS!X63</f>
        <v>1</v>
      </c>
      <c r="G63" s="31" t="str">
        <f>ALL_METRICS!AT63</f>
        <v>A — Evidence-Rich</v>
      </c>
      <c r="H63" s="44" t="str">
        <f>ALL_METRICS!AW63</f>
        <v>MODERATE</v>
      </c>
      <c r="I63" s="29" t="str">
        <f>ALL_METRICS!ED63</f>
        <v>F (Needs Citations)</v>
      </c>
      <c r="J63" s="30">
        <f>ALL_METRICS!CD63</f>
        <v>0</v>
      </c>
      <c r="K63" s="30">
        <f>ALL_METRICS!DC63</f>
        <v>2</v>
      </c>
      <c r="L63" s="30">
        <f>ALL_METRICS!DE63</f>
        <v>0</v>
      </c>
      <c r="M63" s="31">
        <f>ALL_METRICS!DJ63</f>
        <v>0</v>
      </c>
      <c r="N63" s="49">
        <f>ALL_METRICS!EB63</f>
        <v>8.3800000000000008</v>
      </c>
      <c r="O63" s="29">
        <f>ALL_METRICS!EE63</f>
        <v>3.46</v>
      </c>
      <c r="P63" s="30" t="str">
        <f>ALL_METRICS!EF63</f>
        <v>WEAK</v>
      </c>
      <c r="Q63" s="30">
        <f>ALL_METRICS!EG63</f>
        <v>1.43</v>
      </c>
      <c r="R63" s="30">
        <f>ALL_METRICS!EH63</f>
        <v>0.61</v>
      </c>
      <c r="S63" s="31">
        <f>ALL_METRICS!EI63</f>
        <v>2.3330000000000002</v>
      </c>
      <c r="T63" s="54" t="str">
        <f>ALL_METRICS!EL63</f>
        <v>goodness</v>
      </c>
      <c r="U63" s="29">
        <f>ALL_METRICS!FN63</f>
        <v>0.5343</v>
      </c>
      <c r="V63" s="30">
        <f>ALL_METRICS!FO63</f>
        <v>0.36180000000000001</v>
      </c>
      <c r="W63" s="31">
        <f>ALL_METRICS!FY63</f>
        <v>0.46939999999999998</v>
      </c>
      <c r="X63" s="59" t="str">
        <f>ALL_METRICS!JD63</f>
        <v>agitated or reactionary; charitable; disciplined; morally unstable; technically strong, spiritually ordered</v>
      </c>
      <c r="Y63" s="29">
        <f>ALL_METRICS!LI63</f>
        <v>0.40179999999999999</v>
      </c>
      <c r="Z63" s="30">
        <f>ALL_METRICS!LJ63</f>
        <v>2.0999999999999999E-3</v>
      </c>
      <c r="AA63" s="31">
        <f>ALL_METRICS!LK63</f>
        <v>0.3997</v>
      </c>
      <c r="AB63" s="64" t="str">
        <f>ALL_METRICS!LL63</f>
        <v>confusion</v>
      </c>
      <c r="AC63" s="29">
        <f>ALL_METRICS!LX63</f>
        <v>0.4864</v>
      </c>
      <c r="AD63" s="31" t="str">
        <f>ALL_METRICS!ME63</f>
        <v>HIGH (academic)</v>
      </c>
    </row>
    <row r="64" spans="1:30" ht="18" customHeight="1" x14ac:dyDescent="0.3">
      <c r="A64" s="66">
        <f>ALL_METRICS!B64</f>
        <v>0</v>
      </c>
      <c r="B64" s="28">
        <f>ALL_METRICS!A64</f>
        <v>0</v>
      </c>
      <c r="C64" s="38">
        <f>ALL_METRICS!J64</f>
        <v>0</v>
      </c>
      <c r="D64" s="26">
        <f>ALL_METRICS!L64</f>
        <v>0</v>
      </c>
      <c r="E64" s="27">
        <f>ALL_METRICS!P64</f>
        <v>0</v>
      </c>
      <c r="F64" s="27">
        <f>ALL_METRICS!X64</f>
        <v>0</v>
      </c>
      <c r="G64" s="28">
        <f>ALL_METRICS!AT64</f>
        <v>0</v>
      </c>
      <c r="H64" s="43">
        <f>ALL_METRICS!AW64</f>
        <v>0</v>
      </c>
      <c r="I64" s="26">
        <f>ALL_METRICS!ED64</f>
        <v>0</v>
      </c>
      <c r="J64" s="27">
        <f>ALL_METRICS!CD64</f>
        <v>0</v>
      </c>
      <c r="K64" s="27">
        <f>ALL_METRICS!DC64</f>
        <v>0</v>
      </c>
      <c r="L64" s="27">
        <f>ALL_METRICS!DE64</f>
        <v>0</v>
      </c>
      <c r="M64" s="28">
        <f>ALL_METRICS!DJ64</f>
        <v>0</v>
      </c>
      <c r="N64" s="48">
        <f>ALL_METRICS!EB64</f>
        <v>0</v>
      </c>
      <c r="O64" s="26">
        <f>ALL_METRICS!EE64</f>
        <v>0</v>
      </c>
      <c r="P64" s="27">
        <f>ALL_METRICS!EF64</f>
        <v>0</v>
      </c>
      <c r="Q64" s="27">
        <f>ALL_METRICS!EG64</f>
        <v>0</v>
      </c>
      <c r="R64" s="27">
        <f>ALL_METRICS!EH64</f>
        <v>0</v>
      </c>
      <c r="S64" s="28">
        <f>ALL_METRICS!EI64</f>
        <v>0</v>
      </c>
      <c r="T64" s="53">
        <f>ALL_METRICS!EL64</f>
        <v>0</v>
      </c>
      <c r="U64" s="26">
        <f>ALL_METRICS!FN64</f>
        <v>0</v>
      </c>
      <c r="V64" s="27">
        <f>ALL_METRICS!FO64</f>
        <v>0</v>
      </c>
      <c r="W64" s="28">
        <f>ALL_METRICS!FY64</f>
        <v>0</v>
      </c>
      <c r="X64" s="58">
        <f>ALL_METRICS!JD64</f>
        <v>0</v>
      </c>
      <c r="Y64" s="26">
        <f>ALL_METRICS!LI64</f>
        <v>0</v>
      </c>
      <c r="Z64" s="27">
        <f>ALL_METRICS!LJ64</f>
        <v>0</v>
      </c>
      <c r="AA64" s="28">
        <f>ALL_METRICS!LK64</f>
        <v>0</v>
      </c>
      <c r="AB64" s="63">
        <f>ALL_METRICS!LL64</f>
        <v>0</v>
      </c>
      <c r="AC64" s="26">
        <f>ALL_METRICS!LX64</f>
        <v>0</v>
      </c>
      <c r="AD64" s="28">
        <f>ALL_METRICS!ME64</f>
        <v>0</v>
      </c>
    </row>
    <row r="65" spans="1:30" ht="18" customHeight="1" x14ac:dyDescent="0.3">
      <c r="A65" s="67">
        <f>ALL_METRICS!B65</f>
        <v>0</v>
      </c>
      <c r="B65" s="31">
        <f>ALL_METRICS!A65</f>
        <v>0</v>
      </c>
      <c r="C65" s="39">
        <f>ALL_METRICS!J65</f>
        <v>0</v>
      </c>
      <c r="D65" s="29">
        <f>ALL_METRICS!L65</f>
        <v>0</v>
      </c>
      <c r="E65" s="30">
        <f>ALL_METRICS!P65</f>
        <v>0</v>
      </c>
      <c r="F65" s="30">
        <f>ALL_METRICS!X65</f>
        <v>0</v>
      </c>
      <c r="G65" s="31">
        <f>ALL_METRICS!AT65</f>
        <v>0</v>
      </c>
      <c r="H65" s="44">
        <f>ALL_METRICS!AW65</f>
        <v>0</v>
      </c>
      <c r="I65" s="29">
        <f>ALL_METRICS!ED65</f>
        <v>0</v>
      </c>
      <c r="J65" s="30">
        <f>ALL_METRICS!CD65</f>
        <v>0</v>
      </c>
      <c r="K65" s="30">
        <f>ALL_METRICS!DC65</f>
        <v>0</v>
      </c>
      <c r="L65" s="30">
        <f>ALL_METRICS!DE65</f>
        <v>0</v>
      </c>
      <c r="M65" s="31">
        <f>ALL_METRICS!DJ65</f>
        <v>0</v>
      </c>
      <c r="N65" s="49">
        <f>ALL_METRICS!EB65</f>
        <v>0</v>
      </c>
      <c r="O65" s="29">
        <f>ALL_METRICS!EE65</f>
        <v>0</v>
      </c>
      <c r="P65" s="30">
        <f>ALL_METRICS!EF65</f>
        <v>0</v>
      </c>
      <c r="Q65" s="30">
        <f>ALL_METRICS!EG65</f>
        <v>0</v>
      </c>
      <c r="R65" s="30">
        <f>ALL_METRICS!EH65</f>
        <v>0</v>
      </c>
      <c r="S65" s="31">
        <f>ALL_METRICS!EI65</f>
        <v>0</v>
      </c>
      <c r="T65" s="54">
        <f>ALL_METRICS!EL65</f>
        <v>0</v>
      </c>
      <c r="U65" s="29">
        <f>ALL_METRICS!FN65</f>
        <v>0</v>
      </c>
      <c r="V65" s="30">
        <f>ALL_METRICS!FO65</f>
        <v>0</v>
      </c>
      <c r="W65" s="31">
        <f>ALL_METRICS!FY65</f>
        <v>0</v>
      </c>
      <c r="X65" s="59">
        <f>ALL_METRICS!JD65</f>
        <v>0</v>
      </c>
      <c r="Y65" s="29">
        <f>ALL_METRICS!LI65</f>
        <v>0</v>
      </c>
      <c r="Z65" s="30">
        <f>ALL_METRICS!LJ65</f>
        <v>0</v>
      </c>
      <c r="AA65" s="31">
        <f>ALL_METRICS!LK65</f>
        <v>0</v>
      </c>
      <c r="AB65" s="64">
        <f>ALL_METRICS!LL65</f>
        <v>0</v>
      </c>
      <c r="AC65" s="29">
        <f>ALL_METRICS!LX65</f>
        <v>0</v>
      </c>
      <c r="AD65" s="31">
        <f>ALL_METRICS!ME65</f>
        <v>0</v>
      </c>
    </row>
    <row r="66" spans="1:30" ht="18" customHeight="1" x14ac:dyDescent="0.3">
      <c r="A66" s="68">
        <f>ALL_METRICS!B66</f>
        <v>0</v>
      </c>
      <c r="B66" s="34">
        <f>ALL_METRICS!A66</f>
        <v>0</v>
      </c>
      <c r="C66" s="40">
        <f>ALL_METRICS!J66</f>
        <v>0</v>
      </c>
      <c r="D66" s="32">
        <f>ALL_METRICS!L66</f>
        <v>0</v>
      </c>
      <c r="E66" s="33">
        <f>ALL_METRICS!P66</f>
        <v>0</v>
      </c>
      <c r="F66" s="33">
        <f>ALL_METRICS!X66</f>
        <v>0</v>
      </c>
      <c r="G66" s="34">
        <f>ALL_METRICS!AT66</f>
        <v>0</v>
      </c>
      <c r="H66" s="45">
        <f>ALL_METRICS!AW66</f>
        <v>0</v>
      </c>
      <c r="I66" s="32">
        <f>ALL_METRICS!ED66</f>
        <v>0</v>
      </c>
      <c r="J66" s="33">
        <f>ALL_METRICS!CD66</f>
        <v>0</v>
      </c>
      <c r="K66" s="33">
        <f>ALL_METRICS!DC66</f>
        <v>0</v>
      </c>
      <c r="L66" s="33">
        <f>ALL_METRICS!DE66</f>
        <v>0</v>
      </c>
      <c r="M66" s="34">
        <f>ALL_METRICS!DJ66</f>
        <v>0</v>
      </c>
      <c r="N66" s="50">
        <f>ALL_METRICS!EB66</f>
        <v>0</v>
      </c>
      <c r="O66" s="32">
        <f>ALL_METRICS!EE66</f>
        <v>0</v>
      </c>
      <c r="P66" s="33">
        <f>ALL_METRICS!EF66</f>
        <v>0</v>
      </c>
      <c r="Q66" s="33">
        <f>ALL_METRICS!EG66</f>
        <v>0</v>
      </c>
      <c r="R66" s="33">
        <f>ALL_METRICS!EH66</f>
        <v>0</v>
      </c>
      <c r="S66" s="34">
        <f>ALL_METRICS!EI66</f>
        <v>0</v>
      </c>
      <c r="T66" s="55">
        <f>ALL_METRICS!EL66</f>
        <v>0</v>
      </c>
      <c r="U66" s="32">
        <f>ALL_METRICS!FN66</f>
        <v>0</v>
      </c>
      <c r="V66" s="33">
        <f>ALL_METRICS!FO66</f>
        <v>0</v>
      </c>
      <c r="W66" s="34">
        <f>ALL_METRICS!FY66</f>
        <v>0</v>
      </c>
      <c r="X66" s="60">
        <f>ALL_METRICS!JD66</f>
        <v>0</v>
      </c>
      <c r="Y66" s="32">
        <f>ALL_METRICS!LI66</f>
        <v>0</v>
      </c>
      <c r="Z66" s="33">
        <f>ALL_METRICS!LJ66</f>
        <v>0</v>
      </c>
      <c r="AA66" s="34">
        <f>ALL_METRICS!LK66</f>
        <v>0</v>
      </c>
      <c r="AB66" s="65">
        <f>ALL_METRICS!LL66</f>
        <v>0</v>
      </c>
      <c r="AC66" s="32">
        <f>ALL_METRICS!LX66</f>
        <v>0</v>
      </c>
      <c r="AD66" s="34">
        <f>ALL_METRICS!ME66</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E63"/>
  <sheetViews>
    <sheetView workbookViewId="0">
      <pane xSplit="9" ySplit="1" topLeftCell="IP2" activePane="bottomRight" state="frozen"/>
      <selection pane="topRight"/>
      <selection pane="bottomLeft"/>
      <selection pane="bottomRight" activeCell="H28" sqref="H28"/>
    </sheetView>
  </sheetViews>
  <sheetFormatPr defaultRowHeight="14.4" outlineLevelCol="1" x14ac:dyDescent="0.3"/>
  <cols>
    <col min="1" max="1" width="25" customWidth="1"/>
    <col min="2" max="2" width="40.77734375" customWidth="1"/>
    <col min="3" max="3" width="15" customWidth="1" outlineLevel="1"/>
    <col min="4" max="4" width="17" customWidth="1" outlineLevel="1"/>
    <col min="5" max="5" width="16" customWidth="1" outlineLevel="1"/>
    <col min="6" max="6" width="42" customWidth="1" outlineLevel="1"/>
    <col min="7" max="7" width="28" customWidth="1" outlineLevel="1"/>
    <col min="8" max="8" width="42" customWidth="1" outlineLevel="1"/>
    <col min="9" max="9" width="22.21875" customWidth="1"/>
    <col min="10" max="10" width="17" customWidth="1"/>
    <col min="11" max="11" width="24" customWidth="1"/>
    <col min="12" max="12" width="12" customWidth="1"/>
    <col min="13" max="13" width="21" customWidth="1"/>
    <col min="14" max="14" width="22" customWidth="1"/>
    <col min="15" max="15" width="19" customWidth="1"/>
    <col min="16" max="16" width="29" customWidth="1"/>
    <col min="17" max="17" width="34" customWidth="1"/>
    <col min="18" max="19" width="15" customWidth="1"/>
    <col min="20" max="21" width="14" customWidth="1"/>
    <col min="22" max="22" width="15" customWidth="1"/>
    <col min="23" max="23" width="26" customWidth="1"/>
    <col min="24" max="24" width="18" customWidth="1"/>
    <col min="25" max="25" width="23" customWidth="1"/>
    <col min="26" max="26" width="27" customWidth="1"/>
    <col min="27" max="27" width="31" customWidth="1"/>
    <col min="28" max="28" width="20" customWidth="1"/>
    <col min="29" max="29" width="17" customWidth="1"/>
    <col min="30" max="30" width="37" customWidth="1"/>
    <col min="31" max="31" width="24" customWidth="1"/>
    <col min="32" max="32" width="20" customWidth="1"/>
    <col min="33" max="33" width="21" customWidth="1"/>
    <col min="34" max="35" width="25" customWidth="1"/>
    <col min="36" max="36" width="24" customWidth="1"/>
    <col min="37" max="38" width="27" customWidth="1"/>
    <col min="39" max="39" width="21" customWidth="1"/>
    <col min="40" max="40" width="18" customWidth="1"/>
    <col min="41" max="41" width="26" customWidth="1"/>
    <col min="42" max="42" width="21" customWidth="1"/>
    <col min="43" max="43" width="29" customWidth="1"/>
    <col min="44" max="44" width="30" customWidth="1"/>
    <col min="45" max="45" width="29" customWidth="1"/>
    <col min="46" max="46" width="21" customWidth="1"/>
    <col min="47" max="47" width="29" customWidth="1"/>
    <col min="48" max="48" width="23" customWidth="1"/>
    <col min="49" max="49" width="17" customWidth="1"/>
    <col min="50" max="50" width="19" customWidth="1"/>
    <col min="51" max="51" width="26" customWidth="1"/>
    <col min="52" max="52" width="21" customWidth="1"/>
    <col min="53" max="53" width="20" customWidth="1"/>
    <col min="54" max="54" width="23" customWidth="1"/>
    <col min="55" max="55" width="21" customWidth="1"/>
    <col min="56" max="56" width="23" customWidth="1"/>
    <col min="57" max="58" width="22" customWidth="1"/>
    <col min="59" max="59" width="31" customWidth="1"/>
    <col min="60" max="60" width="28" customWidth="1"/>
    <col min="61" max="61" width="26" customWidth="1"/>
    <col min="62" max="62" width="22" customWidth="1"/>
    <col min="63" max="65" width="21" customWidth="1"/>
    <col min="66" max="66" width="18" customWidth="1"/>
    <col min="67" max="67" width="24" customWidth="1"/>
    <col min="68" max="68" width="30" customWidth="1"/>
    <col min="69" max="70" width="22" customWidth="1"/>
    <col min="71" max="71" width="15" customWidth="1"/>
    <col min="72" max="72" width="22" customWidth="1"/>
    <col min="73" max="73" width="19" customWidth="1"/>
    <col min="74" max="74" width="20" customWidth="1"/>
    <col min="75" max="75" width="17" customWidth="1"/>
    <col min="76" max="76" width="24" customWidth="1"/>
    <col min="77" max="77" width="21" customWidth="1"/>
    <col min="78" max="81" width="42" customWidth="1"/>
    <col min="82" max="82" width="19" customWidth="1"/>
    <col min="83" max="83" width="31" customWidth="1"/>
    <col min="84" max="85" width="27" customWidth="1"/>
    <col min="86" max="86" width="26" customWidth="1"/>
    <col min="87" max="87" width="22" customWidth="1"/>
    <col min="88" max="88" width="26" customWidth="1"/>
    <col min="89" max="89" width="28" customWidth="1"/>
    <col min="90" max="90" width="20" customWidth="1"/>
    <col min="91" max="91" width="18" customWidth="1"/>
    <col min="92" max="92" width="26" customWidth="1"/>
    <col min="93" max="93" width="17" customWidth="1"/>
    <col min="94" max="94" width="21" customWidth="1"/>
    <col min="95" max="95" width="20" customWidth="1"/>
    <col min="96" max="96" width="16" customWidth="1"/>
    <col min="97" max="98" width="19" customWidth="1"/>
    <col min="99" max="99" width="27" customWidth="1"/>
    <col min="100" max="102" width="19" customWidth="1"/>
    <col min="103" max="103" width="23" customWidth="1"/>
    <col min="104" max="104" width="24" customWidth="1"/>
    <col min="105" max="105" width="26" customWidth="1"/>
    <col min="106" max="106" width="27" customWidth="1"/>
    <col min="107" max="107" width="28" customWidth="1"/>
    <col min="108" max="108" width="32" customWidth="1"/>
    <col min="109" max="109" width="33" customWidth="1"/>
    <col min="110" max="110" width="16" customWidth="1"/>
    <col min="111" max="111" width="24" customWidth="1"/>
    <col min="112" max="112" width="25" customWidth="1"/>
    <col min="113" max="113" width="27" customWidth="1"/>
    <col min="114" max="114" width="28" customWidth="1"/>
    <col min="115" max="115" width="26" customWidth="1"/>
    <col min="116" max="116" width="21" customWidth="1"/>
    <col min="117" max="117" width="25" customWidth="1"/>
    <col min="118" max="118" width="28" customWidth="1"/>
    <col min="119" max="119" width="30" customWidth="1"/>
    <col min="120" max="120" width="19" customWidth="1"/>
    <col min="121" max="121" width="27" customWidth="1"/>
    <col min="122" max="126" width="42" customWidth="1"/>
    <col min="127" max="128" width="28" customWidth="1"/>
    <col min="129" max="129" width="24" customWidth="1"/>
    <col min="130" max="130" width="31" customWidth="1"/>
    <col min="131" max="131" width="33" customWidth="1"/>
    <col min="132" max="133" width="26" customWidth="1"/>
    <col min="134" max="134" width="21" customWidth="1"/>
    <col min="135" max="135" width="14" customWidth="1"/>
    <col min="136" max="136" width="15" customWidth="1"/>
    <col min="137" max="137" width="17" customWidth="1"/>
    <col min="138" max="138" width="20" customWidth="1"/>
    <col min="139" max="139" width="13" customWidth="1"/>
    <col min="140" max="140" width="20" customWidth="1"/>
    <col min="141" max="141" width="21" customWidth="1"/>
    <col min="142" max="142" width="19" customWidth="1"/>
    <col min="143" max="143" width="42" customWidth="1"/>
    <col min="144" max="144" width="17" customWidth="1"/>
    <col min="145" max="146" width="25" customWidth="1"/>
    <col min="147" max="147" width="19" customWidth="1"/>
    <col min="148" max="148" width="12" customWidth="1"/>
    <col min="149" max="149" width="16" customWidth="1"/>
    <col min="150" max="150" width="27" customWidth="1"/>
    <col min="151" max="151" width="22" customWidth="1"/>
    <col min="152" max="152" width="28" customWidth="1"/>
    <col min="153" max="153" width="29" customWidth="1"/>
    <col min="154" max="154" width="23" customWidth="1"/>
    <col min="155" max="155" width="25" customWidth="1"/>
    <col min="156" max="156" width="22" customWidth="1"/>
    <col min="157" max="157" width="26" customWidth="1"/>
    <col min="158" max="158" width="24" customWidth="1"/>
    <col min="159" max="159" width="26" customWidth="1"/>
    <col min="160" max="160" width="29" customWidth="1"/>
    <col min="161" max="161" width="17" customWidth="1"/>
    <col min="162" max="168" width="42" customWidth="1"/>
    <col min="169" max="170" width="16" customWidth="1"/>
    <col min="171" max="171" width="20" customWidth="1"/>
    <col min="172" max="172" width="19" customWidth="1"/>
    <col min="173" max="173" width="21" customWidth="1"/>
    <col min="174" max="174" width="27" customWidth="1"/>
    <col min="175" max="175" width="18" customWidth="1"/>
    <col min="176" max="176" width="24" customWidth="1"/>
    <col min="177" max="177" width="22" customWidth="1"/>
    <col min="178" max="178" width="21" customWidth="1"/>
    <col min="179" max="179" width="17" customWidth="1"/>
    <col min="180" max="180" width="21" customWidth="1"/>
    <col min="181" max="181" width="26" customWidth="1"/>
    <col min="182" max="182" width="24" customWidth="1"/>
    <col min="183" max="183" width="19" customWidth="1"/>
    <col min="184" max="184" width="20" customWidth="1"/>
    <col min="185" max="185" width="18" customWidth="1"/>
    <col min="186" max="186" width="16" customWidth="1"/>
    <col min="187" max="187" width="20" customWidth="1"/>
    <col min="188" max="188" width="27" customWidth="1"/>
    <col min="189" max="189" width="22" customWidth="1"/>
    <col min="190" max="190" width="23" customWidth="1"/>
    <col min="191" max="191" width="25" customWidth="1"/>
    <col min="192" max="192" width="23" customWidth="1"/>
    <col min="193" max="193" width="15" customWidth="1"/>
    <col min="194" max="194" width="14" customWidth="1"/>
    <col min="195" max="195" width="16" customWidth="1"/>
    <col min="196" max="198" width="19" customWidth="1"/>
    <col min="199" max="199" width="23" customWidth="1"/>
    <col min="200" max="200" width="21" customWidth="1"/>
    <col min="201" max="201" width="23" customWidth="1"/>
    <col min="202" max="202" width="14" customWidth="1"/>
    <col min="203" max="203" width="13" customWidth="1"/>
    <col min="204" max="204" width="15" customWidth="1"/>
    <col min="205" max="207" width="18" customWidth="1"/>
    <col min="208" max="208" width="22" customWidth="1"/>
    <col min="209" max="209" width="20" customWidth="1"/>
    <col min="210" max="210" width="22" customWidth="1"/>
    <col min="211" max="211" width="34" customWidth="1"/>
    <col min="212" max="214" width="38" customWidth="1"/>
    <col min="215" max="215" width="42" customWidth="1"/>
    <col min="216" max="216" width="39" customWidth="1"/>
    <col min="217" max="217" width="29" customWidth="1"/>
    <col min="218" max="220" width="33" customWidth="1"/>
    <col min="221" max="221" width="41" customWidth="1"/>
    <col min="222" max="222" width="34" customWidth="1"/>
    <col min="223" max="223" width="36" customWidth="1"/>
    <col min="224" max="226" width="40" customWidth="1"/>
    <col min="227" max="227" width="42" customWidth="1"/>
    <col min="228" max="228" width="41" customWidth="1"/>
    <col min="229" max="229" width="28" customWidth="1"/>
    <col min="230" max="232" width="32" customWidth="1"/>
    <col min="233" max="233" width="40" customWidth="1"/>
    <col min="234" max="234" width="33" customWidth="1"/>
    <col min="235" max="235" width="32" customWidth="1"/>
    <col min="236" max="238" width="36" customWidth="1"/>
    <col min="239" max="239" width="42" customWidth="1"/>
    <col min="240" max="240" width="37" customWidth="1"/>
    <col min="241" max="241" width="39" customWidth="1"/>
    <col min="242" max="246" width="42" customWidth="1"/>
    <col min="247" max="247" width="35" customWidth="1"/>
    <col min="248" max="250" width="39" customWidth="1"/>
    <col min="251" max="251" width="42" customWidth="1"/>
    <col min="252" max="252" width="40" customWidth="1"/>
    <col min="253" max="253" width="38" customWidth="1"/>
    <col min="254" max="258" width="42" customWidth="1"/>
    <col min="259" max="259" width="17" customWidth="1"/>
    <col min="260" max="260" width="21" customWidth="1"/>
    <col min="261" max="261" width="18" customWidth="1"/>
    <col min="262" max="262" width="20" customWidth="1"/>
    <col min="263" max="263" width="24" customWidth="1"/>
    <col min="264" max="269" width="42" customWidth="1"/>
    <col min="270" max="270" width="29" customWidth="1"/>
    <col min="271" max="271" width="12" customWidth="1"/>
    <col min="272" max="272" width="32" customWidth="1"/>
    <col min="273" max="273" width="13" customWidth="1"/>
    <col min="274" max="274" width="14" customWidth="1"/>
    <col min="275" max="275" width="21" customWidth="1"/>
    <col min="276" max="276" width="14" customWidth="1"/>
    <col min="277" max="279" width="17" customWidth="1"/>
    <col min="280" max="281" width="16" customWidth="1"/>
    <col min="282" max="282" width="12" customWidth="1"/>
    <col min="283" max="283" width="21" customWidth="1"/>
    <col min="284" max="284" width="42" customWidth="1"/>
    <col min="285" max="285" width="19" customWidth="1"/>
    <col min="286" max="287" width="23" customWidth="1"/>
    <col min="288" max="288" width="18" customWidth="1"/>
    <col min="289" max="290" width="22" customWidth="1"/>
    <col min="291" max="291" width="20" customWidth="1"/>
    <col min="292" max="293" width="24" customWidth="1"/>
    <col min="294" max="294" width="23" customWidth="1"/>
    <col min="295" max="296" width="27" customWidth="1"/>
    <col min="297" max="297" width="23" customWidth="1"/>
    <col min="298" max="299" width="27" customWidth="1"/>
    <col min="300" max="300" width="23" customWidth="1"/>
    <col min="301" max="303" width="27" customWidth="1"/>
    <col min="304" max="305" width="31" customWidth="1"/>
    <col min="306" max="306" width="25" customWidth="1"/>
    <col min="307" max="308" width="29" customWidth="1"/>
    <col min="309" max="309" width="27" customWidth="1"/>
    <col min="310" max="311" width="31" customWidth="1"/>
    <col min="312" max="312" width="20" customWidth="1"/>
    <col min="313" max="313" width="21" customWidth="1"/>
    <col min="314" max="314" width="22" customWidth="1"/>
    <col min="315" max="315" width="24" customWidth="1"/>
    <col min="316" max="316" width="21" customWidth="1"/>
    <col min="317" max="317" width="24" customWidth="1"/>
    <col min="318" max="318" width="22" customWidth="1"/>
    <col min="319" max="319" width="23" customWidth="1"/>
    <col min="320" max="321" width="24" customWidth="1"/>
    <col min="322" max="322" width="23" customWidth="1"/>
    <col min="323" max="323" width="18" customWidth="1"/>
    <col min="324" max="324" width="17" customWidth="1"/>
    <col min="325" max="325" width="14" customWidth="1"/>
    <col min="326" max="326" width="24" customWidth="1"/>
    <col min="327" max="327" width="22" customWidth="1"/>
    <col min="328" max="328" width="42" customWidth="1"/>
    <col min="329" max="331" width="12" customWidth="1"/>
    <col min="332" max="333" width="13" customWidth="1"/>
    <col min="334" max="334" width="12" customWidth="1"/>
    <col min="335" max="335" width="13" customWidth="1"/>
    <col min="336" max="336" width="23" customWidth="1"/>
    <col min="337" max="339" width="22" customWidth="1"/>
    <col min="340" max="340" width="29" customWidth="1"/>
    <col min="341" max="341" width="30" customWidth="1"/>
    <col min="342" max="342" width="40" customWidth="1"/>
    <col min="343" max="343" width="28" customWidth="1"/>
  </cols>
  <sheetData>
    <row r="1" spans="1:343" ht="22.05" customHeight="1" x14ac:dyDescent="0.3">
      <c r="A1" s="73" t="s">
        <v>0</v>
      </c>
      <c r="B1" s="73" t="s">
        <v>1</v>
      </c>
      <c r="C1" s="73" t="s">
        <v>2</v>
      </c>
      <c r="D1" s="73" t="s">
        <v>3</v>
      </c>
      <c r="E1" s="73" t="s">
        <v>4</v>
      </c>
      <c r="F1" s="73" t="s">
        <v>5</v>
      </c>
      <c r="G1" s="73" t="s">
        <v>6</v>
      </c>
      <c r="H1" s="73" t="s">
        <v>7</v>
      </c>
      <c r="I1" s="73" t="s">
        <v>8</v>
      </c>
      <c r="J1" s="74" t="s">
        <v>9</v>
      </c>
      <c r="K1" s="74" t="s">
        <v>10</v>
      </c>
      <c r="L1" s="74" t="s">
        <v>11</v>
      </c>
      <c r="M1" s="74" t="s">
        <v>12</v>
      </c>
      <c r="N1" s="74" t="s">
        <v>13</v>
      </c>
      <c r="O1" s="74" t="s">
        <v>14</v>
      </c>
      <c r="P1" s="74" t="s">
        <v>15</v>
      </c>
      <c r="Q1" s="74" t="s">
        <v>16</v>
      </c>
      <c r="R1" s="74" t="s">
        <v>17</v>
      </c>
      <c r="S1" s="74" t="s">
        <v>18</v>
      </c>
      <c r="T1" s="74" t="s">
        <v>19</v>
      </c>
      <c r="U1" s="74" t="s">
        <v>20</v>
      </c>
      <c r="V1" s="74" t="s">
        <v>21</v>
      </c>
      <c r="W1" s="74" t="s">
        <v>22</v>
      </c>
      <c r="X1" s="74" t="s">
        <v>23</v>
      </c>
      <c r="Y1" s="74" t="s">
        <v>24</v>
      </c>
      <c r="Z1" s="74" t="s">
        <v>25</v>
      </c>
      <c r="AA1" s="74" t="s">
        <v>26</v>
      </c>
      <c r="AB1" s="74" t="s">
        <v>27</v>
      </c>
      <c r="AC1" s="74" t="s">
        <v>28</v>
      </c>
      <c r="AD1" s="74" t="s">
        <v>29</v>
      </c>
      <c r="AE1" s="74" t="s">
        <v>30</v>
      </c>
      <c r="AF1" s="74" t="s">
        <v>31</v>
      </c>
      <c r="AG1" s="74" t="s">
        <v>32</v>
      </c>
      <c r="AH1" s="74" t="s">
        <v>33</v>
      </c>
      <c r="AI1" s="74" t="s">
        <v>34</v>
      </c>
      <c r="AJ1" s="74" t="s">
        <v>35</v>
      </c>
      <c r="AK1" s="74" t="s">
        <v>36</v>
      </c>
      <c r="AL1" s="74" t="s">
        <v>37</v>
      </c>
      <c r="AM1" s="74" t="s">
        <v>38</v>
      </c>
      <c r="AN1" s="74" t="s">
        <v>39</v>
      </c>
      <c r="AO1" s="74" t="s">
        <v>40</v>
      </c>
      <c r="AP1" s="74" t="s">
        <v>41</v>
      </c>
      <c r="AQ1" s="74" t="s">
        <v>42</v>
      </c>
      <c r="AR1" s="74" t="s">
        <v>43</v>
      </c>
      <c r="AS1" s="74" t="s">
        <v>44</v>
      </c>
      <c r="AT1" s="74" t="s">
        <v>45</v>
      </c>
      <c r="AU1" s="74" t="s">
        <v>46</v>
      </c>
      <c r="AV1" s="74" t="s">
        <v>47</v>
      </c>
      <c r="AW1" s="74" t="s">
        <v>48</v>
      </c>
      <c r="AX1" s="74" t="s">
        <v>49</v>
      </c>
      <c r="AY1" s="74" t="s">
        <v>50</v>
      </c>
      <c r="AZ1" s="74" t="s">
        <v>51</v>
      </c>
      <c r="BA1" s="74" t="s">
        <v>52</v>
      </c>
      <c r="BB1" s="74" t="s">
        <v>53</v>
      </c>
      <c r="BC1" s="74" t="s">
        <v>54</v>
      </c>
      <c r="BD1" s="74" t="s">
        <v>55</v>
      </c>
      <c r="BE1" s="74" t="s">
        <v>56</v>
      </c>
      <c r="BF1" s="74" t="s">
        <v>57</v>
      </c>
      <c r="BG1" s="74" t="s">
        <v>58</v>
      </c>
      <c r="BH1" s="74" t="s">
        <v>59</v>
      </c>
      <c r="BI1" s="74" t="s">
        <v>60</v>
      </c>
      <c r="BJ1" s="74" t="s">
        <v>61</v>
      </c>
      <c r="BK1" s="74" t="s">
        <v>62</v>
      </c>
      <c r="BL1" s="74" t="s">
        <v>63</v>
      </c>
      <c r="BM1" s="74" t="s">
        <v>64</v>
      </c>
      <c r="BN1" s="74" t="s">
        <v>65</v>
      </c>
      <c r="BO1" s="74" t="s">
        <v>66</v>
      </c>
      <c r="BP1" s="74" t="s">
        <v>67</v>
      </c>
      <c r="BQ1" s="74" t="s">
        <v>68</v>
      </c>
      <c r="BR1" s="74" t="s">
        <v>69</v>
      </c>
      <c r="BS1" s="75" t="s">
        <v>70</v>
      </c>
      <c r="BT1" s="75" t="s">
        <v>71</v>
      </c>
      <c r="BU1" s="75" t="s">
        <v>72</v>
      </c>
      <c r="BV1" s="75" t="s">
        <v>73</v>
      </c>
      <c r="BW1" s="75" t="s">
        <v>74</v>
      </c>
      <c r="BX1" s="75" t="s">
        <v>75</v>
      </c>
      <c r="BY1" s="75" t="s">
        <v>76</v>
      </c>
      <c r="BZ1" s="75" t="s">
        <v>77</v>
      </c>
      <c r="CA1" s="75" t="s">
        <v>78</v>
      </c>
      <c r="CB1" s="75" t="s">
        <v>79</v>
      </c>
      <c r="CC1" s="76" t="s">
        <v>80</v>
      </c>
      <c r="CD1" s="76" t="s">
        <v>81</v>
      </c>
      <c r="CE1" s="76" t="s">
        <v>82</v>
      </c>
      <c r="CF1" s="76" t="s">
        <v>83</v>
      </c>
      <c r="CG1" s="76" t="s">
        <v>84</v>
      </c>
      <c r="CH1" s="76" t="s">
        <v>85</v>
      </c>
      <c r="CI1" s="76" t="s">
        <v>86</v>
      </c>
      <c r="CJ1" s="76" t="s">
        <v>87</v>
      </c>
      <c r="CK1" s="76" t="s">
        <v>88</v>
      </c>
      <c r="CL1" s="76" t="s">
        <v>89</v>
      </c>
      <c r="CM1" s="76" t="s">
        <v>90</v>
      </c>
      <c r="CN1" s="76" t="s">
        <v>91</v>
      </c>
      <c r="CO1" s="76" t="s">
        <v>92</v>
      </c>
      <c r="CP1" s="76" t="s">
        <v>93</v>
      </c>
      <c r="CQ1" s="76" t="s">
        <v>94</v>
      </c>
      <c r="CR1" s="76" t="s">
        <v>95</v>
      </c>
      <c r="CS1" s="76" t="s">
        <v>96</v>
      </c>
      <c r="CT1" s="76" t="s">
        <v>97</v>
      </c>
      <c r="CU1" s="76" t="s">
        <v>98</v>
      </c>
      <c r="CV1" s="76" t="s">
        <v>99</v>
      </c>
      <c r="CW1" s="76" t="s">
        <v>100</v>
      </c>
      <c r="CX1" s="76" t="s">
        <v>101</v>
      </c>
      <c r="CY1" s="76" t="s">
        <v>102</v>
      </c>
      <c r="CZ1" s="76" t="s">
        <v>103</v>
      </c>
      <c r="DA1" s="76" t="s">
        <v>104</v>
      </c>
      <c r="DB1" s="76" t="s">
        <v>105</v>
      </c>
      <c r="DC1" s="76" t="s">
        <v>106</v>
      </c>
      <c r="DD1" s="76" t="s">
        <v>107</v>
      </c>
      <c r="DE1" s="76" t="s">
        <v>108</v>
      </c>
      <c r="DF1" s="76" t="s">
        <v>109</v>
      </c>
      <c r="DG1" s="76" t="s">
        <v>110</v>
      </c>
      <c r="DH1" s="76" t="s">
        <v>111</v>
      </c>
      <c r="DI1" s="76" t="s">
        <v>112</v>
      </c>
      <c r="DJ1" s="76" t="s">
        <v>113</v>
      </c>
      <c r="DK1" s="76" t="s">
        <v>114</v>
      </c>
      <c r="DL1" s="76" t="s">
        <v>115</v>
      </c>
      <c r="DM1" s="76" t="s">
        <v>116</v>
      </c>
      <c r="DN1" s="76" t="s">
        <v>117</v>
      </c>
      <c r="DO1" s="76" t="s">
        <v>118</v>
      </c>
      <c r="DP1" s="76" t="s">
        <v>119</v>
      </c>
      <c r="DQ1" s="76" t="s">
        <v>120</v>
      </c>
      <c r="DR1" s="76" t="s">
        <v>121</v>
      </c>
      <c r="DS1" s="76" t="s">
        <v>122</v>
      </c>
      <c r="DT1" s="76" t="s">
        <v>123</v>
      </c>
      <c r="DU1" s="76" t="s">
        <v>124</v>
      </c>
      <c r="DV1" s="76" t="s">
        <v>125</v>
      </c>
      <c r="DW1" s="76" t="s">
        <v>126</v>
      </c>
      <c r="DX1" s="76" t="s">
        <v>127</v>
      </c>
      <c r="DY1" s="76" t="s">
        <v>128</v>
      </c>
      <c r="DZ1" s="76" t="s">
        <v>129</v>
      </c>
      <c r="EA1" s="76" t="s">
        <v>130</v>
      </c>
      <c r="EB1" s="76" t="s">
        <v>131</v>
      </c>
      <c r="EC1" s="76" t="s">
        <v>132</v>
      </c>
      <c r="ED1" s="76" t="s">
        <v>133</v>
      </c>
      <c r="EE1" s="77" t="s">
        <v>134</v>
      </c>
      <c r="EF1" s="77" t="s">
        <v>135</v>
      </c>
      <c r="EG1" s="77" t="s">
        <v>136</v>
      </c>
      <c r="EH1" s="77" t="s">
        <v>137</v>
      </c>
      <c r="EI1" s="77" t="s">
        <v>138</v>
      </c>
      <c r="EJ1" s="77" t="s">
        <v>139</v>
      </c>
      <c r="EK1" s="77" t="s">
        <v>140</v>
      </c>
      <c r="EL1" s="77" t="s">
        <v>141</v>
      </c>
      <c r="EM1" s="77" t="s">
        <v>142</v>
      </c>
      <c r="EN1" s="77" t="s">
        <v>143</v>
      </c>
      <c r="EO1" s="77" t="s">
        <v>144</v>
      </c>
      <c r="EP1" s="77" t="s">
        <v>145</v>
      </c>
      <c r="EQ1" s="77" t="s">
        <v>146</v>
      </c>
      <c r="ER1" s="77" t="s">
        <v>147</v>
      </c>
      <c r="ES1" s="77" t="s">
        <v>148</v>
      </c>
      <c r="ET1" s="77" t="s">
        <v>149</v>
      </c>
      <c r="EU1" s="77" t="s">
        <v>150</v>
      </c>
      <c r="EV1" s="77" t="s">
        <v>151</v>
      </c>
      <c r="EW1" s="77" t="s">
        <v>152</v>
      </c>
      <c r="EX1" s="77" t="s">
        <v>153</v>
      </c>
      <c r="EY1" s="77" t="s">
        <v>154</v>
      </c>
      <c r="EZ1" s="77" t="s">
        <v>155</v>
      </c>
      <c r="FA1" s="77" t="s">
        <v>156</v>
      </c>
      <c r="FB1" s="77" t="s">
        <v>157</v>
      </c>
      <c r="FC1" s="77" t="s">
        <v>158</v>
      </c>
      <c r="FD1" s="78" t="s">
        <v>159</v>
      </c>
      <c r="FE1" s="79" t="s">
        <v>160</v>
      </c>
      <c r="FF1" s="79" t="s">
        <v>161</v>
      </c>
      <c r="FG1" s="79" t="s">
        <v>162</v>
      </c>
      <c r="FH1" s="79" t="s">
        <v>163</v>
      </c>
      <c r="FI1" s="79" t="s">
        <v>164</v>
      </c>
      <c r="FJ1" s="79" t="s">
        <v>165</v>
      </c>
      <c r="FK1" s="79" t="s">
        <v>166</v>
      </c>
      <c r="FL1" s="79" t="s">
        <v>167</v>
      </c>
      <c r="FM1" s="79" t="s">
        <v>168</v>
      </c>
      <c r="FN1" s="80" t="s">
        <v>169</v>
      </c>
      <c r="FO1" s="80" t="s">
        <v>170</v>
      </c>
      <c r="FP1" s="80" t="s">
        <v>171</v>
      </c>
      <c r="FQ1" s="80" t="s">
        <v>172</v>
      </c>
      <c r="FR1" s="80" t="s">
        <v>173</v>
      </c>
      <c r="FS1" s="80" t="s">
        <v>174</v>
      </c>
      <c r="FT1" s="80" t="s">
        <v>175</v>
      </c>
      <c r="FU1" s="80" t="s">
        <v>176</v>
      </c>
      <c r="FV1" s="80" t="s">
        <v>177</v>
      </c>
      <c r="FW1" s="80" t="s">
        <v>178</v>
      </c>
      <c r="FX1" s="80" t="s">
        <v>179</v>
      </c>
      <c r="FY1" s="80" t="s">
        <v>180</v>
      </c>
      <c r="FZ1" s="80" t="s">
        <v>181</v>
      </c>
      <c r="GA1" s="80" t="s">
        <v>182</v>
      </c>
      <c r="GB1" s="80" t="s">
        <v>183</v>
      </c>
      <c r="GC1" s="80" t="s">
        <v>184</v>
      </c>
      <c r="GD1" s="80" t="s">
        <v>185</v>
      </c>
      <c r="GE1" s="80" t="s">
        <v>186</v>
      </c>
      <c r="GF1" s="80" t="s">
        <v>187</v>
      </c>
      <c r="GG1" s="80" t="s">
        <v>188</v>
      </c>
      <c r="GH1" s="80" t="s">
        <v>189</v>
      </c>
      <c r="GI1" s="80" t="s">
        <v>190</v>
      </c>
      <c r="GJ1" s="80" t="s">
        <v>191</v>
      </c>
      <c r="GK1" s="80" t="s">
        <v>192</v>
      </c>
      <c r="GL1" s="80" t="s">
        <v>193</v>
      </c>
      <c r="GM1" s="80" t="s">
        <v>194</v>
      </c>
      <c r="GN1" s="80" t="s">
        <v>195</v>
      </c>
      <c r="GO1" s="80" t="s">
        <v>196</v>
      </c>
      <c r="GP1" s="80" t="s">
        <v>197</v>
      </c>
      <c r="GQ1" s="80" t="s">
        <v>198</v>
      </c>
      <c r="GR1" s="80" t="s">
        <v>199</v>
      </c>
      <c r="GS1" s="80" t="s">
        <v>200</v>
      </c>
      <c r="GT1" s="80" t="s">
        <v>201</v>
      </c>
      <c r="GU1" s="80" t="s">
        <v>202</v>
      </c>
      <c r="GV1" s="80" t="s">
        <v>203</v>
      </c>
      <c r="GW1" s="80" t="s">
        <v>204</v>
      </c>
      <c r="GX1" s="80" t="s">
        <v>205</v>
      </c>
      <c r="GY1" s="80" t="s">
        <v>206</v>
      </c>
      <c r="GZ1" s="80" t="s">
        <v>207</v>
      </c>
      <c r="HA1" s="80" t="s">
        <v>208</v>
      </c>
      <c r="HB1" s="80" t="s">
        <v>209</v>
      </c>
      <c r="HC1" s="80" t="s">
        <v>210</v>
      </c>
      <c r="HD1" s="80" t="s">
        <v>211</v>
      </c>
      <c r="HE1" s="80" t="s">
        <v>212</v>
      </c>
      <c r="HF1" s="80" t="s">
        <v>213</v>
      </c>
      <c r="HG1" s="80" t="s">
        <v>214</v>
      </c>
      <c r="HH1" s="80" t="s">
        <v>215</v>
      </c>
      <c r="HI1" s="80" t="s">
        <v>216</v>
      </c>
      <c r="HJ1" s="80" t="s">
        <v>217</v>
      </c>
      <c r="HK1" s="80" t="s">
        <v>218</v>
      </c>
      <c r="HL1" s="80" t="s">
        <v>219</v>
      </c>
      <c r="HM1" s="80" t="s">
        <v>220</v>
      </c>
      <c r="HN1" s="80" t="s">
        <v>221</v>
      </c>
      <c r="HO1" s="80" t="s">
        <v>222</v>
      </c>
      <c r="HP1" s="80" t="s">
        <v>223</v>
      </c>
      <c r="HQ1" s="80" t="s">
        <v>224</v>
      </c>
      <c r="HR1" s="80" t="s">
        <v>225</v>
      </c>
      <c r="HS1" s="80" t="s">
        <v>226</v>
      </c>
      <c r="HT1" s="80" t="s">
        <v>227</v>
      </c>
      <c r="HU1" s="80" t="s">
        <v>228</v>
      </c>
      <c r="HV1" s="80" t="s">
        <v>229</v>
      </c>
      <c r="HW1" s="80" t="s">
        <v>230</v>
      </c>
      <c r="HX1" s="80" t="s">
        <v>231</v>
      </c>
      <c r="HY1" s="80" t="s">
        <v>232</v>
      </c>
      <c r="HZ1" s="80" t="s">
        <v>233</v>
      </c>
      <c r="IA1" s="80" t="s">
        <v>234</v>
      </c>
      <c r="IB1" s="80" t="s">
        <v>235</v>
      </c>
      <c r="IC1" s="80" t="s">
        <v>236</v>
      </c>
      <c r="ID1" s="80" t="s">
        <v>237</v>
      </c>
      <c r="IE1" s="80" t="s">
        <v>238</v>
      </c>
      <c r="IF1" s="80" t="s">
        <v>239</v>
      </c>
      <c r="IG1" s="80" t="s">
        <v>240</v>
      </c>
      <c r="IH1" s="80" t="s">
        <v>241</v>
      </c>
      <c r="II1" s="80" t="s">
        <v>242</v>
      </c>
      <c r="IJ1" s="80" t="s">
        <v>243</v>
      </c>
      <c r="IK1" s="80" t="s">
        <v>244</v>
      </c>
      <c r="IL1" s="80" t="s">
        <v>245</v>
      </c>
      <c r="IM1" s="80" t="s">
        <v>246</v>
      </c>
      <c r="IN1" s="80" t="s">
        <v>247</v>
      </c>
      <c r="IO1" s="80" t="s">
        <v>248</v>
      </c>
      <c r="IP1" s="80" t="s">
        <v>249</v>
      </c>
      <c r="IQ1" s="80" t="s">
        <v>250</v>
      </c>
      <c r="IR1" s="80" t="s">
        <v>251</v>
      </c>
      <c r="IS1" s="80" t="s">
        <v>252</v>
      </c>
      <c r="IT1" s="80" t="s">
        <v>253</v>
      </c>
      <c r="IU1" s="80" t="s">
        <v>254</v>
      </c>
      <c r="IV1" s="80" t="s">
        <v>255</v>
      </c>
      <c r="IW1" s="80" t="s">
        <v>256</v>
      </c>
      <c r="IX1" s="80" t="s">
        <v>257</v>
      </c>
      <c r="IY1" s="80" t="s">
        <v>258</v>
      </c>
      <c r="IZ1" s="80" t="s">
        <v>259</v>
      </c>
      <c r="JA1" s="80" t="s">
        <v>260</v>
      </c>
      <c r="JB1" s="80" t="s">
        <v>261</v>
      </c>
      <c r="JC1" s="80" t="s">
        <v>262</v>
      </c>
      <c r="JD1" s="80" t="s">
        <v>263</v>
      </c>
      <c r="JE1" s="80" t="s">
        <v>264</v>
      </c>
      <c r="JF1" s="80" t="s">
        <v>265</v>
      </c>
      <c r="JG1" s="80" t="s">
        <v>266</v>
      </c>
      <c r="JH1" s="80" t="s">
        <v>267</v>
      </c>
      <c r="JI1" s="80" t="s">
        <v>268</v>
      </c>
      <c r="JJ1" s="73" t="s">
        <v>269</v>
      </c>
      <c r="JK1" s="73" t="s">
        <v>270</v>
      </c>
      <c r="JL1" s="81" t="s">
        <v>271</v>
      </c>
      <c r="JM1" s="81" t="s">
        <v>272</v>
      </c>
      <c r="JN1" s="81" t="s">
        <v>273</v>
      </c>
      <c r="JO1" s="81" t="s">
        <v>274</v>
      </c>
      <c r="JP1" s="81" t="s">
        <v>275</v>
      </c>
      <c r="JQ1" s="81" t="s">
        <v>276</v>
      </c>
      <c r="JR1" s="81" t="s">
        <v>277</v>
      </c>
      <c r="JS1" s="81" t="s">
        <v>278</v>
      </c>
      <c r="JT1" s="81" t="s">
        <v>279</v>
      </c>
      <c r="JU1" s="81" t="s">
        <v>280</v>
      </c>
      <c r="JV1" s="81" t="s">
        <v>281</v>
      </c>
      <c r="JW1" s="81" t="s">
        <v>282</v>
      </c>
      <c r="JX1" s="81" t="s">
        <v>283</v>
      </c>
      <c r="JY1" s="81" t="s">
        <v>284</v>
      </c>
      <c r="JZ1" s="81" t="s">
        <v>285</v>
      </c>
      <c r="KA1" s="81" t="s">
        <v>286</v>
      </c>
      <c r="KB1" s="81" t="s">
        <v>287</v>
      </c>
      <c r="KC1" s="81" t="s">
        <v>288</v>
      </c>
      <c r="KD1" s="81" t="s">
        <v>289</v>
      </c>
      <c r="KE1" s="81" t="s">
        <v>290</v>
      </c>
      <c r="KF1" s="81" t="s">
        <v>291</v>
      </c>
      <c r="KG1" s="81" t="s">
        <v>292</v>
      </c>
      <c r="KH1" s="81" t="s">
        <v>293</v>
      </c>
      <c r="KI1" s="81" t="s">
        <v>294</v>
      </c>
      <c r="KJ1" s="81" t="s">
        <v>295</v>
      </c>
      <c r="KK1" s="81" t="s">
        <v>296</v>
      </c>
      <c r="KL1" s="81" t="s">
        <v>297</v>
      </c>
      <c r="KM1" s="81" t="s">
        <v>298</v>
      </c>
      <c r="KN1" s="81" t="s">
        <v>299</v>
      </c>
      <c r="KO1" s="81" t="s">
        <v>300</v>
      </c>
      <c r="KP1" s="81" t="s">
        <v>301</v>
      </c>
      <c r="KQ1" s="81" t="s">
        <v>302</v>
      </c>
      <c r="KR1" s="81" t="s">
        <v>303</v>
      </c>
      <c r="KS1" s="81" t="s">
        <v>304</v>
      </c>
      <c r="KT1" s="81" t="s">
        <v>305</v>
      </c>
      <c r="KU1" s="81" t="s">
        <v>306</v>
      </c>
      <c r="KV1" s="81" t="s">
        <v>307</v>
      </c>
      <c r="KW1" s="81" t="s">
        <v>308</v>
      </c>
      <c r="KX1" s="81" t="s">
        <v>309</v>
      </c>
      <c r="KY1" s="81" t="s">
        <v>310</v>
      </c>
      <c r="KZ1" s="81" t="s">
        <v>311</v>
      </c>
      <c r="LA1" s="81" t="s">
        <v>312</v>
      </c>
      <c r="LB1" s="81" t="s">
        <v>313</v>
      </c>
      <c r="LC1" s="81" t="s">
        <v>314</v>
      </c>
      <c r="LD1" s="81" t="s">
        <v>315</v>
      </c>
      <c r="LE1" s="81" t="s">
        <v>316</v>
      </c>
      <c r="LF1" s="81" t="s">
        <v>317</v>
      </c>
      <c r="LG1" s="81" t="s">
        <v>318</v>
      </c>
      <c r="LH1" s="81" t="s">
        <v>319</v>
      </c>
      <c r="LI1" s="81" t="s">
        <v>320</v>
      </c>
      <c r="LJ1" s="81" t="s">
        <v>321</v>
      </c>
      <c r="LK1" s="81" t="s">
        <v>322</v>
      </c>
      <c r="LL1" s="81" t="s">
        <v>323</v>
      </c>
      <c r="LM1" s="81" t="s">
        <v>324</v>
      </c>
      <c r="LN1" s="81" t="s">
        <v>325</v>
      </c>
      <c r="LO1" s="81" t="s">
        <v>326</v>
      </c>
      <c r="LP1" s="82" t="s">
        <v>327</v>
      </c>
      <c r="LQ1" s="82" t="s">
        <v>328</v>
      </c>
      <c r="LR1" s="82" t="s">
        <v>329</v>
      </c>
      <c r="LS1" s="82" t="s">
        <v>330</v>
      </c>
      <c r="LT1" s="82" t="s">
        <v>331</v>
      </c>
      <c r="LU1" s="82" t="s">
        <v>332</v>
      </c>
      <c r="LV1" s="82" t="s">
        <v>333</v>
      </c>
      <c r="LW1" s="82" t="s">
        <v>334</v>
      </c>
      <c r="LX1" s="83" t="s">
        <v>335</v>
      </c>
      <c r="LY1" s="83" t="s">
        <v>336</v>
      </c>
      <c r="LZ1" s="83" t="s">
        <v>337</v>
      </c>
      <c r="MA1" s="83" t="s">
        <v>338</v>
      </c>
      <c r="MB1" s="83" t="s">
        <v>339</v>
      </c>
      <c r="MC1" s="83" t="s">
        <v>340</v>
      </c>
      <c r="MD1" s="83" t="s">
        <v>341</v>
      </c>
      <c r="ME1" s="83" t="s">
        <v>342</v>
      </c>
    </row>
    <row r="2" spans="1:343" ht="16.95" customHeight="1" x14ac:dyDescent="0.3">
      <c r="A2" t="s">
        <v>343</v>
      </c>
      <c r="B2" t="s">
        <v>344</v>
      </c>
      <c r="C2" t="s">
        <v>345</v>
      </c>
      <c r="D2" t="s">
        <v>346</v>
      </c>
      <c r="E2" t="s">
        <v>347</v>
      </c>
      <c r="F2" t="s">
        <v>348</v>
      </c>
      <c r="G2" t="s">
        <v>349</v>
      </c>
      <c r="H2" t="s">
        <v>350</v>
      </c>
      <c r="I2" t="s">
        <v>351</v>
      </c>
      <c r="J2">
        <v>367</v>
      </c>
      <c r="K2">
        <v>189</v>
      </c>
      <c r="L2">
        <v>0.51500000000000001</v>
      </c>
      <c r="M2">
        <v>10</v>
      </c>
      <c r="N2">
        <v>2</v>
      </c>
      <c r="O2">
        <v>1</v>
      </c>
      <c r="P2">
        <v>36.700000000000003</v>
      </c>
      <c r="Q2">
        <v>5</v>
      </c>
      <c r="R2">
        <v>16.8</v>
      </c>
      <c r="S2">
        <v>4.5999999999999996</v>
      </c>
      <c r="T2">
        <v>5.7</v>
      </c>
      <c r="U2">
        <v>1.7</v>
      </c>
      <c r="V2">
        <v>4.4000000000000004</v>
      </c>
      <c r="W2">
        <v>0</v>
      </c>
      <c r="X2">
        <v>0</v>
      </c>
      <c r="Y2">
        <v>0</v>
      </c>
      <c r="Z2">
        <v>0</v>
      </c>
      <c r="AA2">
        <v>0</v>
      </c>
      <c r="AB2" t="s">
        <v>352</v>
      </c>
      <c r="AC2" t="b">
        <v>0</v>
      </c>
      <c r="AD2" t="s">
        <v>353</v>
      </c>
      <c r="AE2">
        <v>0.53039999999999998</v>
      </c>
      <c r="AF2" t="s">
        <v>354</v>
      </c>
      <c r="AG2">
        <v>0.17710000000000001</v>
      </c>
      <c r="AH2">
        <v>3.8399999999999997E-2</v>
      </c>
      <c r="AI2">
        <v>0.7913</v>
      </c>
      <c r="AJ2" t="s">
        <v>355</v>
      </c>
      <c r="AK2">
        <v>7.3</v>
      </c>
      <c r="AL2">
        <v>16</v>
      </c>
      <c r="AM2" t="s">
        <v>356</v>
      </c>
      <c r="AN2">
        <v>0</v>
      </c>
      <c r="AO2">
        <v>0</v>
      </c>
      <c r="AP2">
        <v>11</v>
      </c>
      <c r="AQ2">
        <v>29.97</v>
      </c>
      <c r="AR2">
        <v>11</v>
      </c>
      <c r="AS2">
        <v>0</v>
      </c>
      <c r="AT2" t="s">
        <v>357</v>
      </c>
      <c r="AU2">
        <v>40</v>
      </c>
      <c r="AV2">
        <v>4</v>
      </c>
      <c r="AW2" t="s">
        <v>356</v>
      </c>
      <c r="AX2">
        <v>2</v>
      </c>
      <c r="AY2">
        <v>5.45</v>
      </c>
      <c r="AZ2">
        <v>0</v>
      </c>
      <c r="BA2">
        <v>2</v>
      </c>
      <c r="BB2">
        <v>0</v>
      </c>
      <c r="BC2">
        <v>0</v>
      </c>
      <c r="BD2">
        <v>0</v>
      </c>
      <c r="BE2">
        <v>2</v>
      </c>
      <c r="BF2">
        <v>0</v>
      </c>
      <c r="BG2">
        <v>2</v>
      </c>
      <c r="BH2">
        <v>2</v>
      </c>
      <c r="BI2">
        <v>0</v>
      </c>
      <c r="BJ2" t="b">
        <v>1</v>
      </c>
      <c r="BK2" t="b">
        <v>0</v>
      </c>
      <c r="BL2">
        <v>2</v>
      </c>
      <c r="BM2">
        <v>1</v>
      </c>
      <c r="BN2">
        <v>1</v>
      </c>
      <c r="BO2">
        <v>0</v>
      </c>
      <c r="BP2">
        <v>0</v>
      </c>
      <c r="BQ2">
        <v>1</v>
      </c>
      <c r="BR2">
        <v>0</v>
      </c>
      <c r="BS2">
        <v>367</v>
      </c>
      <c r="BT2">
        <v>189</v>
      </c>
      <c r="BU2">
        <v>0.51500000000000001</v>
      </c>
      <c r="BV2">
        <v>3</v>
      </c>
      <c r="BW2">
        <v>1</v>
      </c>
      <c r="BX2">
        <v>122.3</v>
      </c>
      <c r="BZ2" t="s">
        <v>358</v>
      </c>
      <c r="CA2" t="s">
        <v>359</v>
      </c>
      <c r="CB2" t="s">
        <v>360</v>
      </c>
      <c r="CC2" t="s">
        <v>361</v>
      </c>
      <c r="CD2">
        <v>0</v>
      </c>
      <c r="CE2">
        <v>0</v>
      </c>
      <c r="CF2">
        <v>0</v>
      </c>
      <c r="CG2">
        <v>0</v>
      </c>
      <c r="CH2">
        <v>1</v>
      </c>
      <c r="CI2" t="s">
        <v>362</v>
      </c>
      <c r="CJ2">
        <v>4</v>
      </c>
      <c r="CK2">
        <v>10.87</v>
      </c>
      <c r="CL2" t="s">
        <v>363</v>
      </c>
      <c r="CM2">
        <v>1</v>
      </c>
      <c r="CN2">
        <v>0</v>
      </c>
      <c r="CO2" t="b">
        <v>0</v>
      </c>
      <c r="CP2" t="b">
        <v>1</v>
      </c>
      <c r="CQ2" t="b">
        <v>1</v>
      </c>
      <c r="CR2" t="b">
        <v>0</v>
      </c>
      <c r="CS2" t="b">
        <v>1</v>
      </c>
      <c r="CT2" t="b">
        <v>0</v>
      </c>
      <c r="CU2" t="b">
        <v>0</v>
      </c>
      <c r="CV2">
        <v>0</v>
      </c>
      <c r="CW2">
        <v>0</v>
      </c>
      <c r="CX2">
        <v>0</v>
      </c>
      <c r="CY2">
        <v>0</v>
      </c>
      <c r="CZ2">
        <v>0</v>
      </c>
      <c r="DA2">
        <v>11</v>
      </c>
      <c r="DB2">
        <v>29.89</v>
      </c>
      <c r="DC2">
        <v>11</v>
      </c>
      <c r="DD2">
        <v>0</v>
      </c>
      <c r="DE2">
        <v>0</v>
      </c>
      <c r="DF2">
        <v>0</v>
      </c>
      <c r="DG2">
        <v>0</v>
      </c>
      <c r="DH2">
        <v>1</v>
      </c>
      <c r="DI2">
        <v>2.72</v>
      </c>
      <c r="DJ2">
        <v>0</v>
      </c>
      <c r="DK2">
        <v>0</v>
      </c>
      <c r="DL2">
        <v>0</v>
      </c>
      <c r="DM2">
        <v>0</v>
      </c>
      <c r="DN2">
        <v>0</v>
      </c>
      <c r="DO2">
        <v>43</v>
      </c>
      <c r="DP2">
        <v>1</v>
      </c>
      <c r="DQ2">
        <v>2.72</v>
      </c>
      <c r="DR2" t="s">
        <v>364</v>
      </c>
      <c r="DS2" t="s">
        <v>365</v>
      </c>
      <c r="DT2" t="s">
        <v>366</v>
      </c>
      <c r="DU2" t="s">
        <v>367</v>
      </c>
      <c r="DV2" t="s">
        <v>368</v>
      </c>
      <c r="DW2">
        <v>2.14</v>
      </c>
      <c r="DX2">
        <v>0</v>
      </c>
      <c r="DY2">
        <v>2</v>
      </c>
      <c r="DZ2">
        <v>5</v>
      </c>
      <c r="EA2">
        <v>0</v>
      </c>
      <c r="EB2">
        <v>9.14</v>
      </c>
      <c r="EC2" t="s">
        <v>369</v>
      </c>
      <c r="ED2" t="s">
        <v>369</v>
      </c>
      <c r="EE2">
        <v>9.7799999999999994</v>
      </c>
      <c r="EF2" t="s">
        <v>356</v>
      </c>
      <c r="EG2">
        <v>0.82</v>
      </c>
      <c r="EH2">
        <v>4.8899999999999997</v>
      </c>
      <c r="EI2">
        <v>0.16700000000000001</v>
      </c>
      <c r="EJ2" t="s">
        <v>370</v>
      </c>
      <c r="EK2">
        <v>1.63</v>
      </c>
      <c r="EL2" t="s">
        <v>371</v>
      </c>
      <c r="EM2" t="s">
        <v>372</v>
      </c>
      <c r="EN2">
        <v>2.4500000000000002</v>
      </c>
      <c r="EO2" t="s">
        <v>373</v>
      </c>
      <c r="EP2">
        <v>0</v>
      </c>
      <c r="EQ2">
        <v>1</v>
      </c>
      <c r="ER2">
        <v>56.9</v>
      </c>
      <c r="ES2" t="s">
        <v>374</v>
      </c>
      <c r="ET2">
        <v>0</v>
      </c>
      <c r="EU2">
        <v>0</v>
      </c>
      <c r="EV2">
        <v>8.15</v>
      </c>
      <c r="EW2">
        <v>2.72</v>
      </c>
      <c r="EX2">
        <v>0.91</v>
      </c>
      <c r="EY2">
        <v>0</v>
      </c>
      <c r="EZ2">
        <v>1.81</v>
      </c>
      <c r="FA2">
        <v>6.34</v>
      </c>
      <c r="FB2">
        <v>1.81</v>
      </c>
      <c r="FC2">
        <v>2.72</v>
      </c>
      <c r="FD2" t="s">
        <v>375</v>
      </c>
      <c r="FE2">
        <v>70</v>
      </c>
      <c r="FF2" t="s">
        <v>376</v>
      </c>
      <c r="FG2" t="s">
        <v>377</v>
      </c>
      <c r="FH2" t="s">
        <v>378</v>
      </c>
      <c r="FI2" t="s">
        <v>379</v>
      </c>
      <c r="FJ2" t="s">
        <v>380</v>
      </c>
      <c r="FK2" t="s">
        <v>381</v>
      </c>
      <c r="FL2" t="s">
        <v>382</v>
      </c>
      <c r="FM2">
        <v>0</v>
      </c>
      <c r="FN2">
        <v>0.63700000000000001</v>
      </c>
      <c r="FO2">
        <v>0.77500000000000002</v>
      </c>
      <c r="FP2">
        <v>0.69489999999999996</v>
      </c>
      <c r="FQ2">
        <v>0.7</v>
      </c>
      <c r="FR2">
        <v>0</v>
      </c>
      <c r="FS2">
        <v>0</v>
      </c>
      <c r="FT2">
        <v>0</v>
      </c>
      <c r="FU2">
        <v>0</v>
      </c>
      <c r="FV2">
        <v>0.2</v>
      </c>
      <c r="FW2">
        <v>0</v>
      </c>
      <c r="FX2">
        <v>0.125</v>
      </c>
      <c r="FY2">
        <v>0.375</v>
      </c>
      <c r="FZ2">
        <v>0</v>
      </c>
      <c r="GA2">
        <v>10</v>
      </c>
      <c r="GB2">
        <v>1</v>
      </c>
      <c r="GC2">
        <v>1</v>
      </c>
      <c r="GD2">
        <v>8</v>
      </c>
      <c r="GE2">
        <v>0</v>
      </c>
      <c r="GF2">
        <v>1</v>
      </c>
      <c r="GG2">
        <v>0</v>
      </c>
      <c r="GH2">
        <v>0</v>
      </c>
      <c r="GI2">
        <v>0</v>
      </c>
      <c r="GJ2">
        <v>0</v>
      </c>
      <c r="GK2">
        <v>0</v>
      </c>
      <c r="GL2">
        <v>0</v>
      </c>
      <c r="GM2">
        <v>0</v>
      </c>
      <c r="GN2">
        <v>0</v>
      </c>
      <c r="GO2">
        <v>0</v>
      </c>
      <c r="GP2">
        <v>0.75</v>
      </c>
      <c r="GQ2">
        <v>0</v>
      </c>
      <c r="GR2">
        <v>0</v>
      </c>
      <c r="GS2">
        <v>0.375</v>
      </c>
      <c r="GT2">
        <v>0</v>
      </c>
      <c r="GU2">
        <v>0</v>
      </c>
      <c r="GV2">
        <v>0</v>
      </c>
      <c r="GW2">
        <v>0</v>
      </c>
      <c r="GX2">
        <v>0</v>
      </c>
      <c r="GY2">
        <v>0</v>
      </c>
      <c r="GZ2">
        <v>0</v>
      </c>
      <c r="HA2">
        <v>0</v>
      </c>
      <c r="HB2">
        <v>0</v>
      </c>
      <c r="HC2" t="s">
        <v>383</v>
      </c>
      <c r="HD2">
        <v>0</v>
      </c>
      <c r="HE2">
        <v>0</v>
      </c>
      <c r="HF2">
        <v>0</v>
      </c>
      <c r="HG2">
        <v>0</v>
      </c>
      <c r="HH2">
        <v>0</v>
      </c>
      <c r="HI2" t="s">
        <v>383</v>
      </c>
      <c r="HJ2">
        <v>0</v>
      </c>
      <c r="HK2">
        <v>0</v>
      </c>
      <c r="HL2">
        <v>0</v>
      </c>
      <c r="HM2">
        <v>0</v>
      </c>
      <c r="HN2">
        <v>0</v>
      </c>
      <c r="HO2" t="s">
        <v>383</v>
      </c>
      <c r="HP2">
        <v>0</v>
      </c>
      <c r="HQ2">
        <v>0</v>
      </c>
      <c r="HR2">
        <v>0</v>
      </c>
      <c r="HS2">
        <v>0</v>
      </c>
      <c r="HT2">
        <v>0</v>
      </c>
      <c r="HU2" t="s">
        <v>383</v>
      </c>
      <c r="HV2">
        <v>0</v>
      </c>
      <c r="HW2">
        <v>0</v>
      </c>
      <c r="HX2">
        <v>0</v>
      </c>
      <c r="HY2">
        <v>0</v>
      </c>
      <c r="HZ2">
        <v>0</v>
      </c>
      <c r="IA2" t="s">
        <v>384</v>
      </c>
      <c r="IB2">
        <v>0</v>
      </c>
      <c r="IC2">
        <v>0</v>
      </c>
      <c r="ID2">
        <v>0</v>
      </c>
      <c r="IE2">
        <v>0</v>
      </c>
      <c r="IF2">
        <v>0</v>
      </c>
      <c r="IG2" t="s">
        <v>384</v>
      </c>
      <c r="IH2">
        <v>0</v>
      </c>
      <c r="II2">
        <v>0</v>
      </c>
      <c r="IJ2">
        <v>0</v>
      </c>
      <c r="IK2">
        <v>0</v>
      </c>
      <c r="IL2">
        <v>0</v>
      </c>
      <c r="IM2" t="s">
        <v>384</v>
      </c>
      <c r="IN2">
        <v>0</v>
      </c>
      <c r="IO2">
        <v>0</v>
      </c>
      <c r="IP2">
        <v>0</v>
      </c>
      <c r="IQ2">
        <v>0</v>
      </c>
      <c r="IR2">
        <v>0</v>
      </c>
      <c r="IS2" t="s">
        <v>384</v>
      </c>
      <c r="IT2">
        <v>0</v>
      </c>
      <c r="IU2">
        <v>0</v>
      </c>
      <c r="IV2">
        <v>0</v>
      </c>
      <c r="IW2">
        <v>0</v>
      </c>
      <c r="IX2">
        <v>0</v>
      </c>
      <c r="IY2">
        <v>0</v>
      </c>
      <c r="IZ2">
        <v>0</v>
      </c>
      <c r="JA2">
        <v>0</v>
      </c>
      <c r="JD2" t="s">
        <v>385</v>
      </c>
      <c r="JE2" t="s">
        <v>386</v>
      </c>
      <c r="JF2" t="s">
        <v>387</v>
      </c>
      <c r="JG2" t="s">
        <v>388</v>
      </c>
      <c r="JH2" t="s">
        <v>389</v>
      </c>
      <c r="JI2" t="s">
        <v>390</v>
      </c>
      <c r="JJ2">
        <v>0.61670000000000003</v>
      </c>
      <c r="JK2">
        <v>0</v>
      </c>
      <c r="JL2" t="s">
        <v>391</v>
      </c>
      <c r="JM2">
        <v>0</v>
      </c>
      <c r="JN2">
        <v>0</v>
      </c>
      <c r="JO2">
        <v>0</v>
      </c>
      <c r="JP2">
        <v>0</v>
      </c>
      <c r="JQ2">
        <v>0</v>
      </c>
      <c r="JR2">
        <v>0</v>
      </c>
      <c r="JS2">
        <v>0</v>
      </c>
      <c r="JT2">
        <v>0</v>
      </c>
      <c r="JU2">
        <v>0</v>
      </c>
      <c r="JV2">
        <v>0</v>
      </c>
      <c r="JX2" t="s">
        <v>392</v>
      </c>
      <c r="JY2">
        <v>0</v>
      </c>
      <c r="JZ2">
        <v>0</v>
      </c>
      <c r="KA2">
        <v>1</v>
      </c>
      <c r="KB2">
        <v>0</v>
      </c>
      <c r="KC2">
        <v>0</v>
      </c>
      <c r="KD2">
        <v>1</v>
      </c>
      <c r="KE2">
        <v>0</v>
      </c>
      <c r="KF2">
        <v>0</v>
      </c>
      <c r="KG2">
        <v>1</v>
      </c>
      <c r="KH2">
        <v>0</v>
      </c>
      <c r="KI2">
        <v>0</v>
      </c>
      <c r="KJ2">
        <v>1</v>
      </c>
      <c r="KK2">
        <v>0</v>
      </c>
      <c r="KL2">
        <v>0</v>
      </c>
      <c r="KM2">
        <v>1</v>
      </c>
      <c r="KN2">
        <v>0</v>
      </c>
      <c r="KO2">
        <v>0</v>
      </c>
      <c r="KP2">
        <v>1</v>
      </c>
      <c r="KQ2">
        <v>0</v>
      </c>
      <c r="KR2">
        <v>0</v>
      </c>
      <c r="KS2">
        <v>1</v>
      </c>
      <c r="KT2">
        <v>0</v>
      </c>
      <c r="KU2">
        <v>0</v>
      </c>
      <c r="KV2">
        <v>1</v>
      </c>
      <c r="KW2">
        <v>0</v>
      </c>
      <c r="KX2">
        <v>0</v>
      </c>
      <c r="KY2">
        <v>1</v>
      </c>
      <c r="KZ2">
        <v>0</v>
      </c>
      <c r="LA2">
        <v>0</v>
      </c>
      <c r="LB2">
        <v>0</v>
      </c>
      <c r="LC2">
        <v>0</v>
      </c>
      <c r="LD2">
        <v>0</v>
      </c>
      <c r="LE2">
        <v>0</v>
      </c>
      <c r="LF2">
        <v>0</v>
      </c>
      <c r="LG2">
        <v>0</v>
      </c>
      <c r="LH2">
        <v>0</v>
      </c>
      <c r="LI2">
        <v>0</v>
      </c>
      <c r="LJ2">
        <v>0</v>
      </c>
      <c r="LK2">
        <v>0</v>
      </c>
      <c r="LN2" t="s">
        <v>393</v>
      </c>
      <c r="LO2" t="s">
        <v>394</v>
      </c>
      <c r="LP2" t="s">
        <v>395</v>
      </c>
      <c r="LQ2">
        <v>0.57830000000000004</v>
      </c>
      <c r="LR2">
        <v>10.230700000000001</v>
      </c>
      <c r="LS2">
        <v>7.2342000000000004</v>
      </c>
      <c r="LT2">
        <v>313</v>
      </c>
      <c r="LU2">
        <v>181</v>
      </c>
      <c r="LV2">
        <v>78.25</v>
      </c>
      <c r="LW2">
        <v>0.85109999999999997</v>
      </c>
      <c r="LX2">
        <v>0.5272</v>
      </c>
      <c r="LY2">
        <v>0.5272</v>
      </c>
      <c r="LZ2">
        <v>0.5272</v>
      </c>
      <c r="MA2">
        <v>0</v>
      </c>
      <c r="MB2">
        <v>165</v>
      </c>
      <c r="MC2">
        <v>1</v>
      </c>
      <c r="MD2" t="s">
        <v>396</v>
      </c>
      <c r="ME2" t="s">
        <v>397</v>
      </c>
    </row>
    <row r="3" spans="1:343" ht="16.95" customHeight="1" x14ac:dyDescent="0.3">
      <c r="A3" t="s">
        <v>398</v>
      </c>
      <c r="B3" t="s">
        <v>399</v>
      </c>
      <c r="C3" t="s">
        <v>345</v>
      </c>
      <c r="D3" t="s">
        <v>346</v>
      </c>
      <c r="E3" t="s">
        <v>347</v>
      </c>
      <c r="F3" t="s">
        <v>400</v>
      </c>
      <c r="G3" t="s">
        <v>401</v>
      </c>
      <c r="H3" t="s">
        <v>402</v>
      </c>
      <c r="I3" t="s">
        <v>351</v>
      </c>
      <c r="J3">
        <v>902</v>
      </c>
      <c r="K3">
        <v>407</v>
      </c>
      <c r="L3">
        <v>0.45119999999999999</v>
      </c>
      <c r="M3">
        <v>70</v>
      </c>
      <c r="N3">
        <v>3</v>
      </c>
      <c r="O3">
        <v>1</v>
      </c>
      <c r="P3">
        <v>12.9</v>
      </c>
      <c r="Q3">
        <v>23.3</v>
      </c>
      <c r="R3">
        <v>17.899999999999999</v>
      </c>
      <c r="S3">
        <v>8.9</v>
      </c>
      <c r="T3">
        <v>4.9000000000000004</v>
      </c>
      <c r="U3">
        <v>3.2</v>
      </c>
      <c r="V3">
        <v>3.9</v>
      </c>
      <c r="W3">
        <v>2</v>
      </c>
      <c r="X3">
        <v>2</v>
      </c>
      <c r="Y3">
        <v>6</v>
      </c>
      <c r="Z3">
        <v>1</v>
      </c>
      <c r="AA3">
        <v>6</v>
      </c>
      <c r="AB3" t="s">
        <v>352</v>
      </c>
      <c r="AC3" t="b">
        <v>0</v>
      </c>
      <c r="AD3" t="s">
        <v>353</v>
      </c>
      <c r="AE3">
        <v>0.47810000000000002</v>
      </c>
      <c r="AF3" t="s">
        <v>354</v>
      </c>
      <c r="AG3">
        <v>0.26390000000000002</v>
      </c>
      <c r="AH3">
        <v>4.2200000000000001E-2</v>
      </c>
      <c r="AI3">
        <v>0.70499999999999996</v>
      </c>
      <c r="AJ3" t="s">
        <v>355</v>
      </c>
      <c r="AK3">
        <v>3.7</v>
      </c>
      <c r="AL3">
        <v>8</v>
      </c>
      <c r="AM3" t="s">
        <v>354</v>
      </c>
      <c r="AN3">
        <v>0</v>
      </c>
      <c r="AO3">
        <v>0</v>
      </c>
      <c r="AP3">
        <v>3</v>
      </c>
      <c r="AQ3">
        <v>3.33</v>
      </c>
      <c r="AR3">
        <v>3</v>
      </c>
      <c r="AS3">
        <v>0</v>
      </c>
      <c r="AT3" t="s">
        <v>357</v>
      </c>
      <c r="AU3">
        <v>24.3</v>
      </c>
      <c r="AV3">
        <v>17</v>
      </c>
      <c r="AW3" t="s">
        <v>354</v>
      </c>
      <c r="AX3">
        <v>7</v>
      </c>
      <c r="AY3">
        <v>7.76</v>
      </c>
      <c r="AZ3">
        <v>0</v>
      </c>
      <c r="BA3">
        <v>6</v>
      </c>
      <c r="BB3">
        <v>1</v>
      </c>
      <c r="BC3">
        <v>0</v>
      </c>
      <c r="BD3">
        <v>0</v>
      </c>
      <c r="BE3">
        <v>7</v>
      </c>
      <c r="BF3">
        <v>0</v>
      </c>
      <c r="BG3">
        <v>7</v>
      </c>
      <c r="BH3">
        <v>1</v>
      </c>
      <c r="BI3">
        <v>0</v>
      </c>
      <c r="BJ3" t="b">
        <v>0</v>
      </c>
      <c r="BK3" t="b">
        <v>0</v>
      </c>
      <c r="BL3">
        <v>3</v>
      </c>
      <c r="BM3">
        <v>3</v>
      </c>
      <c r="BN3">
        <v>2</v>
      </c>
      <c r="BO3">
        <v>1</v>
      </c>
      <c r="BP3">
        <v>0</v>
      </c>
      <c r="BQ3">
        <v>1</v>
      </c>
      <c r="BR3">
        <v>0</v>
      </c>
      <c r="BS3">
        <v>902</v>
      </c>
      <c r="BT3">
        <v>407</v>
      </c>
      <c r="BU3">
        <v>0.45119999999999999</v>
      </c>
      <c r="BV3">
        <v>3</v>
      </c>
      <c r="BW3">
        <v>1</v>
      </c>
      <c r="BX3">
        <v>300.7</v>
      </c>
      <c r="BZ3" t="s">
        <v>403</v>
      </c>
      <c r="CA3" t="s">
        <v>404</v>
      </c>
      <c r="CB3" t="s">
        <v>405</v>
      </c>
      <c r="CC3" t="s">
        <v>406</v>
      </c>
      <c r="CD3">
        <v>0</v>
      </c>
      <c r="CE3">
        <v>0</v>
      </c>
      <c r="CF3">
        <v>0</v>
      </c>
      <c r="CG3">
        <v>0</v>
      </c>
      <c r="CH3">
        <v>0</v>
      </c>
      <c r="CJ3">
        <v>1</v>
      </c>
      <c r="CK3">
        <v>1.1100000000000001</v>
      </c>
      <c r="CL3" t="s">
        <v>407</v>
      </c>
      <c r="CM3">
        <v>1</v>
      </c>
      <c r="CN3">
        <v>0</v>
      </c>
      <c r="CO3" t="b">
        <v>0</v>
      </c>
      <c r="CP3" t="b">
        <v>1</v>
      </c>
      <c r="CQ3" t="b">
        <v>1</v>
      </c>
      <c r="CR3" t="b">
        <v>0</v>
      </c>
      <c r="CS3" t="b">
        <v>0</v>
      </c>
      <c r="CT3" t="b">
        <v>0</v>
      </c>
      <c r="CU3" t="b">
        <v>0</v>
      </c>
      <c r="CV3">
        <v>0</v>
      </c>
      <c r="CW3">
        <v>0</v>
      </c>
      <c r="CX3">
        <v>0</v>
      </c>
      <c r="CY3">
        <v>0</v>
      </c>
      <c r="CZ3">
        <v>0</v>
      </c>
      <c r="DA3">
        <v>3</v>
      </c>
      <c r="DB3">
        <v>3.32</v>
      </c>
      <c r="DC3">
        <v>3</v>
      </c>
      <c r="DD3">
        <v>0</v>
      </c>
      <c r="DE3">
        <v>0</v>
      </c>
      <c r="DF3">
        <v>0</v>
      </c>
      <c r="DG3">
        <v>0</v>
      </c>
      <c r="DH3">
        <v>2</v>
      </c>
      <c r="DI3">
        <v>2.21</v>
      </c>
      <c r="DJ3">
        <v>0</v>
      </c>
      <c r="DK3">
        <v>0</v>
      </c>
      <c r="DL3">
        <v>1</v>
      </c>
      <c r="DM3">
        <v>0</v>
      </c>
      <c r="DN3">
        <v>0</v>
      </c>
      <c r="DO3">
        <v>32</v>
      </c>
      <c r="DP3">
        <v>0</v>
      </c>
      <c r="DQ3">
        <v>0</v>
      </c>
      <c r="DR3" t="s">
        <v>408</v>
      </c>
      <c r="DS3" t="s">
        <v>409</v>
      </c>
      <c r="DT3" t="s">
        <v>410</v>
      </c>
      <c r="DU3" t="s">
        <v>411</v>
      </c>
      <c r="DV3" t="s">
        <v>412</v>
      </c>
      <c r="DW3">
        <v>1.43</v>
      </c>
      <c r="DX3">
        <v>0</v>
      </c>
      <c r="DY3">
        <v>2</v>
      </c>
      <c r="DZ3">
        <v>5</v>
      </c>
      <c r="EA3">
        <v>0.5</v>
      </c>
      <c r="EB3">
        <v>8.93</v>
      </c>
      <c r="EC3" t="s">
        <v>369</v>
      </c>
      <c r="ED3" t="s">
        <v>413</v>
      </c>
      <c r="EE3">
        <v>3.54</v>
      </c>
      <c r="EF3" t="s">
        <v>414</v>
      </c>
      <c r="EG3">
        <v>1.55</v>
      </c>
      <c r="EH3">
        <v>1.44</v>
      </c>
      <c r="EI3">
        <v>1.077</v>
      </c>
      <c r="EJ3" t="s">
        <v>415</v>
      </c>
      <c r="EK3">
        <v>4.6500000000000004</v>
      </c>
      <c r="EL3" t="s">
        <v>371</v>
      </c>
      <c r="EM3" t="s">
        <v>416</v>
      </c>
      <c r="EN3">
        <v>1.99</v>
      </c>
      <c r="EO3" t="s">
        <v>417</v>
      </c>
      <c r="EP3">
        <v>0</v>
      </c>
      <c r="EQ3">
        <v>0</v>
      </c>
      <c r="ER3">
        <v>28.7</v>
      </c>
      <c r="ES3" t="s">
        <v>418</v>
      </c>
      <c r="ET3">
        <v>1.85</v>
      </c>
      <c r="EU3">
        <v>0.74</v>
      </c>
      <c r="EV3">
        <v>2.21</v>
      </c>
      <c r="EW3">
        <v>4.8</v>
      </c>
      <c r="EX3">
        <v>5.54</v>
      </c>
      <c r="EY3">
        <v>0.74</v>
      </c>
      <c r="EZ3">
        <v>1.1100000000000001</v>
      </c>
      <c r="FA3">
        <v>0</v>
      </c>
      <c r="FB3">
        <v>1.48</v>
      </c>
      <c r="FC3">
        <v>1.48</v>
      </c>
      <c r="FD3" t="s">
        <v>375</v>
      </c>
      <c r="FE3">
        <v>76</v>
      </c>
      <c r="FF3" t="s">
        <v>419</v>
      </c>
      <c r="FG3" t="s">
        <v>420</v>
      </c>
      <c r="FH3" t="s">
        <v>378</v>
      </c>
      <c r="FI3" t="s">
        <v>421</v>
      </c>
      <c r="FJ3" t="s">
        <v>422</v>
      </c>
      <c r="FK3" t="s">
        <v>423</v>
      </c>
      <c r="FL3" t="s">
        <v>424</v>
      </c>
      <c r="FM3">
        <v>0</v>
      </c>
      <c r="FN3">
        <v>0.51690000000000003</v>
      </c>
      <c r="FO3">
        <v>0.77500000000000002</v>
      </c>
      <c r="FP3">
        <v>0.62529999999999997</v>
      </c>
      <c r="FQ3">
        <v>0.42859999999999998</v>
      </c>
      <c r="FR3">
        <v>0</v>
      </c>
      <c r="FS3">
        <v>0</v>
      </c>
      <c r="FT3">
        <v>0</v>
      </c>
      <c r="FU3">
        <v>7.1000000000000004E-3</v>
      </c>
      <c r="FV3">
        <v>0.12</v>
      </c>
      <c r="FW3">
        <v>0.2137</v>
      </c>
      <c r="FX3">
        <v>0.28499999999999998</v>
      </c>
      <c r="FY3">
        <v>0.50890000000000002</v>
      </c>
      <c r="FZ3">
        <v>1.5800000000000002E-2</v>
      </c>
      <c r="GA3">
        <v>70</v>
      </c>
      <c r="GB3">
        <v>1</v>
      </c>
      <c r="GC3">
        <v>1</v>
      </c>
      <c r="GD3">
        <v>30</v>
      </c>
      <c r="GE3">
        <v>0</v>
      </c>
      <c r="GF3">
        <v>19</v>
      </c>
      <c r="GG3">
        <v>0</v>
      </c>
      <c r="GH3">
        <v>0</v>
      </c>
      <c r="GI3">
        <v>0</v>
      </c>
      <c r="GJ3">
        <v>0</v>
      </c>
      <c r="GK3">
        <v>0.28499999999999998</v>
      </c>
      <c r="GL3">
        <v>0.14249999999999999</v>
      </c>
      <c r="GM3">
        <v>0.28499999999999998</v>
      </c>
      <c r="GN3">
        <v>0.28499999999999998</v>
      </c>
      <c r="GO3">
        <v>0.14249999999999999</v>
      </c>
      <c r="GP3">
        <v>0.57010000000000005</v>
      </c>
      <c r="GQ3">
        <v>0.28499999999999998</v>
      </c>
      <c r="GR3">
        <v>0.14249999999999999</v>
      </c>
      <c r="GS3">
        <v>0.28499999999999998</v>
      </c>
      <c r="GT3">
        <v>0</v>
      </c>
      <c r="GU3">
        <v>0</v>
      </c>
      <c r="GV3">
        <v>0.14249999999999999</v>
      </c>
      <c r="GW3">
        <v>0</v>
      </c>
      <c r="GX3">
        <v>0</v>
      </c>
      <c r="GY3">
        <v>0</v>
      </c>
      <c r="GZ3">
        <v>0</v>
      </c>
      <c r="HA3">
        <v>0</v>
      </c>
      <c r="HB3">
        <v>0</v>
      </c>
      <c r="HC3" t="s">
        <v>383</v>
      </c>
      <c r="HD3">
        <v>0</v>
      </c>
      <c r="HE3">
        <v>0</v>
      </c>
      <c r="HF3">
        <v>0</v>
      </c>
      <c r="HG3">
        <v>0</v>
      </c>
      <c r="HH3">
        <v>0</v>
      </c>
      <c r="HI3" t="s">
        <v>383</v>
      </c>
      <c r="HJ3">
        <v>0</v>
      </c>
      <c r="HK3">
        <v>0</v>
      </c>
      <c r="HL3">
        <v>0</v>
      </c>
      <c r="HM3">
        <v>0</v>
      </c>
      <c r="HN3">
        <v>0</v>
      </c>
      <c r="HO3" t="s">
        <v>383</v>
      </c>
      <c r="HP3">
        <v>0</v>
      </c>
      <c r="HQ3">
        <v>0</v>
      </c>
      <c r="HR3">
        <v>0</v>
      </c>
      <c r="HS3">
        <v>0</v>
      </c>
      <c r="HT3">
        <v>0</v>
      </c>
      <c r="HU3" t="s">
        <v>383</v>
      </c>
      <c r="HV3">
        <v>0</v>
      </c>
      <c r="HW3">
        <v>0</v>
      </c>
      <c r="HX3">
        <v>0</v>
      </c>
      <c r="HY3">
        <v>0</v>
      </c>
      <c r="HZ3">
        <v>0</v>
      </c>
      <c r="IA3" t="s">
        <v>384</v>
      </c>
      <c r="IB3">
        <v>0</v>
      </c>
      <c r="IC3">
        <v>0</v>
      </c>
      <c r="ID3">
        <v>0</v>
      </c>
      <c r="IE3">
        <v>0</v>
      </c>
      <c r="IF3">
        <v>0</v>
      </c>
      <c r="IG3" t="s">
        <v>384</v>
      </c>
      <c r="IH3">
        <v>0</v>
      </c>
      <c r="II3">
        <v>0</v>
      </c>
      <c r="IJ3">
        <v>0</v>
      </c>
      <c r="IK3">
        <v>0</v>
      </c>
      <c r="IL3">
        <v>0</v>
      </c>
      <c r="IM3" t="s">
        <v>384</v>
      </c>
      <c r="IN3">
        <v>0</v>
      </c>
      <c r="IO3">
        <v>0</v>
      </c>
      <c r="IP3">
        <v>0</v>
      </c>
      <c r="IQ3">
        <v>0</v>
      </c>
      <c r="IR3">
        <v>0</v>
      </c>
      <c r="IS3" t="s">
        <v>384</v>
      </c>
      <c r="IT3">
        <v>0</v>
      </c>
      <c r="IU3">
        <v>0</v>
      </c>
      <c r="IV3">
        <v>0</v>
      </c>
      <c r="IW3">
        <v>0</v>
      </c>
      <c r="IX3">
        <v>0</v>
      </c>
      <c r="IY3">
        <v>0</v>
      </c>
      <c r="IZ3">
        <v>0</v>
      </c>
      <c r="JA3">
        <v>0</v>
      </c>
      <c r="JD3" t="s">
        <v>425</v>
      </c>
      <c r="JE3" t="s">
        <v>426</v>
      </c>
      <c r="JF3" t="s">
        <v>427</v>
      </c>
      <c r="JG3" t="s">
        <v>428</v>
      </c>
      <c r="JH3" t="s">
        <v>429</v>
      </c>
      <c r="JI3" t="s">
        <v>430</v>
      </c>
      <c r="JJ3">
        <v>0.4667</v>
      </c>
      <c r="JK3">
        <v>0</v>
      </c>
      <c r="JL3" t="s">
        <v>391</v>
      </c>
      <c r="JM3">
        <v>0</v>
      </c>
      <c r="JN3">
        <v>0</v>
      </c>
      <c r="JO3">
        <v>0</v>
      </c>
      <c r="JP3">
        <v>0</v>
      </c>
      <c r="JQ3">
        <v>0</v>
      </c>
      <c r="JR3">
        <v>0</v>
      </c>
      <c r="JS3">
        <v>0</v>
      </c>
      <c r="JT3">
        <v>0</v>
      </c>
      <c r="JU3">
        <v>0</v>
      </c>
      <c r="JV3">
        <v>0</v>
      </c>
      <c r="JX3" t="s">
        <v>392</v>
      </c>
      <c r="JY3">
        <v>0</v>
      </c>
      <c r="JZ3">
        <v>0</v>
      </c>
      <c r="KA3">
        <v>1</v>
      </c>
      <c r="KB3">
        <v>0</v>
      </c>
      <c r="KC3">
        <v>0</v>
      </c>
      <c r="KD3">
        <v>1</v>
      </c>
      <c r="KE3">
        <v>0</v>
      </c>
      <c r="KF3">
        <v>0</v>
      </c>
      <c r="KG3">
        <v>1</v>
      </c>
      <c r="KH3">
        <v>0</v>
      </c>
      <c r="KI3">
        <v>0</v>
      </c>
      <c r="KJ3">
        <v>1</v>
      </c>
      <c r="KK3">
        <v>0</v>
      </c>
      <c r="KL3">
        <v>0</v>
      </c>
      <c r="KM3">
        <v>1</v>
      </c>
      <c r="KN3">
        <v>0</v>
      </c>
      <c r="KO3">
        <v>0</v>
      </c>
      <c r="KP3">
        <v>1</v>
      </c>
      <c r="KQ3">
        <v>0</v>
      </c>
      <c r="KR3">
        <v>0</v>
      </c>
      <c r="KS3">
        <v>1</v>
      </c>
      <c r="KT3">
        <v>0</v>
      </c>
      <c r="KU3">
        <v>0</v>
      </c>
      <c r="KV3">
        <v>1</v>
      </c>
      <c r="KW3">
        <v>0</v>
      </c>
      <c r="KX3">
        <v>0</v>
      </c>
      <c r="KY3">
        <v>1</v>
      </c>
      <c r="KZ3">
        <v>0</v>
      </c>
      <c r="LA3">
        <v>0</v>
      </c>
      <c r="LB3">
        <v>0</v>
      </c>
      <c r="LC3">
        <v>0</v>
      </c>
      <c r="LD3">
        <v>0</v>
      </c>
      <c r="LE3">
        <v>0</v>
      </c>
      <c r="LF3">
        <v>0</v>
      </c>
      <c r="LG3">
        <v>0</v>
      </c>
      <c r="LH3">
        <v>0</v>
      </c>
      <c r="LI3">
        <v>0</v>
      </c>
      <c r="LJ3">
        <v>0</v>
      </c>
      <c r="LK3">
        <v>0</v>
      </c>
      <c r="LN3" t="s">
        <v>393</v>
      </c>
      <c r="LO3" t="s">
        <v>394</v>
      </c>
      <c r="LP3" t="s">
        <v>395</v>
      </c>
      <c r="LQ3">
        <v>0.442</v>
      </c>
      <c r="LR3">
        <v>12.976900000000001</v>
      </c>
      <c r="LS3">
        <v>9.1760999999999999</v>
      </c>
      <c r="LT3">
        <v>862</v>
      </c>
      <c r="LU3">
        <v>381</v>
      </c>
      <c r="LV3">
        <v>59.616399999999999</v>
      </c>
      <c r="LW3">
        <v>0.82979999999999998</v>
      </c>
      <c r="LX3">
        <v>0.4723</v>
      </c>
      <c r="LY3">
        <v>0.4723</v>
      </c>
      <c r="LZ3">
        <v>0.4723</v>
      </c>
      <c r="MA3">
        <v>0</v>
      </c>
      <c r="MB3">
        <v>400</v>
      </c>
      <c r="MC3">
        <v>1</v>
      </c>
      <c r="MD3" t="s">
        <v>396</v>
      </c>
      <c r="ME3" t="s">
        <v>397</v>
      </c>
    </row>
    <row r="4" spans="1:343" ht="16.95" customHeight="1" x14ac:dyDescent="0.3">
      <c r="A4" t="s">
        <v>431</v>
      </c>
      <c r="B4" t="s">
        <v>432</v>
      </c>
      <c r="C4" t="s">
        <v>345</v>
      </c>
      <c r="D4" t="s">
        <v>346</v>
      </c>
      <c r="E4" t="s">
        <v>347</v>
      </c>
      <c r="F4" t="s">
        <v>433</v>
      </c>
      <c r="G4" t="s">
        <v>434</v>
      </c>
      <c r="H4" t="s">
        <v>435</v>
      </c>
      <c r="I4" t="s">
        <v>351</v>
      </c>
      <c r="J4">
        <v>366</v>
      </c>
      <c r="K4">
        <v>192</v>
      </c>
      <c r="L4">
        <v>0.52459999999999996</v>
      </c>
      <c r="M4">
        <v>23</v>
      </c>
      <c r="N4">
        <v>3</v>
      </c>
      <c r="O4">
        <v>1</v>
      </c>
      <c r="P4">
        <v>15.9</v>
      </c>
      <c r="Q4">
        <v>7.7</v>
      </c>
      <c r="R4">
        <v>19.399999999999999</v>
      </c>
      <c r="S4">
        <v>7.2</v>
      </c>
      <c r="T4">
        <v>6.5</v>
      </c>
      <c r="U4">
        <v>3.2</v>
      </c>
      <c r="V4">
        <v>5.6</v>
      </c>
      <c r="W4">
        <v>2</v>
      </c>
      <c r="X4">
        <v>6.2</v>
      </c>
      <c r="Y4">
        <v>1</v>
      </c>
      <c r="Z4">
        <v>0</v>
      </c>
      <c r="AA4">
        <v>1</v>
      </c>
      <c r="AB4" t="s">
        <v>352</v>
      </c>
      <c r="AC4" t="b">
        <v>0</v>
      </c>
      <c r="AD4" t="s">
        <v>353</v>
      </c>
      <c r="AE4">
        <v>0.5262</v>
      </c>
      <c r="AF4" t="s">
        <v>354</v>
      </c>
      <c r="AG4">
        <v>0.23219999999999999</v>
      </c>
      <c r="AH4">
        <v>6.0400000000000002E-2</v>
      </c>
      <c r="AI4">
        <v>0.72140000000000004</v>
      </c>
      <c r="AJ4" t="s">
        <v>355</v>
      </c>
      <c r="AK4">
        <v>4.09</v>
      </c>
      <c r="AL4">
        <v>7</v>
      </c>
      <c r="AM4" t="s">
        <v>356</v>
      </c>
      <c r="AN4">
        <v>0</v>
      </c>
      <c r="AO4">
        <v>0</v>
      </c>
      <c r="AP4">
        <v>3</v>
      </c>
      <c r="AQ4">
        <v>8.1999999999999993</v>
      </c>
      <c r="AR4">
        <v>3</v>
      </c>
      <c r="AS4">
        <v>0</v>
      </c>
      <c r="AT4" t="s">
        <v>357</v>
      </c>
      <c r="AU4">
        <v>26.1</v>
      </c>
      <c r="AV4">
        <v>6</v>
      </c>
      <c r="AW4" t="s">
        <v>356</v>
      </c>
      <c r="AX4">
        <v>5</v>
      </c>
      <c r="AY4">
        <v>13.66</v>
      </c>
      <c r="AZ4">
        <v>0</v>
      </c>
      <c r="BA4">
        <v>5</v>
      </c>
      <c r="BB4">
        <v>0</v>
      </c>
      <c r="BC4">
        <v>0</v>
      </c>
      <c r="BD4">
        <v>0</v>
      </c>
      <c r="BE4">
        <v>5</v>
      </c>
      <c r="BF4">
        <v>0</v>
      </c>
      <c r="BG4">
        <v>5</v>
      </c>
      <c r="BH4">
        <v>0</v>
      </c>
      <c r="BI4">
        <v>0</v>
      </c>
      <c r="BJ4" t="b">
        <v>0</v>
      </c>
      <c r="BK4" t="b">
        <v>0</v>
      </c>
      <c r="BL4">
        <v>3</v>
      </c>
      <c r="BM4">
        <v>3</v>
      </c>
      <c r="BN4">
        <v>2</v>
      </c>
      <c r="BO4">
        <v>1</v>
      </c>
      <c r="BP4">
        <v>0</v>
      </c>
      <c r="BQ4">
        <v>1</v>
      </c>
      <c r="BR4">
        <v>0</v>
      </c>
      <c r="BS4">
        <v>366</v>
      </c>
      <c r="BT4">
        <v>192</v>
      </c>
      <c r="BU4">
        <v>0.52459999999999996</v>
      </c>
      <c r="BV4">
        <v>3</v>
      </c>
      <c r="BW4">
        <v>1</v>
      </c>
      <c r="BX4">
        <v>122</v>
      </c>
      <c r="BZ4" t="s">
        <v>436</v>
      </c>
      <c r="CA4" t="s">
        <v>437</v>
      </c>
      <c r="CB4" t="s">
        <v>438</v>
      </c>
      <c r="CC4" t="s">
        <v>439</v>
      </c>
      <c r="CD4">
        <v>0</v>
      </c>
      <c r="CE4">
        <v>0</v>
      </c>
      <c r="CF4">
        <v>0</v>
      </c>
      <c r="CG4">
        <v>0</v>
      </c>
      <c r="CH4">
        <v>0</v>
      </c>
      <c r="CJ4">
        <v>1</v>
      </c>
      <c r="CK4">
        <v>2.72</v>
      </c>
      <c r="CL4" t="s">
        <v>440</v>
      </c>
      <c r="CM4">
        <v>1</v>
      </c>
      <c r="CN4">
        <v>0</v>
      </c>
      <c r="CO4" t="b">
        <v>0</v>
      </c>
      <c r="CP4" t="b">
        <v>0</v>
      </c>
      <c r="CQ4" t="b">
        <v>1</v>
      </c>
      <c r="CR4" t="b">
        <v>0</v>
      </c>
      <c r="CS4" t="b">
        <v>0</v>
      </c>
      <c r="CT4" t="b">
        <v>0</v>
      </c>
      <c r="CU4" t="b">
        <v>0</v>
      </c>
      <c r="CV4">
        <v>0</v>
      </c>
      <c r="CW4">
        <v>0</v>
      </c>
      <c r="CX4">
        <v>0</v>
      </c>
      <c r="CY4">
        <v>0</v>
      </c>
      <c r="CZ4">
        <v>0</v>
      </c>
      <c r="DA4">
        <v>3</v>
      </c>
      <c r="DB4">
        <v>8.17</v>
      </c>
      <c r="DC4">
        <v>3</v>
      </c>
      <c r="DD4">
        <v>0</v>
      </c>
      <c r="DE4">
        <v>0</v>
      </c>
      <c r="DF4">
        <v>0</v>
      </c>
      <c r="DG4">
        <v>0</v>
      </c>
      <c r="DH4">
        <v>0</v>
      </c>
      <c r="DI4">
        <v>0</v>
      </c>
      <c r="DJ4">
        <v>0</v>
      </c>
      <c r="DK4">
        <v>0</v>
      </c>
      <c r="DL4">
        <v>0</v>
      </c>
      <c r="DM4">
        <v>0</v>
      </c>
      <c r="DN4">
        <v>0</v>
      </c>
      <c r="DO4">
        <v>22</v>
      </c>
      <c r="DP4">
        <v>0</v>
      </c>
      <c r="DQ4">
        <v>0</v>
      </c>
      <c r="DR4" t="s">
        <v>410</v>
      </c>
      <c r="DS4" t="s">
        <v>441</v>
      </c>
      <c r="DT4" t="s">
        <v>442</v>
      </c>
      <c r="DU4" t="s">
        <v>411</v>
      </c>
      <c r="DV4" t="s">
        <v>443</v>
      </c>
      <c r="DW4">
        <v>0.71</v>
      </c>
      <c r="DX4">
        <v>0</v>
      </c>
      <c r="DY4">
        <v>2</v>
      </c>
      <c r="DZ4">
        <v>3.67</v>
      </c>
      <c r="EA4">
        <v>0</v>
      </c>
      <c r="EB4">
        <v>6.38</v>
      </c>
      <c r="EC4" t="s">
        <v>369</v>
      </c>
      <c r="ED4" t="s">
        <v>413</v>
      </c>
      <c r="EE4">
        <v>3</v>
      </c>
      <c r="EF4" t="s">
        <v>414</v>
      </c>
      <c r="EG4">
        <v>0</v>
      </c>
      <c r="EH4">
        <v>3.27</v>
      </c>
      <c r="EI4">
        <v>0</v>
      </c>
      <c r="EJ4" t="s">
        <v>370</v>
      </c>
      <c r="EK4">
        <v>1.63</v>
      </c>
      <c r="EL4" t="s">
        <v>444</v>
      </c>
      <c r="EM4" t="s">
        <v>445</v>
      </c>
      <c r="EN4">
        <v>1.18</v>
      </c>
      <c r="EO4" t="s">
        <v>373</v>
      </c>
      <c r="EP4">
        <v>0</v>
      </c>
      <c r="EQ4">
        <v>0</v>
      </c>
      <c r="ER4">
        <v>26</v>
      </c>
      <c r="ES4" t="s">
        <v>418</v>
      </c>
      <c r="ET4">
        <v>0</v>
      </c>
      <c r="EU4">
        <v>0</v>
      </c>
      <c r="EV4">
        <v>2.72</v>
      </c>
      <c r="EW4">
        <v>2.72</v>
      </c>
      <c r="EX4">
        <v>0.91</v>
      </c>
      <c r="EY4">
        <v>0.91</v>
      </c>
      <c r="EZ4">
        <v>1.82</v>
      </c>
      <c r="FA4">
        <v>0</v>
      </c>
      <c r="FB4">
        <v>1.82</v>
      </c>
      <c r="FC4">
        <v>0.91</v>
      </c>
      <c r="FD4" t="s">
        <v>375</v>
      </c>
      <c r="FE4">
        <v>26</v>
      </c>
      <c r="FF4" t="s">
        <v>446</v>
      </c>
      <c r="FG4" t="s">
        <v>447</v>
      </c>
      <c r="FH4" t="s">
        <v>448</v>
      </c>
      <c r="FI4" t="s">
        <v>449</v>
      </c>
      <c r="FJ4" t="s">
        <v>450</v>
      </c>
      <c r="FK4" t="s">
        <v>451</v>
      </c>
      <c r="FL4" t="s">
        <v>452</v>
      </c>
      <c r="FM4">
        <v>0</v>
      </c>
      <c r="FN4">
        <v>0.53559999999999997</v>
      </c>
      <c r="FO4">
        <v>0.77500000000000002</v>
      </c>
      <c r="FP4">
        <v>0.6361</v>
      </c>
      <c r="FQ4">
        <v>0.43480000000000002</v>
      </c>
      <c r="FR4">
        <v>0</v>
      </c>
      <c r="FS4">
        <v>0</v>
      </c>
      <c r="FT4">
        <v>0</v>
      </c>
      <c r="FU4">
        <v>0</v>
      </c>
      <c r="FV4">
        <v>0.2</v>
      </c>
      <c r="FW4">
        <v>0</v>
      </c>
      <c r="FX4">
        <v>0.22989999999999999</v>
      </c>
      <c r="FY4">
        <v>0.3266</v>
      </c>
      <c r="FZ4">
        <v>0</v>
      </c>
      <c r="GA4">
        <v>23</v>
      </c>
      <c r="GB4">
        <v>1</v>
      </c>
      <c r="GC4">
        <v>1</v>
      </c>
      <c r="GD4">
        <v>15</v>
      </c>
      <c r="GE4">
        <v>0</v>
      </c>
      <c r="GF4">
        <v>8</v>
      </c>
      <c r="GG4">
        <v>0</v>
      </c>
      <c r="GH4">
        <v>0</v>
      </c>
      <c r="GI4">
        <v>0</v>
      </c>
      <c r="GJ4">
        <v>0</v>
      </c>
      <c r="GK4">
        <v>0</v>
      </c>
      <c r="GL4">
        <v>0</v>
      </c>
      <c r="GM4">
        <v>0</v>
      </c>
      <c r="GN4">
        <v>0.68969999999999998</v>
      </c>
      <c r="GO4">
        <v>0</v>
      </c>
      <c r="GP4">
        <v>0</v>
      </c>
      <c r="GQ4">
        <v>0</v>
      </c>
      <c r="GR4">
        <v>0</v>
      </c>
      <c r="GS4">
        <v>0</v>
      </c>
      <c r="GT4">
        <v>0</v>
      </c>
      <c r="GU4">
        <v>0</v>
      </c>
      <c r="GV4">
        <v>0</v>
      </c>
      <c r="GW4">
        <v>0</v>
      </c>
      <c r="GX4">
        <v>0</v>
      </c>
      <c r="GY4">
        <v>0</v>
      </c>
      <c r="GZ4">
        <v>0</v>
      </c>
      <c r="HA4">
        <v>0</v>
      </c>
      <c r="HB4">
        <v>0</v>
      </c>
      <c r="HC4" t="s">
        <v>383</v>
      </c>
      <c r="HD4">
        <v>0</v>
      </c>
      <c r="HE4">
        <v>0</v>
      </c>
      <c r="HF4">
        <v>0</v>
      </c>
      <c r="HG4">
        <v>0</v>
      </c>
      <c r="HH4">
        <v>0</v>
      </c>
      <c r="HI4" t="s">
        <v>383</v>
      </c>
      <c r="HJ4">
        <v>0</v>
      </c>
      <c r="HK4">
        <v>0</v>
      </c>
      <c r="HL4">
        <v>0</v>
      </c>
      <c r="HM4">
        <v>0</v>
      </c>
      <c r="HN4">
        <v>0</v>
      </c>
      <c r="HO4" t="s">
        <v>383</v>
      </c>
      <c r="HP4">
        <v>0</v>
      </c>
      <c r="HQ4">
        <v>0</v>
      </c>
      <c r="HR4">
        <v>0</v>
      </c>
      <c r="HS4">
        <v>0</v>
      </c>
      <c r="HT4">
        <v>0</v>
      </c>
      <c r="HU4" t="s">
        <v>383</v>
      </c>
      <c r="HV4">
        <v>0</v>
      </c>
      <c r="HW4">
        <v>0</v>
      </c>
      <c r="HX4">
        <v>0</v>
      </c>
      <c r="HY4">
        <v>0</v>
      </c>
      <c r="HZ4">
        <v>0</v>
      </c>
      <c r="IA4" t="s">
        <v>384</v>
      </c>
      <c r="IB4">
        <v>0</v>
      </c>
      <c r="IC4">
        <v>0</v>
      </c>
      <c r="ID4">
        <v>0</v>
      </c>
      <c r="IE4">
        <v>0</v>
      </c>
      <c r="IF4">
        <v>0</v>
      </c>
      <c r="IG4" t="s">
        <v>384</v>
      </c>
      <c r="IH4">
        <v>0</v>
      </c>
      <c r="II4">
        <v>0</v>
      </c>
      <c r="IJ4">
        <v>0</v>
      </c>
      <c r="IK4">
        <v>0</v>
      </c>
      <c r="IL4">
        <v>0</v>
      </c>
      <c r="IM4" t="s">
        <v>384</v>
      </c>
      <c r="IN4">
        <v>0</v>
      </c>
      <c r="IO4">
        <v>0</v>
      </c>
      <c r="IP4">
        <v>0</v>
      </c>
      <c r="IQ4">
        <v>0</v>
      </c>
      <c r="IR4">
        <v>0</v>
      </c>
      <c r="IS4" t="s">
        <v>384</v>
      </c>
      <c r="IT4">
        <v>0</v>
      </c>
      <c r="IU4">
        <v>0</v>
      </c>
      <c r="IV4">
        <v>0</v>
      </c>
      <c r="IW4">
        <v>0</v>
      </c>
      <c r="IX4">
        <v>0</v>
      </c>
      <c r="IY4">
        <v>0</v>
      </c>
      <c r="IZ4">
        <v>0</v>
      </c>
      <c r="JA4">
        <v>0</v>
      </c>
      <c r="JD4" t="s">
        <v>453</v>
      </c>
      <c r="JE4" t="s">
        <v>386</v>
      </c>
      <c r="JF4" t="s">
        <v>454</v>
      </c>
      <c r="JG4" t="s">
        <v>455</v>
      </c>
      <c r="JH4" t="s">
        <v>456</v>
      </c>
      <c r="JI4" t="s">
        <v>457</v>
      </c>
      <c r="JJ4">
        <v>0.55000000000000004</v>
      </c>
      <c r="JK4">
        <v>0</v>
      </c>
      <c r="JL4" t="s">
        <v>391</v>
      </c>
      <c r="JM4">
        <v>0</v>
      </c>
      <c r="JN4">
        <v>0</v>
      </c>
      <c r="JO4">
        <v>0</v>
      </c>
      <c r="JP4">
        <v>0</v>
      </c>
      <c r="JQ4">
        <v>0</v>
      </c>
      <c r="JR4">
        <v>0</v>
      </c>
      <c r="JS4">
        <v>0</v>
      </c>
      <c r="JT4">
        <v>0</v>
      </c>
      <c r="JU4">
        <v>0</v>
      </c>
      <c r="JV4">
        <v>0</v>
      </c>
      <c r="JX4" t="s">
        <v>392</v>
      </c>
      <c r="JY4">
        <v>0</v>
      </c>
      <c r="JZ4">
        <v>0</v>
      </c>
      <c r="KA4">
        <v>1</v>
      </c>
      <c r="KB4">
        <v>0</v>
      </c>
      <c r="KC4">
        <v>0</v>
      </c>
      <c r="KD4">
        <v>1</v>
      </c>
      <c r="KE4">
        <v>0</v>
      </c>
      <c r="KF4">
        <v>0</v>
      </c>
      <c r="KG4">
        <v>1</v>
      </c>
      <c r="KH4">
        <v>0</v>
      </c>
      <c r="KI4">
        <v>0</v>
      </c>
      <c r="KJ4">
        <v>1</v>
      </c>
      <c r="KK4">
        <v>0</v>
      </c>
      <c r="KL4">
        <v>0</v>
      </c>
      <c r="KM4">
        <v>1</v>
      </c>
      <c r="KN4">
        <v>0</v>
      </c>
      <c r="KO4">
        <v>0</v>
      </c>
      <c r="KP4">
        <v>1</v>
      </c>
      <c r="KQ4">
        <v>0</v>
      </c>
      <c r="KR4">
        <v>0</v>
      </c>
      <c r="KS4">
        <v>1</v>
      </c>
      <c r="KT4">
        <v>0</v>
      </c>
      <c r="KU4">
        <v>0</v>
      </c>
      <c r="KV4">
        <v>1</v>
      </c>
      <c r="KW4">
        <v>0</v>
      </c>
      <c r="KX4">
        <v>0</v>
      </c>
      <c r="KY4">
        <v>1</v>
      </c>
      <c r="KZ4">
        <v>0</v>
      </c>
      <c r="LA4">
        <v>0</v>
      </c>
      <c r="LB4">
        <v>0</v>
      </c>
      <c r="LC4">
        <v>0</v>
      </c>
      <c r="LD4">
        <v>0</v>
      </c>
      <c r="LE4">
        <v>0</v>
      </c>
      <c r="LF4">
        <v>0</v>
      </c>
      <c r="LG4">
        <v>0</v>
      </c>
      <c r="LH4">
        <v>0</v>
      </c>
      <c r="LI4">
        <v>0</v>
      </c>
      <c r="LJ4">
        <v>0</v>
      </c>
      <c r="LK4">
        <v>0</v>
      </c>
      <c r="LN4" t="s">
        <v>393</v>
      </c>
      <c r="LO4" t="s">
        <v>394</v>
      </c>
      <c r="LP4" t="s">
        <v>395</v>
      </c>
      <c r="LQ4">
        <v>0.58789999999999998</v>
      </c>
      <c r="LR4">
        <v>10.6793</v>
      </c>
      <c r="LS4">
        <v>7.5514000000000001</v>
      </c>
      <c r="LT4">
        <v>330</v>
      </c>
      <c r="LU4">
        <v>194</v>
      </c>
      <c r="LV4">
        <v>96.25</v>
      </c>
      <c r="LW4">
        <v>0.87609999999999999</v>
      </c>
      <c r="LX4">
        <v>0.43769999999999998</v>
      </c>
      <c r="LY4">
        <v>0.43769999999999998</v>
      </c>
      <c r="LZ4">
        <v>0.43769999999999998</v>
      </c>
      <c r="MA4">
        <v>0</v>
      </c>
      <c r="MB4">
        <v>144</v>
      </c>
      <c r="MC4">
        <v>1</v>
      </c>
      <c r="MD4" t="s">
        <v>396</v>
      </c>
      <c r="ME4" t="s">
        <v>458</v>
      </c>
    </row>
    <row r="5" spans="1:343" ht="16.95" customHeight="1" x14ac:dyDescent="0.3">
      <c r="A5" t="s">
        <v>459</v>
      </c>
      <c r="B5" t="s">
        <v>460</v>
      </c>
      <c r="C5" t="s">
        <v>345</v>
      </c>
      <c r="D5" t="s">
        <v>346</v>
      </c>
      <c r="E5" t="s">
        <v>347</v>
      </c>
      <c r="F5" t="s">
        <v>461</v>
      </c>
      <c r="G5" t="s">
        <v>462</v>
      </c>
      <c r="H5" t="s">
        <v>463</v>
      </c>
      <c r="I5" t="s">
        <v>351</v>
      </c>
      <c r="J5">
        <v>882</v>
      </c>
      <c r="K5">
        <v>387</v>
      </c>
      <c r="L5">
        <v>0.43880000000000002</v>
      </c>
      <c r="M5">
        <v>63</v>
      </c>
      <c r="N5">
        <v>3</v>
      </c>
      <c r="O5">
        <v>1</v>
      </c>
      <c r="P5">
        <v>14</v>
      </c>
      <c r="Q5">
        <v>21</v>
      </c>
      <c r="R5">
        <v>16.600000000000001</v>
      </c>
      <c r="S5">
        <v>10.6</v>
      </c>
      <c r="T5">
        <v>6.7</v>
      </c>
      <c r="U5">
        <v>3.2</v>
      </c>
      <c r="V5">
        <v>4.5999999999999996</v>
      </c>
      <c r="W5">
        <v>4</v>
      </c>
      <c r="X5">
        <v>3.3</v>
      </c>
      <c r="Y5">
        <v>14</v>
      </c>
      <c r="Z5">
        <v>0</v>
      </c>
      <c r="AA5">
        <v>14</v>
      </c>
      <c r="AB5" t="s">
        <v>352</v>
      </c>
      <c r="AC5" t="b">
        <v>0</v>
      </c>
      <c r="AD5" t="s">
        <v>353</v>
      </c>
      <c r="AE5">
        <v>0.4496</v>
      </c>
      <c r="AF5" t="s">
        <v>354</v>
      </c>
      <c r="AG5">
        <v>0.2336</v>
      </c>
      <c r="AH5">
        <v>5.3400000000000003E-2</v>
      </c>
      <c r="AI5">
        <v>0.72550000000000003</v>
      </c>
      <c r="AJ5" t="s">
        <v>355</v>
      </c>
      <c r="AK5">
        <v>4.17</v>
      </c>
      <c r="AL5">
        <v>10</v>
      </c>
      <c r="AM5" t="s">
        <v>356</v>
      </c>
      <c r="AN5">
        <v>0</v>
      </c>
      <c r="AO5">
        <v>0</v>
      </c>
      <c r="AP5">
        <v>5</v>
      </c>
      <c r="AQ5">
        <v>5.67</v>
      </c>
      <c r="AR5">
        <v>5</v>
      </c>
      <c r="AS5">
        <v>0</v>
      </c>
      <c r="AT5" t="s">
        <v>357</v>
      </c>
      <c r="AU5">
        <v>28.6</v>
      </c>
      <c r="AV5">
        <v>18</v>
      </c>
      <c r="AW5" t="s">
        <v>356</v>
      </c>
      <c r="AX5">
        <v>11</v>
      </c>
      <c r="AY5">
        <v>12.47</v>
      </c>
      <c r="AZ5">
        <v>0</v>
      </c>
      <c r="BA5">
        <v>10</v>
      </c>
      <c r="BB5">
        <v>1</v>
      </c>
      <c r="BC5">
        <v>0</v>
      </c>
      <c r="BD5">
        <v>0</v>
      </c>
      <c r="BE5">
        <v>11</v>
      </c>
      <c r="BF5">
        <v>0</v>
      </c>
      <c r="BG5">
        <v>11</v>
      </c>
      <c r="BH5">
        <v>0</v>
      </c>
      <c r="BI5">
        <v>0.17</v>
      </c>
      <c r="BJ5" t="b">
        <v>0</v>
      </c>
      <c r="BK5" t="b">
        <v>0</v>
      </c>
      <c r="BL5">
        <v>3</v>
      </c>
      <c r="BM5">
        <v>3</v>
      </c>
      <c r="BN5">
        <v>2</v>
      </c>
      <c r="BO5">
        <v>1</v>
      </c>
      <c r="BP5">
        <v>0</v>
      </c>
      <c r="BQ5">
        <v>1</v>
      </c>
      <c r="BR5">
        <v>0</v>
      </c>
      <c r="BS5">
        <v>882</v>
      </c>
      <c r="BT5">
        <v>387</v>
      </c>
      <c r="BU5">
        <v>0.43880000000000002</v>
      </c>
      <c r="BV5">
        <v>3</v>
      </c>
      <c r="BW5">
        <v>1</v>
      </c>
      <c r="BX5">
        <v>294</v>
      </c>
      <c r="BZ5" t="s">
        <v>464</v>
      </c>
      <c r="CA5" t="s">
        <v>465</v>
      </c>
      <c r="CB5" t="s">
        <v>466</v>
      </c>
      <c r="CC5" t="s">
        <v>467</v>
      </c>
      <c r="CD5">
        <v>0</v>
      </c>
      <c r="CE5">
        <v>0</v>
      </c>
      <c r="CF5">
        <v>0</v>
      </c>
      <c r="CG5">
        <v>0</v>
      </c>
      <c r="CH5">
        <v>0</v>
      </c>
      <c r="CJ5">
        <v>2</v>
      </c>
      <c r="CK5">
        <v>2.27</v>
      </c>
      <c r="CL5" t="s">
        <v>440</v>
      </c>
      <c r="CM5">
        <v>1</v>
      </c>
      <c r="CN5">
        <v>0</v>
      </c>
      <c r="CO5" t="b">
        <v>0</v>
      </c>
      <c r="CP5" t="b">
        <v>0</v>
      </c>
      <c r="CQ5" t="b">
        <v>1</v>
      </c>
      <c r="CR5" t="b">
        <v>0</v>
      </c>
      <c r="CS5" t="b">
        <v>0</v>
      </c>
      <c r="CT5" t="b">
        <v>0</v>
      </c>
      <c r="CU5" t="b">
        <v>0</v>
      </c>
      <c r="CV5">
        <v>0</v>
      </c>
      <c r="CW5">
        <v>0</v>
      </c>
      <c r="CX5">
        <v>0</v>
      </c>
      <c r="CY5">
        <v>0</v>
      </c>
      <c r="CZ5">
        <v>0</v>
      </c>
      <c r="DA5">
        <v>5</v>
      </c>
      <c r="DB5">
        <v>5.66</v>
      </c>
      <c r="DC5">
        <v>5</v>
      </c>
      <c r="DD5">
        <v>0</v>
      </c>
      <c r="DE5">
        <v>0</v>
      </c>
      <c r="DF5">
        <v>1</v>
      </c>
      <c r="DG5">
        <v>1.1299999999999999</v>
      </c>
      <c r="DH5">
        <v>4</v>
      </c>
      <c r="DI5">
        <v>4.53</v>
      </c>
      <c r="DJ5">
        <v>0.25</v>
      </c>
      <c r="DK5">
        <v>0</v>
      </c>
      <c r="DL5">
        <v>0</v>
      </c>
      <c r="DM5">
        <v>0</v>
      </c>
      <c r="DN5">
        <v>0</v>
      </c>
      <c r="DO5">
        <v>43</v>
      </c>
      <c r="DP5">
        <v>6</v>
      </c>
      <c r="DQ5">
        <v>6.8</v>
      </c>
      <c r="DR5" t="s">
        <v>468</v>
      </c>
      <c r="DS5" t="s">
        <v>469</v>
      </c>
      <c r="DT5" t="s">
        <v>470</v>
      </c>
      <c r="DU5" t="s">
        <v>471</v>
      </c>
      <c r="DV5" t="s">
        <v>365</v>
      </c>
      <c r="DW5">
        <v>0.71</v>
      </c>
      <c r="DX5">
        <v>0</v>
      </c>
      <c r="DY5">
        <v>2</v>
      </c>
      <c r="DZ5">
        <v>5</v>
      </c>
      <c r="EA5">
        <v>0</v>
      </c>
      <c r="EB5">
        <v>7.71</v>
      </c>
      <c r="EC5" t="s">
        <v>369</v>
      </c>
      <c r="ED5" t="s">
        <v>413</v>
      </c>
      <c r="EE5">
        <v>8.89</v>
      </c>
      <c r="EF5" t="s">
        <v>356</v>
      </c>
      <c r="EG5">
        <v>0.11</v>
      </c>
      <c r="EH5">
        <v>3.28</v>
      </c>
      <c r="EI5">
        <v>3.4000000000000002E-2</v>
      </c>
      <c r="EJ5" t="s">
        <v>370</v>
      </c>
      <c r="EK5">
        <v>1.36</v>
      </c>
      <c r="EL5" t="s">
        <v>472</v>
      </c>
      <c r="EM5" t="s">
        <v>473</v>
      </c>
      <c r="EN5">
        <v>2.57</v>
      </c>
      <c r="EO5" t="s">
        <v>474</v>
      </c>
      <c r="EP5">
        <v>0</v>
      </c>
      <c r="EQ5">
        <v>0</v>
      </c>
      <c r="ER5">
        <v>69.5</v>
      </c>
      <c r="ES5" t="s">
        <v>475</v>
      </c>
      <c r="ET5">
        <v>1.1299999999999999</v>
      </c>
      <c r="EU5">
        <v>4.1500000000000004</v>
      </c>
      <c r="EV5">
        <v>3.02</v>
      </c>
      <c r="EW5">
        <v>0.76</v>
      </c>
      <c r="EX5">
        <v>0.38</v>
      </c>
      <c r="EY5">
        <v>1.89</v>
      </c>
      <c r="EZ5">
        <v>1.89</v>
      </c>
      <c r="FA5">
        <v>0</v>
      </c>
      <c r="FB5">
        <v>4.53</v>
      </c>
      <c r="FC5">
        <v>7.93</v>
      </c>
      <c r="FD5" t="s">
        <v>375</v>
      </c>
      <c r="FE5">
        <v>59</v>
      </c>
      <c r="FF5" t="s">
        <v>476</v>
      </c>
      <c r="FG5" t="s">
        <v>477</v>
      </c>
      <c r="FH5" t="s">
        <v>478</v>
      </c>
      <c r="FI5" t="s">
        <v>479</v>
      </c>
      <c r="FJ5" t="s">
        <v>480</v>
      </c>
      <c r="FK5" t="s">
        <v>481</v>
      </c>
      <c r="FL5" t="s">
        <v>482</v>
      </c>
      <c r="FM5">
        <v>0</v>
      </c>
      <c r="FN5">
        <v>0.50639999999999996</v>
      </c>
      <c r="FO5">
        <v>0.77500000000000002</v>
      </c>
      <c r="FP5">
        <v>0.61919999999999997</v>
      </c>
      <c r="FQ5">
        <v>0.44259999999999999</v>
      </c>
      <c r="FR5">
        <v>0</v>
      </c>
      <c r="FS5">
        <v>1.6400000000000001E-2</v>
      </c>
      <c r="FT5">
        <v>0</v>
      </c>
      <c r="FU5">
        <v>0</v>
      </c>
      <c r="FV5">
        <v>0.14430000000000001</v>
      </c>
      <c r="FW5">
        <v>7.2900000000000006E-2</v>
      </c>
      <c r="FX5">
        <v>0</v>
      </c>
      <c r="FY5">
        <v>0.28239999999999998</v>
      </c>
      <c r="FZ5">
        <v>0</v>
      </c>
      <c r="GA5">
        <v>61</v>
      </c>
      <c r="GB5">
        <v>1</v>
      </c>
      <c r="GC5">
        <v>1</v>
      </c>
      <c r="GD5">
        <v>28</v>
      </c>
      <c r="GE5">
        <v>0</v>
      </c>
      <c r="GF5">
        <v>14</v>
      </c>
      <c r="GG5">
        <v>0</v>
      </c>
      <c r="GH5">
        <v>0</v>
      </c>
      <c r="GI5">
        <v>0</v>
      </c>
      <c r="GJ5">
        <v>0</v>
      </c>
      <c r="GK5">
        <v>0.14580000000000001</v>
      </c>
      <c r="GL5">
        <v>0</v>
      </c>
      <c r="GM5">
        <v>0.14580000000000001</v>
      </c>
      <c r="GN5">
        <v>0</v>
      </c>
      <c r="GO5">
        <v>0</v>
      </c>
      <c r="GP5">
        <v>0</v>
      </c>
      <c r="GQ5">
        <v>0</v>
      </c>
      <c r="GR5">
        <v>0</v>
      </c>
      <c r="GS5">
        <v>0</v>
      </c>
      <c r="GT5">
        <v>0</v>
      </c>
      <c r="GU5">
        <v>0</v>
      </c>
      <c r="GV5">
        <v>0</v>
      </c>
      <c r="GW5">
        <v>0</v>
      </c>
      <c r="GX5">
        <v>0</v>
      </c>
      <c r="GY5">
        <v>0</v>
      </c>
      <c r="GZ5">
        <v>0</v>
      </c>
      <c r="HA5">
        <v>0</v>
      </c>
      <c r="HB5">
        <v>0</v>
      </c>
      <c r="HC5" t="s">
        <v>383</v>
      </c>
      <c r="HD5">
        <v>0</v>
      </c>
      <c r="HE5">
        <v>0</v>
      </c>
      <c r="HF5">
        <v>0</v>
      </c>
      <c r="HG5">
        <v>0</v>
      </c>
      <c r="HH5">
        <v>0</v>
      </c>
      <c r="HI5" t="s">
        <v>383</v>
      </c>
      <c r="HJ5">
        <v>0</v>
      </c>
      <c r="HK5">
        <v>0</v>
      </c>
      <c r="HL5">
        <v>0</v>
      </c>
      <c r="HM5">
        <v>0</v>
      </c>
      <c r="HN5">
        <v>0</v>
      </c>
      <c r="HO5" t="s">
        <v>383</v>
      </c>
      <c r="HP5">
        <v>0</v>
      </c>
      <c r="HQ5">
        <v>0</v>
      </c>
      <c r="HR5">
        <v>0</v>
      </c>
      <c r="HS5">
        <v>0</v>
      </c>
      <c r="HT5">
        <v>0</v>
      </c>
      <c r="HU5" t="s">
        <v>383</v>
      </c>
      <c r="HV5">
        <v>0</v>
      </c>
      <c r="HW5">
        <v>0</v>
      </c>
      <c r="HX5">
        <v>0</v>
      </c>
      <c r="HY5">
        <v>0</v>
      </c>
      <c r="HZ5">
        <v>0</v>
      </c>
      <c r="IA5" t="s">
        <v>384</v>
      </c>
      <c r="IB5">
        <v>0</v>
      </c>
      <c r="IC5">
        <v>0</v>
      </c>
      <c r="ID5">
        <v>0</v>
      </c>
      <c r="IE5">
        <v>0</v>
      </c>
      <c r="IF5">
        <v>0</v>
      </c>
      <c r="IG5" t="s">
        <v>384</v>
      </c>
      <c r="IH5">
        <v>0</v>
      </c>
      <c r="II5">
        <v>0</v>
      </c>
      <c r="IJ5">
        <v>0</v>
      </c>
      <c r="IK5">
        <v>0</v>
      </c>
      <c r="IL5">
        <v>0</v>
      </c>
      <c r="IM5" t="s">
        <v>384</v>
      </c>
      <c r="IN5">
        <v>0</v>
      </c>
      <c r="IO5">
        <v>0</v>
      </c>
      <c r="IP5">
        <v>0</v>
      </c>
      <c r="IQ5">
        <v>0</v>
      </c>
      <c r="IR5">
        <v>0</v>
      </c>
      <c r="IS5" t="s">
        <v>384</v>
      </c>
      <c r="IT5">
        <v>0</v>
      </c>
      <c r="IU5">
        <v>0</v>
      </c>
      <c r="IV5">
        <v>0</v>
      </c>
      <c r="IW5">
        <v>0</v>
      </c>
      <c r="IX5">
        <v>0</v>
      </c>
      <c r="IY5">
        <v>0</v>
      </c>
      <c r="IZ5">
        <v>0</v>
      </c>
      <c r="JA5">
        <v>0</v>
      </c>
      <c r="JD5" t="s">
        <v>483</v>
      </c>
      <c r="JE5" t="s">
        <v>484</v>
      </c>
      <c r="JF5" t="s">
        <v>485</v>
      </c>
      <c r="JG5" t="s">
        <v>486</v>
      </c>
      <c r="JH5" t="s">
        <v>487</v>
      </c>
      <c r="JI5" t="s">
        <v>469</v>
      </c>
      <c r="JJ5">
        <v>0.41670000000000001</v>
      </c>
      <c r="JK5">
        <v>0</v>
      </c>
      <c r="JL5" t="s">
        <v>391</v>
      </c>
      <c r="JM5">
        <v>0</v>
      </c>
      <c r="JN5">
        <v>0</v>
      </c>
      <c r="JO5">
        <v>0</v>
      </c>
      <c r="JP5">
        <v>0</v>
      </c>
      <c r="JQ5">
        <v>0</v>
      </c>
      <c r="JR5">
        <v>0</v>
      </c>
      <c r="JS5">
        <v>0</v>
      </c>
      <c r="JT5">
        <v>0</v>
      </c>
      <c r="JU5">
        <v>0</v>
      </c>
      <c r="JV5">
        <v>0</v>
      </c>
      <c r="JX5" t="s">
        <v>392</v>
      </c>
      <c r="JY5">
        <v>0</v>
      </c>
      <c r="JZ5">
        <v>0</v>
      </c>
      <c r="KA5">
        <v>1</v>
      </c>
      <c r="KB5">
        <v>0</v>
      </c>
      <c r="KC5">
        <v>0</v>
      </c>
      <c r="KD5">
        <v>1</v>
      </c>
      <c r="KE5">
        <v>0</v>
      </c>
      <c r="KF5">
        <v>0</v>
      </c>
      <c r="KG5">
        <v>1</v>
      </c>
      <c r="KH5">
        <v>0</v>
      </c>
      <c r="KI5">
        <v>0</v>
      </c>
      <c r="KJ5">
        <v>1</v>
      </c>
      <c r="KK5">
        <v>0</v>
      </c>
      <c r="KL5">
        <v>0</v>
      </c>
      <c r="KM5">
        <v>1</v>
      </c>
      <c r="KN5">
        <v>0</v>
      </c>
      <c r="KO5">
        <v>0</v>
      </c>
      <c r="KP5">
        <v>1</v>
      </c>
      <c r="KQ5">
        <v>0</v>
      </c>
      <c r="KR5">
        <v>0</v>
      </c>
      <c r="KS5">
        <v>1</v>
      </c>
      <c r="KT5">
        <v>0</v>
      </c>
      <c r="KU5">
        <v>0</v>
      </c>
      <c r="KV5">
        <v>1</v>
      </c>
      <c r="KW5">
        <v>0</v>
      </c>
      <c r="KX5">
        <v>0</v>
      </c>
      <c r="KY5">
        <v>1</v>
      </c>
      <c r="KZ5">
        <v>0</v>
      </c>
      <c r="LA5">
        <v>0</v>
      </c>
      <c r="LB5">
        <v>0</v>
      </c>
      <c r="LC5">
        <v>0</v>
      </c>
      <c r="LD5">
        <v>0</v>
      </c>
      <c r="LE5">
        <v>0</v>
      </c>
      <c r="LF5">
        <v>0</v>
      </c>
      <c r="LG5">
        <v>0</v>
      </c>
      <c r="LH5">
        <v>0</v>
      </c>
      <c r="LI5">
        <v>0</v>
      </c>
      <c r="LJ5">
        <v>0</v>
      </c>
      <c r="LK5">
        <v>0</v>
      </c>
      <c r="LN5" t="s">
        <v>393</v>
      </c>
      <c r="LO5" t="s">
        <v>394</v>
      </c>
      <c r="LP5" t="s">
        <v>395</v>
      </c>
      <c r="LQ5">
        <v>0.433</v>
      </c>
      <c r="LR5">
        <v>12.52</v>
      </c>
      <c r="LS5">
        <v>8.8529999999999998</v>
      </c>
      <c r="LT5">
        <v>836</v>
      </c>
      <c r="LU5">
        <v>362</v>
      </c>
      <c r="LV5">
        <v>66.987200000000001</v>
      </c>
      <c r="LW5">
        <v>0.85819999999999996</v>
      </c>
      <c r="LX5">
        <v>0.54410000000000003</v>
      </c>
      <c r="LY5">
        <v>0.54410000000000003</v>
      </c>
      <c r="LZ5">
        <v>0.54410000000000003</v>
      </c>
      <c r="MA5">
        <v>0</v>
      </c>
      <c r="MB5">
        <v>444</v>
      </c>
      <c r="MC5">
        <v>1</v>
      </c>
      <c r="MD5" t="s">
        <v>396</v>
      </c>
      <c r="ME5" t="s">
        <v>397</v>
      </c>
    </row>
    <row r="6" spans="1:343" ht="16.95" customHeight="1" x14ac:dyDescent="0.3">
      <c r="A6" t="s">
        <v>488</v>
      </c>
      <c r="B6" t="s">
        <v>489</v>
      </c>
      <c r="C6" t="s">
        <v>345</v>
      </c>
      <c r="D6" t="s">
        <v>346</v>
      </c>
      <c r="E6" t="s">
        <v>347</v>
      </c>
      <c r="F6" t="s">
        <v>490</v>
      </c>
      <c r="G6" t="s">
        <v>491</v>
      </c>
      <c r="H6" t="s">
        <v>492</v>
      </c>
      <c r="I6" t="s">
        <v>351</v>
      </c>
      <c r="J6">
        <v>1251</v>
      </c>
      <c r="K6">
        <v>465</v>
      </c>
      <c r="L6">
        <v>0.37169999999999997</v>
      </c>
      <c r="M6">
        <v>60</v>
      </c>
      <c r="N6">
        <v>3</v>
      </c>
      <c r="O6">
        <v>1</v>
      </c>
      <c r="P6">
        <v>20.9</v>
      </c>
      <c r="Q6">
        <v>20</v>
      </c>
      <c r="R6">
        <v>22</v>
      </c>
      <c r="S6">
        <v>5.4</v>
      </c>
      <c r="T6">
        <v>8.8000000000000007</v>
      </c>
      <c r="U6">
        <v>1.8</v>
      </c>
      <c r="V6">
        <v>5.5</v>
      </c>
      <c r="W6">
        <v>7</v>
      </c>
      <c r="X6">
        <v>8.8000000000000007</v>
      </c>
      <c r="Y6">
        <v>9</v>
      </c>
      <c r="Z6">
        <v>0</v>
      </c>
      <c r="AA6">
        <v>9</v>
      </c>
      <c r="AB6" t="s">
        <v>493</v>
      </c>
      <c r="AC6" t="b">
        <v>0</v>
      </c>
      <c r="AD6" t="s">
        <v>353</v>
      </c>
      <c r="AE6">
        <v>0.41699999999999998</v>
      </c>
      <c r="AF6" t="s">
        <v>354</v>
      </c>
      <c r="AG6">
        <v>0.18629999999999999</v>
      </c>
      <c r="AH6">
        <v>8.5699999999999998E-2</v>
      </c>
      <c r="AI6">
        <v>0.74399999999999999</v>
      </c>
      <c r="AJ6" t="s">
        <v>355</v>
      </c>
      <c r="AK6">
        <v>4.87</v>
      </c>
      <c r="AL6">
        <v>9</v>
      </c>
      <c r="AM6" t="s">
        <v>356</v>
      </c>
      <c r="AN6">
        <v>0</v>
      </c>
      <c r="AO6">
        <v>0</v>
      </c>
      <c r="AP6">
        <v>43</v>
      </c>
      <c r="AQ6">
        <v>34.369999999999997</v>
      </c>
      <c r="AR6">
        <v>43</v>
      </c>
      <c r="AS6">
        <v>12</v>
      </c>
      <c r="AT6" t="s">
        <v>357</v>
      </c>
      <c r="AU6">
        <v>16.7</v>
      </c>
      <c r="AV6">
        <v>10</v>
      </c>
      <c r="AW6" t="s">
        <v>354</v>
      </c>
      <c r="AX6">
        <v>9</v>
      </c>
      <c r="AY6">
        <v>7.19</v>
      </c>
      <c r="AZ6">
        <v>0</v>
      </c>
      <c r="BA6">
        <v>9</v>
      </c>
      <c r="BB6">
        <v>0</v>
      </c>
      <c r="BC6">
        <v>0</v>
      </c>
      <c r="BD6">
        <v>0</v>
      </c>
      <c r="BE6">
        <v>9</v>
      </c>
      <c r="BF6">
        <v>0</v>
      </c>
      <c r="BG6">
        <v>9</v>
      </c>
      <c r="BH6">
        <v>1</v>
      </c>
      <c r="BI6">
        <v>0</v>
      </c>
      <c r="BJ6" t="b">
        <v>0</v>
      </c>
      <c r="BK6" t="b">
        <v>0</v>
      </c>
      <c r="BL6">
        <v>3</v>
      </c>
      <c r="BM6">
        <v>3</v>
      </c>
      <c r="BN6">
        <v>2</v>
      </c>
      <c r="BO6">
        <v>1</v>
      </c>
      <c r="BP6">
        <v>0</v>
      </c>
      <c r="BQ6">
        <v>1</v>
      </c>
      <c r="BR6">
        <v>0</v>
      </c>
      <c r="BS6">
        <v>1251</v>
      </c>
      <c r="BT6">
        <v>465</v>
      </c>
      <c r="BU6">
        <v>0.37169999999999997</v>
      </c>
      <c r="BV6">
        <v>3</v>
      </c>
      <c r="BW6">
        <v>1</v>
      </c>
      <c r="BX6">
        <v>417</v>
      </c>
      <c r="BZ6" t="s">
        <v>494</v>
      </c>
      <c r="CA6" t="s">
        <v>495</v>
      </c>
      <c r="CB6" t="s">
        <v>496</v>
      </c>
      <c r="CC6" t="s">
        <v>497</v>
      </c>
      <c r="CD6">
        <v>0</v>
      </c>
      <c r="CE6">
        <v>0</v>
      </c>
      <c r="CF6">
        <v>0</v>
      </c>
      <c r="CG6">
        <v>0</v>
      </c>
      <c r="CH6">
        <v>0</v>
      </c>
      <c r="CJ6">
        <v>7</v>
      </c>
      <c r="CK6">
        <v>5.59</v>
      </c>
      <c r="CL6" t="s">
        <v>363</v>
      </c>
      <c r="CM6">
        <v>1</v>
      </c>
      <c r="CN6">
        <v>0</v>
      </c>
      <c r="CO6" t="b">
        <v>0</v>
      </c>
      <c r="CP6" t="b">
        <v>0</v>
      </c>
      <c r="CQ6" t="b">
        <v>1</v>
      </c>
      <c r="CR6" t="b">
        <v>1</v>
      </c>
      <c r="CS6" t="b">
        <v>0</v>
      </c>
      <c r="CT6" t="b">
        <v>1</v>
      </c>
      <c r="CU6" t="b">
        <v>0</v>
      </c>
      <c r="CV6">
        <v>0</v>
      </c>
      <c r="CW6">
        <v>0</v>
      </c>
      <c r="CX6">
        <v>0</v>
      </c>
      <c r="CY6">
        <v>0</v>
      </c>
      <c r="CZ6">
        <v>0</v>
      </c>
      <c r="DA6">
        <v>43</v>
      </c>
      <c r="DB6">
        <v>34.35</v>
      </c>
      <c r="DC6">
        <v>43</v>
      </c>
      <c r="DD6">
        <v>5</v>
      </c>
      <c r="DE6">
        <v>3.99</v>
      </c>
      <c r="DF6">
        <v>0</v>
      </c>
      <c r="DG6">
        <v>0</v>
      </c>
      <c r="DH6">
        <v>7</v>
      </c>
      <c r="DI6">
        <v>5.59</v>
      </c>
      <c r="DJ6">
        <v>0</v>
      </c>
      <c r="DK6">
        <v>0</v>
      </c>
      <c r="DL6">
        <v>9</v>
      </c>
      <c r="DM6">
        <v>0</v>
      </c>
      <c r="DN6">
        <v>0</v>
      </c>
      <c r="DO6">
        <v>165</v>
      </c>
      <c r="DP6">
        <v>8</v>
      </c>
      <c r="DQ6">
        <v>6.39</v>
      </c>
      <c r="DR6" t="s">
        <v>498</v>
      </c>
      <c r="DS6" t="s">
        <v>499</v>
      </c>
      <c r="DT6" t="s">
        <v>500</v>
      </c>
      <c r="DU6" t="s">
        <v>501</v>
      </c>
      <c r="DV6" t="s">
        <v>502</v>
      </c>
      <c r="DW6">
        <v>2.14</v>
      </c>
      <c r="DX6">
        <v>0</v>
      </c>
      <c r="DY6">
        <v>2</v>
      </c>
      <c r="DZ6">
        <v>5</v>
      </c>
      <c r="EA6">
        <v>5</v>
      </c>
      <c r="EB6">
        <v>14.14</v>
      </c>
      <c r="EC6" t="s">
        <v>503</v>
      </c>
      <c r="ED6" t="s">
        <v>369</v>
      </c>
      <c r="EE6">
        <v>3.87</v>
      </c>
      <c r="EF6" t="s">
        <v>414</v>
      </c>
      <c r="EG6">
        <v>0</v>
      </c>
      <c r="EH6">
        <v>4.07</v>
      </c>
      <c r="EI6">
        <v>0</v>
      </c>
      <c r="EJ6" t="s">
        <v>370</v>
      </c>
      <c r="EK6">
        <v>1.28</v>
      </c>
      <c r="EL6" t="s">
        <v>472</v>
      </c>
      <c r="EM6" t="s">
        <v>504</v>
      </c>
      <c r="EN6">
        <v>1.36</v>
      </c>
      <c r="EO6" t="s">
        <v>417</v>
      </c>
      <c r="EP6">
        <v>0</v>
      </c>
      <c r="EQ6">
        <v>0</v>
      </c>
      <c r="ER6">
        <v>60.4</v>
      </c>
      <c r="ES6" t="s">
        <v>475</v>
      </c>
      <c r="ET6">
        <v>0.53</v>
      </c>
      <c r="EU6">
        <v>1.86</v>
      </c>
      <c r="EV6">
        <v>1.06</v>
      </c>
      <c r="EW6">
        <v>1.33</v>
      </c>
      <c r="EX6">
        <v>2.4</v>
      </c>
      <c r="EY6">
        <v>0</v>
      </c>
      <c r="EZ6">
        <v>0.8</v>
      </c>
      <c r="FA6">
        <v>2.13</v>
      </c>
      <c r="FB6">
        <v>1.06</v>
      </c>
      <c r="FC6">
        <v>2.4</v>
      </c>
      <c r="FD6" t="s">
        <v>375</v>
      </c>
      <c r="FE6">
        <v>182</v>
      </c>
      <c r="FF6" t="s">
        <v>505</v>
      </c>
      <c r="FG6" t="s">
        <v>506</v>
      </c>
      <c r="FH6" t="s">
        <v>507</v>
      </c>
      <c r="FI6" t="s">
        <v>508</v>
      </c>
      <c r="FJ6" t="s">
        <v>509</v>
      </c>
      <c r="FK6" t="s">
        <v>510</v>
      </c>
      <c r="FL6" t="s">
        <v>511</v>
      </c>
      <c r="FM6">
        <v>0</v>
      </c>
      <c r="FN6">
        <v>0.6109</v>
      </c>
      <c r="FO6">
        <v>0.77500000000000002</v>
      </c>
      <c r="FP6">
        <v>0.67979999999999996</v>
      </c>
      <c r="FQ6">
        <v>0.63329999999999997</v>
      </c>
      <c r="FR6">
        <v>0</v>
      </c>
      <c r="FS6">
        <v>0</v>
      </c>
      <c r="FT6">
        <v>0</v>
      </c>
      <c r="FU6">
        <v>0</v>
      </c>
      <c r="FV6">
        <v>0.21</v>
      </c>
      <c r="FW6">
        <v>0</v>
      </c>
      <c r="FX6">
        <v>0.16</v>
      </c>
      <c r="FY6">
        <v>0.30330000000000001</v>
      </c>
      <c r="FZ6">
        <v>0</v>
      </c>
      <c r="GA6">
        <v>60</v>
      </c>
      <c r="GB6">
        <v>1</v>
      </c>
      <c r="GC6">
        <v>1</v>
      </c>
      <c r="GD6">
        <v>43</v>
      </c>
      <c r="GE6">
        <v>0</v>
      </c>
      <c r="GF6">
        <v>10</v>
      </c>
      <c r="GG6">
        <v>0</v>
      </c>
      <c r="GH6">
        <v>0</v>
      </c>
      <c r="GI6">
        <v>0</v>
      </c>
      <c r="GJ6">
        <v>0</v>
      </c>
      <c r="GK6">
        <v>0</v>
      </c>
      <c r="GL6">
        <v>0</v>
      </c>
      <c r="GM6">
        <v>0</v>
      </c>
      <c r="GN6">
        <v>0</v>
      </c>
      <c r="GO6">
        <v>0</v>
      </c>
      <c r="GP6">
        <v>0</v>
      </c>
      <c r="GQ6">
        <v>0</v>
      </c>
      <c r="GR6">
        <v>0</v>
      </c>
      <c r="GS6">
        <v>0.48</v>
      </c>
      <c r="GT6">
        <v>0</v>
      </c>
      <c r="GU6">
        <v>0</v>
      </c>
      <c r="GV6">
        <v>0</v>
      </c>
      <c r="GW6">
        <v>0</v>
      </c>
      <c r="GX6">
        <v>0</v>
      </c>
      <c r="GY6">
        <v>0</v>
      </c>
      <c r="GZ6">
        <v>0</v>
      </c>
      <c r="HA6">
        <v>0</v>
      </c>
      <c r="HB6">
        <v>0</v>
      </c>
      <c r="HC6" t="s">
        <v>383</v>
      </c>
      <c r="HD6">
        <v>0</v>
      </c>
      <c r="HE6">
        <v>0</v>
      </c>
      <c r="HF6">
        <v>0</v>
      </c>
      <c r="HG6">
        <v>0</v>
      </c>
      <c r="HH6">
        <v>0</v>
      </c>
      <c r="HI6" t="s">
        <v>383</v>
      </c>
      <c r="HJ6">
        <v>0</v>
      </c>
      <c r="HK6">
        <v>0</v>
      </c>
      <c r="HL6">
        <v>0</v>
      </c>
      <c r="HM6">
        <v>0</v>
      </c>
      <c r="HN6">
        <v>0</v>
      </c>
      <c r="HO6" t="s">
        <v>383</v>
      </c>
      <c r="HP6">
        <v>0</v>
      </c>
      <c r="HQ6">
        <v>0</v>
      </c>
      <c r="HR6">
        <v>0</v>
      </c>
      <c r="HS6">
        <v>0</v>
      </c>
      <c r="HT6">
        <v>0</v>
      </c>
      <c r="HU6" t="s">
        <v>383</v>
      </c>
      <c r="HV6">
        <v>0</v>
      </c>
      <c r="HW6">
        <v>0</v>
      </c>
      <c r="HX6">
        <v>0</v>
      </c>
      <c r="HY6">
        <v>0</v>
      </c>
      <c r="HZ6">
        <v>0</v>
      </c>
      <c r="IA6" t="s">
        <v>384</v>
      </c>
      <c r="IB6">
        <v>0</v>
      </c>
      <c r="IC6">
        <v>0</v>
      </c>
      <c r="ID6">
        <v>0</v>
      </c>
      <c r="IE6">
        <v>0</v>
      </c>
      <c r="IF6">
        <v>0</v>
      </c>
      <c r="IG6" t="s">
        <v>384</v>
      </c>
      <c r="IH6">
        <v>0</v>
      </c>
      <c r="II6">
        <v>0</v>
      </c>
      <c r="IJ6">
        <v>0</v>
      </c>
      <c r="IK6">
        <v>0</v>
      </c>
      <c r="IL6">
        <v>0</v>
      </c>
      <c r="IM6" t="s">
        <v>384</v>
      </c>
      <c r="IN6">
        <v>0</v>
      </c>
      <c r="IO6">
        <v>0</v>
      </c>
      <c r="IP6">
        <v>0</v>
      </c>
      <c r="IQ6">
        <v>0</v>
      </c>
      <c r="IR6">
        <v>0</v>
      </c>
      <c r="IS6" t="s">
        <v>384</v>
      </c>
      <c r="IT6">
        <v>0</v>
      </c>
      <c r="IU6">
        <v>0</v>
      </c>
      <c r="IV6">
        <v>0</v>
      </c>
      <c r="IW6">
        <v>0</v>
      </c>
      <c r="IX6">
        <v>0</v>
      </c>
      <c r="IY6">
        <v>0</v>
      </c>
      <c r="IZ6">
        <v>0</v>
      </c>
      <c r="JA6">
        <v>0</v>
      </c>
      <c r="JD6" t="s">
        <v>512</v>
      </c>
      <c r="JE6" t="s">
        <v>386</v>
      </c>
      <c r="JF6" t="s">
        <v>513</v>
      </c>
      <c r="JG6" t="s">
        <v>514</v>
      </c>
      <c r="JH6" t="s">
        <v>515</v>
      </c>
      <c r="JI6" t="s">
        <v>516</v>
      </c>
      <c r="JJ6">
        <v>0.56669999999999998</v>
      </c>
      <c r="JK6">
        <v>0</v>
      </c>
      <c r="JL6" t="s">
        <v>391</v>
      </c>
      <c r="JM6">
        <v>0</v>
      </c>
      <c r="JN6">
        <v>0</v>
      </c>
      <c r="JO6">
        <v>0</v>
      </c>
      <c r="JP6">
        <v>0</v>
      </c>
      <c r="JQ6">
        <v>0</v>
      </c>
      <c r="JR6">
        <v>0</v>
      </c>
      <c r="JS6">
        <v>0</v>
      </c>
      <c r="JT6">
        <v>0</v>
      </c>
      <c r="JU6">
        <v>0</v>
      </c>
      <c r="JV6">
        <v>0</v>
      </c>
      <c r="JX6" t="s">
        <v>392</v>
      </c>
      <c r="JY6">
        <v>0</v>
      </c>
      <c r="JZ6">
        <v>0</v>
      </c>
      <c r="KA6">
        <v>1</v>
      </c>
      <c r="KB6">
        <v>0</v>
      </c>
      <c r="KC6">
        <v>0</v>
      </c>
      <c r="KD6">
        <v>1</v>
      </c>
      <c r="KE6">
        <v>0</v>
      </c>
      <c r="KF6">
        <v>0</v>
      </c>
      <c r="KG6">
        <v>1</v>
      </c>
      <c r="KH6">
        <v>0</v>
      </c>
      <c r="KI6">
        <v>0</v>
      </c>
      <c r="KJ6">
        <v>1</v>
      </c>
      <c r="KK6">
        <v>0</v>
      </c>
      <c r="KL6">
        <v>0</v>
      </c>
      <c r="KM6">
        <v>1</v>
      </c>
      <c r="KN6">
        <v>0</v>
      </c>
      <c r="KO6">
        <v>0</v>
      </c>
      <c r="KP6">
        <v>1</v>
      </c>
      <c r="KQ6">
        <v>0</v>
      </c>
      <c r="KR6">
        <v>0</v>
      </c>
      <c r="KS6">
        <v>1</v>
      </c>
      <c r="KT6">
        <v>0</v>
      </c>
      <c r="KU6">
        <v>0</v>
      </c>
      <c r="KV6">
        <v>1</v>
      </c>
      <c r="KW6">
        <v>0</v>
      </c>
      <c r="KX6">
        <v>0</v>
      </c>
      <c r="KY6">
        <v>1</v>
      </c>
      <c r="KZ6">
        <v>0</v>
      </c>
      <c r="LA6">
        <v>0</v>
      </c>
      <c r="LB6">
        <v>0</v>
      </c>
      <c r="LC6">
        <v>0</v>
      </c>
      <c r="LD6">
        <v>0</v>
      </c>
      <c r="LE6">
        <v>0</v>
      </c>
      <c r="LF6">
        <v>0</v>
      </c>
      <c r="LG6">
        <v>0</v>
      </c>
      <c r="LH6">
        <v>0</v>
      </c>
      <c r="LI6">
        <v>0</v>
      </c>
      <c r="LJ6">
        <v>0</v>
      </c>
      <c r="LK6">
        <v>0</v>
      </c>
      <c r="LN6" t="s">
        <v>393</v>
      </c>
      <c r="LO6" t="s">
        <v>394</v>
      </c>
      <c r="LP6" t="s">
        <v>395</v>
      </c>
      <c r="LQ6">
        <v>0.37969999999999998</v>
      </c>
      <c r="LR6">
        <v>12.261799999999999</v>
      </c>
      <c r="LS6">
        <v>8.6704000000000008</v>
      </c>
      <c r="LT6">
        <v>1043</v>
      </c>
      <c r="LU6">
        <v>396</v>
      </c>
      <c r="LV6">
        <v>62.213999999999999</v>
      </c>
      <c r="LW6">
        <v>0.85609999999999997</v>
      </c>
      <c r="LX6">
        <v>0.55279999999999996</v>
      </c>
      <c r="LY6">
        <v>0.55279999999999996</v>
      </c>
      <c r="LZ6">
        <v>0.55279999999999996</v>
      </c>
      <c r="MA6">
        <v>0</v>
      </c>
      <c r="MB6">
        <v>576</v>
      </c>
      <c r="MC6">
        <v>1</v>
      </c>
      <c r="MD6" t="s">
        <v>396</v>
      </c>
      <c r="ME6" t="s">
        <v>517</v>
      </c>
    </row>
    <row r="7" spans="1:343" ht="16.95" customHeight="1" x14ac:dyDescent="0.3">
      <c r="A7" t="s">
        <v>518</v>
      </c>
      <c r="B7" t="s">
        <v>519</v>
      </c>
      <c r="C7" t="s">
        <v>345</v>
      </c>
      <c r="D7" t="s">
        <v>346</v>
      </c>
      <c r="E7" t="s">
        <v>347</v>
      </c>
      <c r="F7" t="s">
        <v>520</v>
      </c>
      <c r="G7" t="s">
        <v>521</v>
      </c>
      <c r="H7" t="s">
        <v>522</v>
      </c>
      <c r="I7" t="s">
        <v>351</v>
      </c>
      <c r="J7">
        <v>1167</v>
      </c>
      <c r="K7">
        <v>448</v>
      </c>
      <c r="L7">
        <v>0.38390000000000002</v>
      </c>
      <c r="M7">
        <v>81</v>
      </c>
      <c r="N7">
        <v>3</v>
      </c>
      <c r="O7">
        <v>1</v>
      </c>
      <c r="P7">
        <v>14.4</v>
      </c>
      <c r="Q7">
        <v>27</v>
      </c>
      <c r="R7">
        <v>18.3</v>
      </c>
      <c r="S7">
        <v>11.9</v>
      </c>
      <c r="T7">
        <v>5.9</v>
      </c>
      <c r="U7">
        <v>3.3</v>
      </c>
      <c r="V7">
        <v>6.1</v>
      </c>
      <c r="W7">
        <v>12</v>
      </c>
      <c r="X7">
        <v>7.2</v>
      </c>
      <c r="Y7">
        <v>4</v>
      </c>
      <c r="Z7">
        <v>2</v>
      </c>
      <c r="AA7">
        <v>2</v>
      </c>
      <c r="AB7" t="s">
        <v>352</v>
      </c>
      <c r="AC7" t="b">
        <v>0</v>
      </c>
      <c r="AD7" t="s">
        <v>353</v>
      </c>
      <c r="AE7">
        <v>0.43120000000000003</v>
      </c>
      <c r="AF7" t="s">
        <v>354</v>
      </c>
      <c r="AG7">
        <v>0.30590000000000001</v>
      </c>
      <c r="AH7">
        <v>6.0900000000000003E-2</v>
      </c>
      <c r="AI7">
        <v>0.65180000000000005</v>
      </c>
      <c r="AJ7" t="s">
        <v>355</v>
      </c>
      <c r="AK7">
        <v>4.4000000000000004</v>
      </c>
      <c r="AL7">
        <v>10</v>
      </c>
      <c r="AM7" t="s">
        <v>356</v>
      </c>
      <c r="AN7">
        <v>0</v>
      </c>
      <c r="AO7">
        <v>0</v>
      </c>
      <c r="AP7">
        <v>15</v>
      </c>
      <c r="AQ7">
        <v>12.85</v>
      </c>
      <c r="AR7">
        <v>15</v>
      </c>
      <c r="AS7">
        <v>2</v>
      </c>
      <c r="AT7" t="s">
        <v>357</v>
      </c>
      <c r="AU7">
        <v>25.9</v>
      </c>
      <c r="AV7">
        <v>21</v>
      </c>
      <c r="AW7" t="s">
        <v>356</v>
      </c>
      <c r="AX7">
        <v>6</v>
      </c>
      <c r="AY7">
        <v>5.14</v>
      </c>
      <c r="AZ7">
        <v>0</v>
      </c>
      <c r="BA7">
        <v>4</v>
      </c>
      <c r="BB7">
        <v>1</v>
      </c>
      <c r="BC7">
        <v>1</v>
      </c>
      <c r="BD7">
        <v>0</v>
      </c>
      <c r="BE7">
        <v>5</v>
      </c>
      <c r="BF7">
        <v>0</v>
      </c>
      <c r="BG7">
        <v>5</v>
      </c>
      <c r="BH7">
        <v>0</v>
      </c>
      <c r="BI7">
        <v>0.04</v>
      </c>
      <c r="BJ7" t="b">
        <v>0</v>
      </c>
      <c r="BK7" t="b">
        <v>0</v>
      </c>
      <c r="BL7">
        <v>3</v>
      </c>
      <c r="BM7">
        <v>3</v>
      </c>
      <c r="BN7">
        <v>2</v>
      </c>
      <c r="BO7">
        <v>1</v>
      </c>
      <c r="BP7">
        <v>0</v>
      </c>
      <c r="BQ7">
        <v>1</v>
      </c>
      <c r="BR7">
        <v>0</v>
      </c>
      <c r="BS7">
        <v>1167</v>
      </c>
      <c r="BT7">
        <v>448</v>
      </c>
      <c r="BU7">
        <v>0.38390000000000002</v>
      </c>
      <c r="BV7">
        <v>3</v>
      </c>
      <c r="BW7">
        <v>1</v>
      </c>
      <c r="BX7">
        <v>389</v>
      </c>
      <c r="BZ7" t="s">
        <v>523</v>
      </c>
      <c r="CA7" t="s">
        <v>524</v>
      </c>
      <c r="CB7" t="s">
        <v>525</v>
      </c>
      <c r="CC7" t="s">
        <v>526</v>
      </c>
      <c r="CD7">
        <v>0</v>
      </c>
      <c r="CE7">
        <v>0</v>
      </c>
      <c r="CF7">
        <v>0</v>
      </c>
      <c r="CG7">
        <v>0</v>
      </c>
      <c r="CH7">
        <v>1</v>
      </c>
      <c r="CI7" t="s">
        <v>527</v>
      </c>
      <c r="CJ7">
        <v>7</v>
      </c>
      <c r="CK7">
        <v>5.99</v>
      </c>
      <c r="CL7" t="s">
        <v>363</v>
      </c>
      <c r="CM7">
        <v>1</v>
      </c>
      <c r="CN7">
        <v>0</v>
      </c>
      <c r="CO7" t="b">
        <v>0</v>
      </c>
      <c r="CP7" t="b">
        <v>0</v>
      </c>
      <c r="CQ7" t="b">
        <v>1</v>
      </c>
      <c r="CR7" t="b">
        <v>0</v>
      </c>
      <c r="CS7" t="b">
        <v>0</v>
      </c>
      <c r="CT7" t="b">
        <v>1</v>
      </c>
      <c r="CU7" t="b">
        <v>1</v>
      </c>
      <c r="CV7">
        <v>0</v>
      </c>
      <c r="CW7">
        <v>0</v>
      </c>
      <c r="CX7">
        <v>0</v>
      </c>
      <c r="CY7">
        <v>0</v>
      </c>
      <c r="CZ7">
        <v>0</v>
      </c>
      <c r="DA7">
        <v>15</v>
      </c>
      <c r="DB7">
        <v>12.84</v>
      </c>
      <c r="DC7">
        <v>15</v>
      </c>
      <c r="DD7">
        <v>1</v>
      </c>
      <c r="DE7">
        <v>0.86</v>
      </c>
      <c r="DF7">
        <v>1</v>
      </c>
      <c r="DG7">
        <v>0.86</v>
      </c>
      <c r="DH7">
        <v>6</v>
      </c>
      <c r="DI7">
        <v>5.14</v>
      </c>
      <c r="DJ7">
        <v>0.17</v>
      </c>
      <c r="DK7">
        <v>0</v>
      </c>
      <c r="DL7">
        <v>0</v>
      </c>
      <c r="DM7">
        <v>2</v>
      </c>
      <c r="DN7">
        <v>2</v>
      </c>
      <c r="DO7">
        <v>25</v>
      </c>
      <c r="DP7">
        <v>1</v>
      </c>
      <c r="DQ7">
        <v>0.86</v>
      </c>
      <c r="DR7" t="s">
        <v>528</v>
      </c>
      <c r="DS7" t="s">
        <v>529</v>
      </c>
      <c r="DT7" t="s">
        <v>530</v>
      </c>
      <c r="DU7" t="s">
        <v>531</v>
      </c>
      <c r="DV7" t="s">
        <v>532</v>
      </c>
      <c r="DW7">
        <v>2.14</v>
      </c>
      <c r="DX7">
        <v>0</v>
      </c>
      <c r="DY7">
        <v>2</v>
      </c>
      <c r="DZ7">
        <v>5</v>
      </c>
      <c r="EA7">
        <v>1</v>
      </c>
      <c r="EB7">
        <v>10.14</v>
      </c>
      <c r="EC7" t="s">
        <v>369</v>
      </c>
      <c r="ED7" t="s">
        <v>369</v>
      </c>
      <c r="EE7">
        <v>2.35</v>
      </c>
      <c r="EF7" t="s">
        <v>414</v>
      </c>
      <c r="EG7">
        <v>0.26</v>
      </c>
      <c r="EH7">
        <v>2.14</v>
      </c>
      <c r="EI7">
        <v>0.12</v>
      </c>
      <c r="EJ7" t="s">
        <v>370</v>
      </c>
      <c r="EK7">
        <v>0.51</v>
      </c>
      <c r="EL7" t="s">
        <v>394</v>
      </c>
      <c r="EM7" t="s">
        <v>533</v>
      </c>
      <c r="EN7">
        <v>1.23</v>
      </c>
      <c r="EO7" t="s">
        <v>534</v>
      </c>
      <c r="EP7">
        <v>0</v>
      </c>
      <c r="EQ7">
        <v>0</v>
      </c>
      <c r="ER7">
        <v>46.8</v>
      </c>
      <c r="ES7" t="s">
        <v>374</v>
      </c>
      <c r="ET7">
        <v>0</v>
      </c>
      <c r="EU7">
        <v>0.86</v>
      </c>
      <c r="EV7">
        <v>2.85</v>
      </c>
      <c r="EW7">
        <v>3.14</v>
      </c>
      <c r="EX7">
        <v>2.2799999999999998</v>
      </c>
      <c r="EY7">
        <v>0</v>
      </c>
      <c r="EZ7">
        <v>0.86</v>
      </c>
      <c r="FA7">
        <v>0.28999999999999998</v>
      </c>
      <c r="FB7">
        <v>1.1399999999999999</v>
      </c>
      <c r="FC7">
        <v>0.86</v>
      </c>
      <c r="FD7" t="s">
        <v>375</v>
      </c>
      <c r="FE7">
        <v>60</v>
      </c>
      <c r="FF7" t="s">
        <v>535</v>
      </c>
      <c r="FG7" t="s">
        <v>536</v>
      </c>
      <c r="FH7" t="s">
        <v>537</v>
      </c>
      <c r="FI7" t="s">
        <v>538</v>
      </c>
      <c r="FJ7" t="s">
        <v>539</v>
      </c>
      <c r="FK7" t="s">
        <v>540</v>
      </c>
      <c r="FL7" t="s">
        <v>541</v>
      </c>
      <c r="FM7">
        <v>0</v>
      </c>
      <c r="FN7">
        <v>0.54949999999999999</v>
      </c>
      <c r="FO7">
        <v>0.77500000000000002</v>
      </c>
      <c r="FP7">
        <v>0.64419999999999999</v>
      </c>
      <c r="FQ7">
        <v>0.49380000000000002</v>
      </c>
      <c r="FR7">
        <v>0</v>
      </c>
      <c r="FS7">
        <v>0</v>
      </c>
      <c r="FT7">
        <v>0</v>
      </c>
      <c r="FU7">
        <v>0</v>
      </c>
      <c r="FV7">
        <v>0.2</v>
      </c>
      <c r="FW7">
        <v>2.69E-2</v>
      </c>
      <c r="FX7">
        <v>3.5900000000000001E-2</v>
      </c>
      <c r="FY7">
        <v>0.27389999999999998</v>
      </c>
      <c r="FZ7">
        <v>0</v>
      </c>
      <c r="GA7">
        <v>81</v>
      </c>
      <c r="GB7">
        <v>1</v>
      </c>
      <c r="GC7">
        <v>1</v>
      </c>
      <c r="GD7">
        <v>49</v>
      </c>
      <c r="GE7">
        <v>0</v>
      </c>
      <c r="GF7">
        <v>18</v>
      </c>
      <c r="GG7">
        <v>0</v>
      </c>
      <c r="GH7">
        <v>0</v>
      </c>
      <c r="GI7">
        <v>0</v>
      </c>
      <c r="GJ7">
        <v>0</v>
      </c>
      <c r="GK7">
        <v>0</v>
      </c>
      <c r="GL7">
        <v>0</v>
      </c>
      <c r="GM7">
        <v>0</v>
      </c>
      <c r="GN7">
        <v>0</v>
      </c>
      <c r="GO7">
        <v>0.1077</v>
      </c>
      <c r="GP7">
        <v>0</v>
      </c>
      <c r="GQ7">
        <v>0</v>
      </c>
      <c r="GR7">
        <v>0</v>
      </c>
      <c r="GS7">
        <v>0.1077</v>
      </c>
      <c r="GT7">
        <v>0</v>
      </c>
      <c r="GU7">
        <v>0</v>
      </c>
      <c r="GV7">
        <v>0</v>
      </c>
      <c r="GW7">
        <v>0</v>
      </c>
      <c r="GX7">
        <v>0</v>
      </c>
      <c r="GY7">
        <v>0</v>
      </c>
      <c r="GZ7">
        <v>0</v>
      </c>
      <c r="HA7">
        <v>0</v>
      </c>
      <c r="HB7">
        <v>0</v>
      </c>
      <c r="HC7" t="s">
        <v>383</v>
      </c>
      <c r="HD7">
        <v>0</v>
      </c>
      <c r="HE7">
        <v>0</v>
      </c>
      <c r="HF7">
        <v>0</v>
      </c>
      <c r="HG7">
        <v>0</v>
      </c>
      <c r="HH7">
        <v>0</v>
      </c>
      <c r="HI7" t="s">
        <v>383</v>
      </c>
      <c r="HJ7">
        <v>0</v>
      </c>
      <c r="HK7">
        <v>0</v>
      </c>
      <c r="HL7">
        <v>0</v>
      </c>
      <c r="HM7">
        <v>0</v>
      </c>
      <c r="HN7">
        <v>0</v>
      </c>
      <c r="HO7" t="s">
        <v>383</v>
      </c>
      <c r="HP7">
        <v>0</v>
      </c>
      <c r="HQ7">
        <v>0</v>
      </c>
      <c r="HR7">
        <v>0</v>
      </c>
      <c r="HS7">
        <v>0</v>
      </c>
      <c r="HT7">
        <v>0</v>
      </c>
      <c r="HU7" t="s">
        <v>383</v>
      </c>
      <c r="HV7">
        <v>0</v>
      </c>
      <c r="HW7">
        <v>0</v>
      </c>
      <c r="HX7">
        <v>0</v>
      </c>
      <c r="HY7">
        <v>0</v>
      </c>
      <c r="HZ7">
        <v>0</v>
      </c>
      <c r="IA7" t="s">
        <v>384</v>
      </c>
      <c r="IB7">
        <v>0</v>
      </c>
      <c r="IC7">
        <v>0</v>
      </c>
      <c r="ID7">
        <v>0</v>
      </c>
      <c r="IE7">
        <v>0</v>
      </c>
      <c r="IF7">
        <v>0</v>
      </c>
      <c r="IG7" t="s">
        <v>384</v>
      </c>
      <c r="IH7">
        <v>0</v>
      </c>
      <c r="II7">
        <v>0</v>
      </c>
      <c r="IJ7">
        <v>0</v>
      </c>
      <c r="IK7">
        <v>0</v>
      </c>
      <c r="IL7">
        <v>0</v>
      </c>
      <c r="IM7" t="s">
        <v>384</v>
      </c>
      <c r="IN7">
        <v>0</v>
      </c>
      <c r="IO7">
        <v>0</v>
      </c>
      <c r="IP7">
        <v>0</v>
      </c>
      <c r="IQ7">
        <v>0</v>
      </c>
      <c r="IR7">
        <v>0</v>
      </c>
      <c r="IS7" t="s">
        <v>384</v>
      </c>
      <c r="IT7">
        <v>0</v>
      </c>
      <c r="IU7">
        <v>0</v>
      </c>
      <c r="IV7">
        <v>0</v>
      </c>
      <c r="IW7">
        <v>0</v>
      </c>
      <c r="IX7">
        <v>0</v>
      </c>
      <c r="IY7">
        <v>0</v>
      </c>
      <c r="IZ7">
        <v>0</v>
      </c>
      <c r="JA7">
        <v>0</v>
      </c>
      <c r="JD7" t="s">
        <v>483</v>
      </c>
      <c r="JE7" t="s">
        <v>386</v>
      </c>
      <c r="JF7" t="s">
        <v>542</v>
      </c>
      <c r="JG7" t="s">
        <v>543</v>
      </c>
      <c r="JH7" t="s">
        <v>544</v>
      </c>
      <c r="JI7" t="s">
        <v>545</v>
      </c>
      <c r="JJ7">
        <v>0.65</v>
      </c>
      <c r="JK7">
        <v>0</v>
      </c>
      <c r="JL7" t="s">
        <v>391</v>
      </c>
      <c r="JM7">
        <v>0</v>
      </c>
      <c r="JN7">
        <v>0</v>
      </c>
      <c r="JO7">
        <v>0</v>
      </c>
      <c r="JP7">
        <v>0</v>
      </c>
      <c r="JQ7">
        <v>0</v>
      </c>
      <c r="JR7">
        <v>0</v>
      </c>
      <c r="JS7">
        <v>0</v>
      </c>
      <c r="JT7">
        <v>0</v>
      </c>
      <c r="JU7">
        <v>0</v>
      </c>
      <c r="JV7">
        <v>0</v>
      </c>
      <c r="JX7" t="s">
        <v>392</v>
      </c>
      <c r="JY7">
        <v>0</v>
      </c>
      <c r="JZ7">
        <v>0</v>
      </c>
      <c r="KA7">
        <v>1</v>
      </c>
      <c r="KB7">
        <v>0</v>
      </c>
      <c r="KC7">
        <v>0</v>
      </c>
      <c r="KD7">
        <v>1</v>
      </c>
      <c r="KE7">
        <v>0</v>
      </c>
      <c r="KF7">
        <v>0</v>
      </c>
      <c r="KG7">
        <v>1</v>
      </c>
      <c r="KH7">
        <v>0</v>
      </c>
      <c r="KI7">
        <v>0</v>
      </c>
      <c r="KJ7">
        <v>1</v>
      </c>
      <c r="KK7">
        <v>0</v>
      </c>
      <c r="KL7">
        <v>0</v>
      </c>
      <c r="KM7">
        <v>1</v>
      </c>
      <c r="KN7">
        <v>0</v>
      </c>
      <c r="KO7">
        <v>0</v>
      </c>
      <c r="KP7">
        <v>1</v>
      </c>
      <c r="KQ7">
        <v>0</v>
      </c>
      <c r="KR7">
        <v>0</v>
      </c>
      <c r="KS7">
        <v>1</v>
      </c>
      <c r="KT7">
        <v>0</v>
      </c>
      <c r="KU7">
        <v>0</v>
      </c>
      <c r="KV7">
        <v>1</v>
      </c>
      <c r="KW7">
        <v>0</v>
      </c>
      <c r="KX7">
        <v>0</v>
      </c>
      <c r="KY7">
        <v>1</v>
      </c>
      <c r="KZ7">
        <v>0</v>
      </c>
      <c r="LA7">
        <v>0</v>
      </c>
      <c r="LB7">
        <v>0</v>
      </c>
      <c r="LC7">
        <v>0</v>
      </c>
      <c r="LD7">
        <v>0</v>
      </c>
      <c r="LE7">
        <v>0</v>
      </c>
      <c r="LF7">
        <v>0</v>
      </c>
      <c r="LG7">
        <v>0</v>
      </c>
      <c r="LH7">
        <v>0</v>
      </c>
      <c r="LI7">
        <v>0</v>
      </c>
      <c r="LJ7">
        <v>0</v>
      </c>
      <c r="LK7">
        <v>0</v>
      </c>
      <c r="LN7" t="s">
        <v>393</v>
      </c>
      <c r="LO7" t="s">
        <v>394</v>
      </c>
      <c r="LP7" t="s">
        <v>395</v>
      </c>
      <c r="LQ7">
        <v>0.39960000000000001</v>
      </c>
      <c r="LR7">
        <v>13.47</v>
      </c>
      <c r="LS7">
        <v>9.5246999999999993</v>
      </c>
      <c r="LT7">
        <v>1136</v>
      </c>
      <c r="LU7">
        <v>454</v>
      </c>
      <c r="LV7">
        <v>84.2637</v>
      </c>
      <c r="LW7">
        <v>0.88170000000000004</v>
      </c>
      <c r="LX7">
        <v>0.49419999999999997</v>
      </c>
      <c r="LY7">
        <v>0.49419999999999997</v>
      </c>
      <c r="LZ7">
        <v>0.49419999999999997</v>
      </c>
      <c r="MA7">
        <v>0</v>
      </c>
      <c r="MB7">
        <v>557</v>
      </c>
      <c r="MC7">
        <v>1</v>
      </c>
      <c r="MD7" t="s">
        <v>396</v>
      </c>
      <c r="ME7" t="s">
        <v>397</v>
      </c>
    </row>
    <row r="8" spans="1:343" ht="16.95" customHeight="1" x14ac:dyDescent="0.3">
      <c r="A8" t="s">
        <v>546</v>
      </c>
      <c r="B8" t="s">
        <v>547</v>
      </c>
      <c r="C8" t="s">
        <v>345</v>
      </c>
      <c r="D8" t="s">
        <v>346</v>
      </c>
      <c r="E8" t="s">
        <v>347</v>
      </c>
      <c r="F8" t="s">
        <v>548</v>
      </c>
      <c r="G8" t="s">
        <v>549</v>
      </c>
      <c r="H8" t="s">
        <v>550</v>
      </c>
      <c r="I8" t="s">
        <v>351</v>
      </c>
      <c r="J8">
        <v>1077</v>
      </c>
      <c r="K8">
        <v>487</v>
      </c>
      <c r="L8">
        <v>0.45219999999999999</v>
      </c>
      <c r="M8">
        <v>64</v>
      </c>
      <c r="N8">
        <v>3</v>
      </c>
      <c r="O8">
        <v>1</v>
      </c>
      <c r="P8">
        <v>16.8</v>
      </c>
      <c r="Q8">
        <v>21.3</v>
      </c>
      <c r="R8">
        <v>23.2</v>
      </c>
      <c r="S8">
        <v>8</v>
      </c>
      <c r="T8">
        <v>6.4</v>
      </c>
      <c r="U8">
        <v>2.5</v>
      </c>
      <c r="V8">
        <v>4.9000000000000004</v>
      </c>
      <c r="W8">
        <v>6</v>
      </c>
      <c r="X8">
        <v>5.4</v>
      </c>
      <c r="Y8">
        <v>8</v>
      </c>
      <c r="Z8">
        <v>2</v>
      </c>
      <c r="AA8">
        <v>4</v>
      </c>
      <c r="AB8" t="s">
        <v>493</v>
      </c>
      <c r="AC8" t="b">
        <v>0</v>
      </c>
      <c r="AD8" t="s">
        <v>353</v>
      </c>
      <c r="AE8">
        <v>0.44379999999999997</v>
      </c>
      <c r="AF8" t="s">
        <v>354</v>
      </c>
      <c r="AG8">
        <v>0.1681</v>
      </c>
      <c r="AH8">
        <v>4.2799999999999998E-2</v>
      </c>
      <c r="AI8">
        <v>0.79630000000000001</v>
      </c>
      <c r="AJ8" t="s">
        <v>355</v>
      </c>
      <c r="AK8">
        <v>4.57</v>
      </c>
      <c r="AL8">
        <v>9</v>
      </c>
      <c r="AM8" t="s">
        <v>356</v>
      </c>
      <c r="AN8">
        <v>1</v>
      </c>
      <c r="AO8">
        <v>0.93</v>
      </c>
      <c r="AP8">
        <v>3</v>
      </c>
      <c r="AQ8">
        <v>2.79</v>
      </c>
      <c r="AR8">
        <v>3</v>
      </c>
      <c r="AS8">
        <v>1</v>
      </c>
      <c r="AT8" t="s">
        <v>357</v>
      </c>
      <c r="AU8">
        <v>21.9</v>
      </c>
      <c r="AV8">
        <v>14</v>
      </c>
      <c r="AW8" t="s">
        <v>354</v>
      </c>
      <c r="AX8">
        <v>15</v>
      </c>
      <c r="AY8">
        <v>13.93</v>
      </c>
      <c r="AZ8">
        <v>0</v>
      </c>
      <c r="BA8">
        <v>13</v>
      </c>
      <c r="BB8">
        <v>2</v>
      </c>
      <c r="BC8">
        <v>0</v>
      </c>
      <c r="BD8">
        <v>0</v>
      </c>
      <c r="BE8">
        <v>15</v>
      </c>
      <c r="BF8">
        <v>0</v>
      </c>
      <c r="BG8">
        <v>15</v>
      </c>
      <c r="BH8">
        <v>1</v>
      </c>
      <c r="BI8">
        <v>0</v>
      </c>
      <c r="BJ8" t="b">
        <v>0</v>
      </c>
      <c r="BK8" t="b">
        <v>0</v>
      </c>
      <c r="BL8">
        <v>3</v>
      </c>
      <c r="BM8">
        <v>3</v>
      </c>
      <c r="BN8">
        <v>2</v>
      </c>
      <c r="BO8">
        <v>1</v>
      </c>
      <c r="BP8">
        <v>0</v>
      </c>
      <c r="BQ8">
        <v>1</v>
      </c>
      <c r="BR8">
        <v>0</v>
      </c>
      <c r="BS8">
        <v>1077</v>
      </c>
      <c r="BT8">
        <v>487</v>
      </c>
      <c r="BU8">
        <v>0.45219999999999999</v>
      </c>
      <c r="BV8">
        <v>3</v>
      </c>
      <c r="BW8">
        <v>1</v>
      </c>
      <c r="BX8">
        <v>359</v>
      </c>
      <c r="BZ8" t="s">
        <v>551</v>
      </c>
      <c r="CA8" t="s">
        <v>552</v>
      </c>
      <c r="CB8" t="s">
        <v>553</v>
      </c>
      <c r="CC8" t="s">
        <v>554</v>
      </c>
      <c r="CD8">
        <v>0</v>
      </c>
      <c r="CE8">
        <v>0</v>
      </c>
      <c r="CF8">
        <v>0</v>
      </c>
      <c r="CG8">
        <v>0</v>
      </c>
      <c r="CH8">
        <v>0</v>
      </c>
      <c r="CJ8">
        <v>1</v>
      </c>
      <c r="CK8">
        <v>0.93</v>
      </c>
      <c r="CL8" t="s">
        <v>440</v>
      </c>
      <c r="CM8">
        <v>1</v>
      </c>
      <c r="CN8">
        <v>0</v>
      </c>
      <c r="CO8" t="b">
        <v>0</v>
      </c>
      <c r="CP8" t="b">
        <v>0</v>
      </c>
      <c r="CQ8" t="b">
        <v>1</v>
      </c>
      <c r="CR8" t="b">
        <v>0</v>
      </c>
      <c r="CS8" t="b">
        <v>0</v>
      </c>
      <c r="CT8" t="b">
        <v>0</v>
      </c>
      <c r="CU8" t="b">
        <v>0</v>
      </c>
      <c r="CV8">
        <v>0</v>
      </c>
      <c r="CW8">
        <v>0</v>
      </c>
      <c r="CX8">
        <v>0</v>
      </c>
      <c r="CY8">
        <v>1</v>
      </c>
      <c r="CZ8">
        <v>0.93</v>
      </c>
      <c r="DA8">
        <v>3</v>
      </c>
      <c r="DB8">
        <v>2.78</v>
      </c>
      <c r="DC8">
        <v>3</v>
      </c>
      <c r="DD8">
        <v>1</v>
      </c>
      <c r="DE8">
        <v>0.93</v>
      </c>
      <c r="DF8">
        <v>0</v>
      </c>
      <c r="DG8">
        <v>0</v>
      </c>
      <c r="DH8">
        <v>16</v>
      </c>
      <c r="DI8">
        <v>14.84</v>
      </c>
      <c r="DJ8">
        <v>0</v>
      </c>
      <c r="DK8">
        <v>0</v>
      </c>
      <c r="DL8">
        <v>0</v>
      </c>
      <c r="DM8">
        <v>0</v>
      </c>
      <c r="DN8">
        <v>0</v>
      </c>
      <c r="DO8">
        <v>115</v>
      </c>
      <c r="DP8">
        <v>6</v>
      </c>
      <c r="DQ8">
        <v>5.57</v>
      </c>
      <c r="DR8" t="s">
        <v>555</v>
      </c>
      <c r="DS8" t="s">
        <v>556</v>
      </c>
      <c r="DT8" t="s">
        <v>557</v>
      </c>
      <c r="DU8" t="s">
        <v>365</v>
      </c>
      <c r="DV8" t="s">
        <v>558</v>
      </c>
      <c r="DW8">
        <v>0.71</v>
      </c>
      <c r="DX8">
        <v>0</v>
      </c>
      <c r="DY8">
        <v>2.17</v>
      </c>
      <c r="DZ8">
        <v>5</v>
      </c>
      <c r="EA8">
        <v>1</v>
      </c>
      <c r="EB8">
        <v>8.8800000000000008</v>
      </c>
      <c r="EC8" t="s">
        <v>369</v>
      </c>
      <c r="ED8" t="s">
        <v>413</v>
      </c>
      <c r="EE8">
        <v>6.82</v>
      </c>
      <c r="EF8" t="s">
        <v>559</v>
      </c>
      <c r="EG8">
        <v>0.19</v>
      </c>
      <c r="EH8">
        <v>1.86</v>
      </c>
      <c r="EI8">
        <v>0.1</v>
      </c>
      <c r="EJ8" t="s">
        <v>370</v>
      </c>
      <c r="EK8">
        <v>1.1100000000000001</v>
      </c>
      <c r="EL8" t="s">
        <v>394</v>
      </c>
      <c r="EM8" t="s">
        <v>560</v>
      </c>
      <c r="EN8">
        <v>2.72</v>
      </c>
      <c r="EO8" t="s">
        <v>474</v>
      </c>
      <c r="EP8">
        <v>0</v>
      </c>
      <c r="EQ8">
        <v>0</v>
      </c>
      <c r="ER8">
        <v>47.1</v>
      </c>
      <c r="ES8" t="s">
        <v>374</v>
      </c>
      <c r="ET8">
        <v>1.86</v>
      </c>
      <c r="EU8">
        <v>4.95</v>
      </c>
      <c r="EV8">
        <v>3.09</v>
      </c>
      <c r="EW8">
        <v>0.93</v>
      </c>
      <c r="EX8">
        <v>0.62</v>
      </c>
      <c r="EY8">
        <v>2.78</v>
      </c>
      <c r="EZ8">
        <v>1.86</v>
      </c>
      <c r="FA8">
        <v>0.62</v>
      </c>
      <c r="FB8">
        <v>4.95</v>
      </c>
      <c r="FC8">
        <v>5.57</v>
      </c>
      <c r="FD8" t="s">
        <v>375</v>
      </c>
      <c r="FE8">
        <v>87</v>
      </c>
      <c r="FF8" t="s">
        <v>561</v>
      </c>
      <c r="FG8" t="s">
        <v>562</v>
      </c>
      <c r="FH8" t="s">
        <v>563</v>
      </c>
      <c r="FI8" t="s">
        <v>564</v>
      </c>
      <c r="FJ8" t="s">
        <v>565</v>
      </c>
      <c r="FK8" t="s">
        <v>566</v>
      </c>
      <c r="FL8" t="s">
        <v>567</v>
      </c>
      <c r="FM8">
        <v>0</v>
      </c>
      <c r="FN8">
        <v>0.54220000000000002</v>
      </c>
      <c r="FO8">
        <v>0.77500000000000002</v>
      </c>
      <c r="FP8">
        <v>0.64</v>
      </c>
      <c r="FQ8">
        <v>0.45450000000000002</v>
      </c>
      <c r="FR8">
        <v>0</v>
      </c>
      <c r="FS8">
        <v>0</v>
      </c>
      <c r="FT8">
        <v>0</v>
      </c>
      <c r="FU8">
        <v>1.52E-2</v>
      </c>
      <c r="FV8">
        <v>0.19700000000000001</v>
      </c>
      <c r="FW8">
        <v>3.15E-2</v>
      </c>
      <c r="FX8">
        <v>0.12609999999999999</v>
      </c>
      <c r="FY8">
        <v>0.2787</v>
      </c>
      <c r="FZ8">
        <v>4.2000000000000003E-2</v>
      </c>
      <c r="GA8">
        <v>66</v>
      </c>
      <c r="GB8">
        <v>1</v>
      </c>
      <c r="GC8">
        <v>1</v>
      </c>
      <c r="GD8">
        <v>40</v>
      </c>
      <c r="GE8">
        <v>0</v>
      </c>
      <c r="GF8">
        <v>18</v>
      </c>
      <c r="GG8">
        <v>1</v>
      </c>
      <c r="GH8">
        <v>0</v>
      </c>
      <c r="GI8">
        <v>0</v>
      </c>
      <c r="GJ8">
        <v>0</v>
      </c>
      <c r="GK8">
        <v>0.12609999999999999</v>
      </c>
      <c r="GL8">
        <v>0</v>
      </c>
      <c r="GM8">
        <v>0</v>
      </c>
      <c r="GN8">
        <v>0</v>
      </c>
      <c r="GO8">
        <v>0</v>
      </c>
      <c r="GP8">
        <v>0</v>
      </c>
      <c r="GQ8">
        <v>0</v>
      </c>
      <c r="GR8">
        <v>0</v>
      </c>
      <c r="GS8">
        <v>0.37819999999999998</v>
      </c>
      <c r="GT8">
        <v>0</v>
      </c>
      <c r="GU8">
        <v>0.12609999999999999</v>
      </c>
      <c r="GV8">
        <v>0.25209999999999999</v>
      </c>
      <c r="GW8">
        <v>0</v>
      </c>
      <c r="GX8">
        <v>0</v>
      </c>
      <c r="GY8">
        <v>0</v>
      </c>
      <c r="GZ8">
        <v>0</v>
      </c>
      <c r="HA8">
        <v>0</v>
      </c>
      <c r="HB8">
        <v>0</v>
      </c>
      <c r="HC8" t="s">
        <v>383</v>
      </c>
      <c r="HD8">
        <v>0</v>
      </c>
      <c r="HE8">
        <v>0</v>
      </c>
      <c r="HF8">
        <v>0</v>
      </c>
      <c r="HG8">
        <v>0</v>
      </c>
      <c r="HH8">
        <v>0</v>
      </c>
      <c r="HI8" t="s">
        <v>383</v>
      </c>
      <c r="HJ8">
        <v>0</v>
      </c>
      <c r="HK8">
        <v>0</v>
      </c>
      <c r="HL8">
        <v>0</v>
      </c>
      <c r="HM8">
        <v>0</v>
      </c>
      <c r="HN8">
        <v>0</v>
      </c>
      <c r="HO8" t="s">
        <v>383</v>
      </c>
      <c r="HP8">
        <v>0</v>
      </c>
      <c r="HQ8">
        <v>0</v>
      </c>
      <c r="HR8">
        <v>0</v>
      </c>
      <c r="HS8">
        <v>0</v>
      </c>
      <c r="HT8">
        <v>0</v>
      </c>
      <c r="HU8" t="s">
        <v>383</v>
      </c>
      <c r="HV8">
        <v>0</v>
      </c>
      <c r="HW8">
        <v>0</v>
      </c>
      <c r="HX8">
        <v>0</v>
      </c>
      <c r="HY8">
        <v>0</v>
      </c>
      <c r="HZ8">
        <v>0</v>
      </c>
      <c r="IA8" t="s">
        <v>384</v>
      </c>
      <c r="IB8">
        <v>0</v>
      </c>
      <c r="IC8">
        <v>0</v>
      </c>
      <c r="ID8">
        <v>0</v>
      </c>
      <c r="IE8">
        <v>0</v>
      </c>
      <c r="IF8">
        <v>0</v>
      </c>
      <c r="IG8" t="s">
        <v>384</v>
      </c>
      <c r="IH8">
        <v>0</v>
      </c>
      <c r="II8">
        <v>0</v>
      </c>
      <c r="IJ8">
        <v>0</v>
      </c>
      <c r="IK8">
        <v>0</v>
      </c>
      <c r="IL8">
        <v>0</v>
      </c>
      <c r="IM8" t="s">
        <v>384</v>
      </c>
      <c r="IN8">
        <v>0</v>
      </c>
      <c r="IO8">
        <v>0</v>
      </c>
      <c r="IP8">
        <v>0</v>
      </c>
      <c r="IQ8">
        <v>0</v>
      </c>
      <c r="IR8">
        <v>0</v>
      </c>
      <c r="IS8" t="s">
        <v>384</v>
      </c>
      <c r="IT8">
        <v>0</v>
      </c>
      <c r="IU8">
        <v>0</v>
      </c>
      <c r="IV8">
        <v>0</v>
      </c>
      <c r="IW8">
        <v>0</v>
      </c>
      <c r="IX8">
        <v>0</v>
      </c>
      <c r="IY8">
        <v>0</v>
      </c>
      <c r="IZ8">
        <v>0</v>
      </c>
      <c r="JA8">
        <v>0</v>
      </c>
      <c r="JD8" t="s">
        <v>568</v>
      </c>
      <c r="JE8" t="s">
        <v>386</v>
      </c>
      <c r="JF8" t="s">
        <v>569</v>
      </c>
      <c r="JG8" t="s">
        <v>570</v>
      </c>
      <c r="JH8" t="s">
        <v>571</v>
      </c>
      <c r="JI8" t="s">
        <v>572</v>
      </c>
      <c r="JJ8">
        <v>0.55000000000000004</v>
      </c>
      <c r="JK8">
        <v>0</v>
      </c>
      <c r="JL8" t="s">
        <v>391</v>
      </c>
      <c r="JM8">
        <v>0</v>
      </c>
      <c r="JN8">
        <v>0</v>
      </c>
      <c r="JO8">
        <v>0</v>
      </c>
      <c r="JP8">
        <v>0</v>
      </c>
      <c r="JQ8">
        <v>0</v>
      </c>
      <c r="JR8">
        <v>0</v>
      </c>
      <c r="JS8">
        <v>0</v>
      </c>
      <c r="JT8">
        <v>0</v>
      </c>
      <c r="JU8">
        <v>0</v>
      </c>
      <c r="JV8">
        <v>0</v>
      </c>
      <c r="JX8" t="s">
        <v>392</v>
      </c>
      <c r="JY8">
        <v>0</v>
      </c>
      <c r="JZ8">
        <v>0</v>
      </c>
      <c r="KA8">
        <v>1</v>
      </c>
      <c r="KB8">
        <v>0</v>
      </c>
      <c r="KC8">
        <v>0</v>
      </c>
      <c r="KD8">
        <v>1</v>
      </c>
      <c r="KE8">
        <v>0</v>
      </c>
      <c r="KF8">
        <v>0</v>
      </c>
      <c r="KG8">
        <v>1</v>
      </c>
      <c r="KH8">
        <v>0</v>
      </c>
      <c r="KI8">
        <v>0</v>
      </c>
      <c r="KJ8">
        <v>1</v>
      </c>
      <c r="KK8">
        <v>0</v>
      </c>
      <c r="KL8">
        <v>0</v>
      </c>
      <c r="KM8">
        <v>1</v>
      </c>
      <c r="KN8">
        <v>0</v>
      </c>
      <c r="KO8">
        <v>0</v>
      </c>
      <c r="KP8">
        <v>1</v>
      </c>
      <c r="KQ8">
        <v>0</v>
      </c>
      <c r="KR8">
        <v>0</v>
      </c>
      <c r="KS8">
        <v>1</v>
      </c>
      <c r="KT8">
        <v>0</v>
      </c>
      <c r="KU8">
        <v>0</v>
      </c>
      <c r="KV8">
        <v>1</v>
      </c>
      <c r="KW8">
        <v>0</v>
      </c>
      <c r="KX8">
        <v>0</v>
      </c>
      <c r="KY8">
        <v>1</v>
      </c>
      <c r="KZ8">
        <v>0</v>
      </c>
      <c r="LA8">
        <v>0</v>
      </c>
      <c r="LB8">
        <v>0</v>
      </c>
      <c r="LC8">
        <v>0</v>
      </c>
      <c r="LD8">
        <v>0</v>
      </c>
      <c r="LE8">
        <v>0</v>
      </c>
      <c r="LF8">
        <v>0</v>
      </c>
      <c r="LG8">
        <v>0</v>
      </c>
      <c r="LH8">
        <v>0</v>
      </c>
      <c r="LI8">
        <v>0</v>
      </c>
      <c r="LJ8">
        <v>0</v>
      </c>
      <c r="LK8">
        <v>0</v>
      </c>
      <c r="LN8" t="s">
        <v>393</v>
      </c>
      <c r="LO8" t="s">
        <v>394</v>
      </c>
      <c r="LP8" t="s">
        <v>395</v>
      </c>
      <c r="LQ8">
        <v>0.44319999999999998</v>
      </c>
      <c r="LR8">
        <v>13.980600000000001</v>
      </c>
      <c r="LS8">
        <v>9.8857999999999997</v>
      </c>
      <c r="LT8">
        <v>995</v>
      </c>
      <c r="LU8">
        <v>441</v>
      </c>
      <c r="LV8">
        <v>79.727599999999995</v>
      </c>
      <c r="LW8">
        <v>0.88729999999999998</v>
      </c>
      <c r="LX8">
        <v>0.60289999999999999</v>
      </c>
      <c r="LY8">
        <v>0.60289999999999999</v>
      </c>
      <c r="LZ8">
        <v>0.60289999999999999</v>
      </c>
      <c r="MA8">
        <v>0</v>
      </c>
      <c r="MB8">
        <v>592</v>
      </c>
      <c r="MC8">
        <v>1</v>
      </c>
      <c r="MD8" t="s">
        <v>396</v>
      </c>
      <c r="ME8" t="s">
        <v>517</v>
      </c>
    </row>
    <row r="9" spans="1:343" ht="16.95" customHeight="1" x14ac:dyDescent="0.3">
      <c r="A9" t="s">
        <v>573</v>
      </c>
      <c r="B9" t="s">
        <v>574</v>
      </c>
      <c r="C9" t="s">
        <v>345</v>
      </c>
      <c r="D9" t="s">
        <v>346</v>
      </c>
      <c r="E9" t="s">
        <v>347</v>
      </c>
      <c r="F9" t="s">
        <v>575</v>
      </c>
      <c r="G9" t="s">
        <v>576</v>
      </c>
      <c r="H9" t="s">
        <v>577</v>
      </c>
      <c r="I9" t="s">
        <v>351</v>
      </c>
      <c r="J9">
        <v>3803</v>
      </c>
      <c r="K9">
        <v>1147</v>
      </c>
      <c r="L9">
        <v>0.30159999999999998</v>
      </c>
      <c r="M9">
        <v>318</v>
      </c>
      <c r="N9">
        <v>3</v>
      </c>
      <c r="O9">
        <v>1</v>
      </c>
      <c r="P9">
        <v>12</v>
      </c>
      <c r="Q9">
        <v>106</v>
      </c>
      <c r="R9">
        <v>15.7</v>
      </c>
      <c r="S9">
        <v>11.5</v>
      </c>
      <c r="T9">
        <v>4.3</v>
      </c>
      <c r="U9">
        <v>4.2</v>
      </c>
      <c r="V9">
        <v>7.6</v>
      </c>
      <c r="W9">
        <v>17</v>
      </c>
      <c r="X9">
        <v>3.1</v>
      </c>
      <c r="Y9">
        <v>28</v>
      </c>
      <c r="Z9">
        <v>3</v>
      </c>
      <c r="AA9">
        <v>9.33</v>
      </c>
      <c r="AB9" t="s">
        <v>352</v>
      </c>
      <c r="AC9" t="b">
        <v>0</v>
      </c>
      <c r="AD9" t="s">
        <v>353</v>
      </c>
      <c r="AE9">
        <v>0.42330000000000001</v>
      </c>
      <c r="AF9" t="s">
        <v>354</v>
      </c>
      <c r="AG9">
        <v>0.34549999999999997</v>
      </c>
      <c r="AH9">
        <v>3.0800000000000001E-2</v>
      </c>
      <c r="AI9">
        <v>0.63429999999999997</v>
      </c>
      <c r="AJ9" t="s">
        <v>355</v>
      </c>
      <c r="AK9">
        <v>3.5</v>
      </c>
      <c r="AL9">
        <v>7</v>
      </c>
      <c r="AM9" t="s">
        <v>354</v>
      </c>
      <c r="AN9">
        <v>0</v>
      </c>
      <c r="AO9">
        <v>0</v>
      </c>
      <c r="AP9">
        <v>3</v>
      </c>
      <c r="AQ9">
        <v>0.79</v>
      </c>
      <c r="AR9">
        <v>3</v>
      </c>
      <c r="AS9">
        <v>0</v>
      </c>
      <c r="AT9" t="s">
        <v>357</v>
      </c>
      <c r="AU9">
        <v>21.7</v>
      </c>
      <c r="AV9">
        <v>69</v>
      </c>
      <c r="AW9" t="s">
        <v>354</v>
      </c>
      <c r="AX9">
        <v>15</v>
      </c>
      <c r="AY9">
        <v>3.94</v>
      </c>
      <c r="AZ9">
        <v>0</v>
      </c>
      <c r="BA9">
        <v>15</v>
      </c>
      <c r="BB9">
        <v>0</v>
      </c>
      <c r="BC9">
        <v>0</v>
      </c>
      <c r="BD9">
        <v>0</v>
      </c>
      <c r="BE9">
        <v>15</v>
      </c>
      <c r="BF9">
        <v>0</v>
      </c>
      <c r="BG9">
        <v>15</v>
      </c>
      <c r="BH9">
        <v>1</v>
      </c>
      <c r="BI9">
        <v>0</v>
      </c>
      <c r="BJ9" t="b">
        <v>0</v>
      </c>
      <c r="BK9" t="b">
        <v>0</v>
      </c>
      <c r="BL9">
        <v>3</v>
      </c>
      <c r="BM9">
        <v>3</v>
      </c>
      <c r="BN9">
        <v>2</v>
      </c>
      <c r="BO9">
        <v>1</v>
      </c>
      <c r="BP9">
        <v>0</v>
      </c>
      <c r="BQ9">
        <v>1</v>
      </c>
      <c r="BR9">
        <v>0</v>
      </c>
      <c r="BS9">
        <v>3803</v>
      </c>
      <c r="BT9">
        <v>1147</v>
      </c>
      <c r="BU9">
        <v>0.30159999999999998</v>
      </c>
      <c r="BV9">
        <v>3</v>
      </c>
      <c r="BW9">
        <v>1</v>
      </c>
      <c r="BX9">
        <v>1267.7</v>
      </c>
      <c r="BZ9" t="s">
        <v>578</v>
      </c>
      <c r="CA9" t="s">
        <v>579</v>
      </c>
      <c r="CB9" t="s">
        <v>580</v>
      </c>
      <c r="CC9" t="s">
        <v>581</v>
      </c>
      <c r="CD9">
        <v>0</v>
      </c>
      <c r="CE9">
        <v>0</v>
      </c>
      <c r="CF9">
        <v>0</v>
      </c>
      <c r="CG9">
        <v>0</v>
      </c>
      <c r="CH9">
        <v>0</v>
      </c>
      <c r="CJ9">
        <v>1</v>
      </c>
      <c r="CK9">
        <v>0.26</v>
      </c>
      <c r="CL9" t="s">
        <v>440</v>
      </c>
      <c r="CM9">
        <v>1</v>
      </c>
      <c r="CN9">
        <v>0</v>
      </c>
      <c r="CO9" t="b">
        <v>0</v>
      </c>
      <c r="CP9" t="b">
        <v>0</v>
      </c>
      <c r="CQ9" t="b">
        <v>1</v>
      </c>
      <c r="CR9" t="b">
        <v>0</v>
      </c>
      <c r="CS9" t="b">
        <v>0</v>
      </c>
      <c r="CT9" t="b">
        <v>0</v>
      </c>
      <c r="CU9" t="b">
        <v>0</v>
      </c>
      <c r="CV9">
        <v>0</v>
      </c>
      <c r="CW9">
        <v>0</v>
      </c>
      <c r="CX9">
        <v>0</v>
      </c>
      <c r="CY9">
        <v>1</v>
      </c>
      <c r="CZ9">
        <v>0.26</v>
      </c>
      <c r="DA9">
        <v>3</v>
      </c>
      <c r="DB9">
        <v>0.79</v>
      </c>
      <c r="DC9">
        <v>3</v>
      </c>
      <c r="DD9">
        <v>0</v>
      </c>
      <c r="DE9">
        <v>0</v>
      </c>
      <c r="DF9">
        <v>10</v>
      </c>
      <c r="DG9">
        <v>2.63</v>
      </c>
      <c r="DH9">
        <v>15</v>
      </c>
      <c r="DI9">
        <v>3.94</v>
      </c>
      <c r="DJ9">
        <v>0.67</v>
      </c>
      <c r="DK9">
        <v>0</v>
      </c>
      <c r="DL9">
        <v>3</v>
      </c>
      <c r="DM9">
        <v>9</v>
      </c>
      <c r="DN9">
        <v>1</v>
      </c>
      <c r="DO9">
        <v>67</v>
      </c>
      <c r="DP9">
        <v>0</v>
      </c>
      <c r="DQ9">
        <v>0</v>
      </c>
      <c r="DR9" t="s">
        <v>582</v>
      </c>
      <c r="DS9" t="s">
        <v>583</v>
      </c>
      <c r="DT9" t="s">
        <v>584</v>
      </c>
      <c r="DU9" t="s">
        <v>411</v>
      </c>
      <c r="DV9" t="s">
        <v>585</v>
      </c>
      <c r="DW9">
        <v>0.71</v>
      </c>
      <c r="DX9">
        <v>0</v>
      </c>
      <c r="DY9">
        <v>2.17</v>
      </c>
      <c r="DZ9">
        <v>5</v>
      </c>
      <c r="EA9">
        <v>1.5</v>
      </c>
      <c r="EB9">
        <v>9.3800000000000008</v>
      </c>
      <c r="EC9" t="s">
        <v>369</v>
      </c>
      <c r="ED9" t="s">
        <v>413</v>
      </c>
      <c r="EE9">
        <v>1.66</v>
      </c>
      <c r="EF9" t="s">
        <v>414</v>
      </c>
      <c r="EG9">
        <v>0.26</v>
      </c>
      <c r="EH9">
        <v>0.32</v>
      </c>
      <c r="EI9">
        <v>0.83299999999999996</v>
      </c>
      <c r="EJ9" t="s">
        <v>370</v>
      </c>
      <c r="EK9">
        <v>1.74</v>
      </c>
      <c r="EL9" t="s">
        <v>371</v>
      </c>
      <c r="EM9" t="s">
        <v>586</v>
      </c>
      <c r="EN9">
        <v>1.1299999999999999</v>
      </c>
      <c r="EO9" t="s">
        <v>417</v>
      </c>
      <c r="EP9">
        <v>0</v>
      </c>
      <c r="EQ9">
        <v>0</v>
      </c>
      <c r="ER9">
        <v>19.3</v>
      </c>
      <c r="ES9" t="s">
        <v>587</v>
      </c>
      <c r="ET9">
        <v>0.88</v>
      </c>
      <c r="EU9">
        <v>0.79</v>
      </c>
      <c r="EV9">
        <v>1.49</v>
      </c>
      <c r="EW9">
        <v>1.75</v>
      </c>
      <c r="EX9">
        <v>3.15</v>
      </c>
      <c r="EY9">
        <v>0.35</v>
      </c>
      <c r="EZ9">
        <v>0.35</v>
      </c>
      <c r="FA9">
        <v>0.53</v>
      </c>
      <c r="FB9">
        <v>0.61</v>
      </c>
      <c r="FC9">
        <v>1.4</v>
      </c>
      <c r="FD9" t="s">
        <v>375</v>
      </c>
      <c r="FE9">
        <v>285</v>
      </c>
      <c r="FF9" t="s">
        <v>588</v>
      </c>
      <c r="FG9" t="s">
        <v>589</v>
      </c>
      <c r="FH9" t="s">
        <v>590</v>
      </c>
      <c r="FI9" t="s">
        <v>591</v>
      </c>
      <c r="FJ9" t="s">
        <v>592</v>
      </c>
      <c r="FK9" t="s">
        <v>593</v>
      </c>
      <c r="FL9" t="s">
        <v>594</v>
      </c>
      <c r="FM9">
        <v>0</v>
      </c>
      <c r="FN9">
        <v>0.51949999999999996</v>
      </c>
      <c r="FO9">
        <v>0.77500000000000002</v>
      </c>
      <c r="FP9">
        <v>0.62680000000000002</v>
      </c>
      <c r="FQ9">
        <v>0.47260000000000002</v>
      </c>
      <c r="FR9">
        <v>3.0000000000000001E-3</v>
      </c>
      <c r="FS9">
        <v>3.0499999999999999E-2</v>
      </c>
      <c r="FT9">
        <v>0</v>
      </c>
      <c r="FU9">
        <v>7.1999999999999998E-3</v>
      </c>
      <c r="FV9">
        <v>0.14019999999999999</v>
      </c>
      <c r="FW9">
        <v>1.6500000000000001E-2</v>
      </c>
      <c r="FX9">
        <v>8.8300000000000003E-2</v>
      </c>
      <c r="FY9">
        <v>0.30659999999999998</v>
      </c>
      <c r="FZ9">
        <v>1.47E-2</v>
      </c>
      <c r="GA9">
        <v>328</v>
      </c>
      <c r="GB9">
        <v>1</v>
      </c>
      <c r="GC9">
        <v>1</v>
      </c>
      <c r="GD9">
        <v>153</v>
      </c>
      <c r="GE9">
        <v>1</v>
      </c>
      <c r="GF9">
        <v>63</v>
      </c>
      <c r="GG9">
        <v>2</v>
      </c>
      <c r="GH9">
        <v>2</v>
      </c>
      <c r="GI9">
        <v>0</v>
      </c>
      <c r="GJ9">
        <v>0</v>
      </c>
      <c r="GK9">
        <v>0</v>
      </c>
      <c r="GL9">
        <v>0</v>
      </c>
      <c r="GM9">
        <v>0</v>
      </c>
      <c r="GN9">
        <v>9.9299999999999999E-2</v>
      </c>
      <c r="GO9">
        <v>6.6199999999999995E-2</v>
      </c>
      <c r="GP9">
        <v>0.26479999999999998</v>
      </c>
      <c r="GQ9">
        <v>0.13239999999999999</v>
      </c>
      <c r="GR9">
        <v>0</v>
      </c>
      <c r="GS9">
        <v>3.3099999999999997E-2</v>
      </c>
      <c r="GT9">
        <v>3.3099999999999997E-2</v>
      </c>
      <c r="GU9">
        <v>3.3099999999999997E-2</v>
      </c>
      <c r="GV9">
        <v>3.3099999999999997E-2</v>
      </c>
      <c r="GW9">
        <v>0</v>
      </c>
      <c r="GX9">
        <v>3.3099999999999997E-2</v>
      </c>
      <c r="GY9">
        <v>0</v>
      </c>
      <c r="GZ9">
        <v>0</v>
      </c>
      <c r="HA9">
        <v>0</v>
      </c>
      <c r="HB9">
        <v>0</v>
      </c>
      <c r="HC9" t="s">
        <v>383</v>
      </c>
      <c r="HD9">
        <v>0</v>
      </c>
      <c r="HE9">
        <v>0</v>
      </c>
      <c r="HF9">
        <v>0</v>
      </c>
      <c r="HG9">
        <v>0</v>
      </c>
      <c r="HH9">
        <v>0</v>
      </c>
      <c r="HI9" t="s">
        <v>383</v>
      </c>
      <c r="HJ9">
        <v>0</v>
      </c>
      <c r="HK9">
        <v>0</v>
      </c>
      <c r="HL9">
        <v>0</v>
      </c>
      <c r="HM9">
        <v>0</v>
      </c>
      <c r="HN9">
        <v>0</v>
      </c>
      <c r="HO9" t="s">
        <v>383</v>
      </c>
      <c r="HP9">
        <v>0</v>
      </c>
      <c r="HQ9">
        <v>0</v>
      </c>
      <c r="HR9">
        <v>0</v>
      </c>
      <c r="HS9">
        <v>0</v>
      </c>
      <c r="HT9">
        <v>0</v>
      </c>
      <c r="HU9" t="s">
        <v>383</v>
      </c>
      <c r="HV9">
        <v>0</v>
      </c>
      <c r="HW9">
        <v>0</v>
      </c>
      <c r="HX9">
        <v>0</v>
      </c>
      <c r="HY9">
        <v>0</v>
      </c>
      <c r="HZ9">
        <v>0</v>
      </c>
      <c r="IA9" t="s">
        <v>384</v>
      </c>
      <c r="IB9">
        <v>0</v>
      </c>
      <c r="IC9">
        <v>0</v>
      </c>
      <c r="ID9">
        <v>0</v>
      </c>
      <c r="IE9">
        <v>0</v>
      </c>
      <c r="IF9">
        <v>0</v>
      </c>
      <c r="IG9" t="s">
        <v>384</v>
      </c>
      <c r="IH9">
        <v>0</v>
      </c>
      <c r="II9">
        <v>0</v>
      </c>
      <c r="IJ9">
        <v>0</v>
      </c>
      <c r="IK9">
        <v>0</v>
      </c>
      <c r="IL9">
        <v>0</v>
      </c>
      <c r="IM9" t="s">
        <v>384</v>
      </c>
      <c r="IN9">
        <v>0</v>
      </c>
      <c r="IO9">
        <v>0</v>
      </c>
      <c r="IP9">
        <v>0</v>
      </c>
      <c r="IQ9">
        <v>0</v>
      </c>
      <c r="IR9">
        <v>0</v>
      </c>
      <c r="IS9" t="s">
        <v>384</v>
      </c>
      <c r="IT9">
        <v>0</v>
      </c>
      <c r="IU9">
        <v>0</v>
      </c>
      <c r="IV9">
        <v>0</v>
      </c>
      <c r="IW9">
        <v>0</v>
      </c>
      <c r="IX9">
        <v>0</v>
      </c>
      <c r="IY9">
        <v>0</v>
      </c>
      <c r="IZ9">
        <v>0</v>
      </c>
      <c r="JA9">
        <v>0</v>
      </c>
      <c r="JD9" t="s">
        <v>453</v>
      </c>
      <c r="JE9" t="s">
        <v>484</v>
      </c>
      <c r="JF9" t="s">
        <v>595</v>
      </c>
      <c r="JG9" t="s">
        <v>596</v>
      </c>
      <c r="JH9" t="s">
        <v>597</v>
      </c>
      <c r="JI9" t="s">
        <v>598</v>
      </c>
      <c r="JJ9">
        <v>0.36670000000000003</v>
      </c>
      <c r="JK9">
        <v>0</v>
      </c>
      <c r="JL9" t="s">
        <v>391</v>
      </c>
      <c r="JM9">
        <v>0</v>
      </c>
      <c r="JN9">
        <v>0</v>
      </c>
      <c r="JO9">
        <v>0</v>
      </c>
      <c r="JP9">
        <v>0</v>
      </c>
      <c r="JQ9">
        <v>0</v>
      </c>
      <c r="JR9">
        <v>0</v>
      </c>
      <c r="JS9">
        <v>0</v>
      </c>
      <c r="JT9">
        <v>0</v>
      </c>
      <c r="JU9">
        <v>0</v>
      </c>
      <c r="JV9">
        <v>0</v>
      </c>
      <c r="JX9" t="s">
        <v>392</v>
      </c>
      <c r="JY9">
        <v>0</v>
      </c>
      <c r="JZ9">
        <v>0</v>
      </c>
      <c r="KA9">
        <v>1</v>
      </c>
      <c r="KB9">
        <v>0</v>
      </c>
      <c r="KC9">
        <v>0</v>
      </c>
      <c r="KD9">
        <v>1</v>
      </c>
      <c r="KE9">
        <v>0</v>
      </c>
      <c r="KF9">
        <v>0</v>
      </c>
      <c r="KG9">
        <v>1</v>
      </c>
      <c r="KH9">
        <v>0</v>
      </c>
      <c r="KI9">
        <v>0</v>
      </c>
      <c r="KJ9">
        <v>1</v>
      </c>
      <c r="KK9">
        <v>0</v>
      </c>
      <c r="KL9">
        <v>0</v>
      </c>
      <c r="KM9">
        <v>1</v>
      </c>
      <c r="KN9">
        <v>0</v>
      </c>
      <c r="KO9">
        <v>0</v>
      </c>
      <c r="KP9">
        <v>1</v>
      </c>
      <c r="KQ9">
        <v>0</v>
      </c>
      <c r="KR9">
        <v>0</v>
      </c>
      <c r="KS9">
        <v>1</v>
      </c>
      <c r="KT9">
        <v>0</v>
      </c>
      <c r="KU9">
        <v>0</v>
      </c>
      <c r="KV9">
        <v>1</v>
      </c>
      <c r="KW9">
        <v>0</v>
      </c>
      <c r="KX9">
        <v>0</v>
      </c>
      <c r="KY9">
        <v>1</v>
      </c>
      <c r="KZ9">
        <v>0</v>
      </c>
      <c r="LA9">
        <v>0</v>
      </c>
      <c r="LB9">
        <v>0</v>
      </c>
      <c r="LC9">
        <v>0</v>
      </c>
      <c r="LD9">
        <v>0</v>
      </c>
      <c r="LE9">
        <v>0</v>
      </c>
      <c r="LF9">
        <v>0</v>
      </c>
      <c r="LG9">
        <v>0</v>
      </c>
      <c r="LH9">
        <v>0</v>
      </c>
      <c r="LI9">
        <v>0</v>
      </c>
      <c r="LJ9">
        <v>0</v>
      </c>
      <c r="LK9">
        <v>0</v>
      </c>
      <c r="LN9" t="s">
        <v>393</v>
      </c>
      <c r="LO9" t="s">
        <v>394</v>
      </c>
      <c r="LP9" t="s">
        <v>395</v>
      </c>
      <c r="LQ9">
        <v>0.28610000000000002</v>
      </c>
      <c r="LR9">
        <v>17.691199999999998</v>
      </c>
      <c r="LS9">
        <v>12.509600000000001</v>
      </c>
      <c r="LT9">
        <v>3824</v>
      </c>
      <c r="LU9">
        <v>1094</v>
      </c>
      <c r="LV9">
        <v>86.939700000000002</v>
      </c>
      <c r="LW9">
        <v>0.87739999999999996</v>
      </c>
      <c r="LX9">
        <v>0.42130000000000001</v>
      </c>
      <c r="LY9">
        <v>0.42130000000000001</v>
      </c>
      <c r="LZ9">
        <v>0.42130000000000001</v>
      </c>
      <c r="MA9">
        <v>0</v>
      </c>
      <c r="MB9">
        <v>1561</v>
      </c>
      <c r="MC9">
        <v>1</v>
      </c>
      <c r="MD9" t="s">
        <v>396</v>
      </c>
      <c r="ME9" t="s">
        <v>458</v>
      </c>
    </row>
    <row r="10" spans="1:343" ht="16.95" customHeight="1" x14ac:dyDescent="0.3">
      <c r="A10" t="s">
        <v>599</v>
      </c>
      <c r="B10" t="s">
        <v>600</v>
      </c>
      <c r="C10" t="s">
        <v>345</v>
      </c>
      <c r="D10" t="s">
        <v>346</v>
      </c>
      <c r="E10" t="s">
        <v>347</v>
      </c>
      <c r="F10" t="s">
        <v>601</v>
      </c>
      <c r="G10" t="s">
        <v>602</v>
      </c>
      <c r="H10" t="s">
        <v>603</v>
      </c>
      <c r="I10" t="s">
        <v>351</v>
      </c>
      <c r="J10">
        <v>1327</v>
      </c>
      <c r="K10">
        <v>589</v>
      </c>
      <c r="L10">
        <v>0.44390000000000002</v>
      </c>
      <c r="M10">
        <v>106</v>
      </c>
      <c r="N10">
        <v>3</v>
      </c>
      <c r="O10">
        <v>1</v>
      </c>
      <c r="P10">
        <v>12.5</v>
      </c>
      <c r="Q10">
        <v>35.299999999999997</v>
      </c>
      <c r="R10">
        <v>20.2</v>
      </c>
      <c r="S10">
        <v>8.9</v>
      </c>
      <c r="T10">
        <v>7.1</v>
      </c>
      <c r="U10">
        <v>2.7</v>
      </c>
      <c r="V10">
        <v>4</v>
      </c>
      <c r="W10">
        <v>8</v>
      </c>
      <c r="X10">
        <v>5.2</v>
      </c>
      <c r="Y10">
        <v>7</v>
      </c>
      <c r="Z10">
        <v>0</v>
      </c>
      <c r="AA10">
        <v>7</v>
      </c>
      <c r="AB10" t="s">
        <v>493</v>
      </c>
      <c r="AC10" t="b">
        <v>0</v>
      </c>
      <c r="AD10" t="s">
        <v>353</v>
      </c>
      <c r="AE10">
        <v>0.46010000000000001</v>
      </c>
      <c r="AF10" t="s">
        <v>354</v>
      </c>
      <c r="AG10">
        <v>0.2487</v>
      </c>
      <c r="AH10">
        <v>4.9799999999999997E-2</v>
      </c>
      <c r="AI10">
        <v>0.71389999999999998</v>
      </c>
      <c r="AJ10" t="s">
        <v>355</v>
      </c>
      <c r="AK10">
        <v>3.73</v>
      </c>
      <c r="AL10">
        <v>9</v>
      </c>
      <c r="AM10" t="s">
        <v>354</v>
      </c>
      <c r="AN10">
        <v>0</v>
      </c>
      <c r="AO10">
        <v>0</v>
      </c>
      <c r="AP10">
        <v>5</v>
      </c>
      <c r="AQ10">
        <v>3.77</v>
      </c>
      <c r="AR10">
        <v>5</v>
      </c>
      <c r="AS10">
        <v>0</v>
      </c>
      <c r="AT10" t="s">
        <v>357</v>
      </c>
      <c r="AU10">
        <v>17.899999999999999</v>
      </c>
      <c r="AV10">
        <v>19</v>
      </c>
      <c r="AW10" t="s">
        <v>354</v>
      </c>
      <c r="AX10">
        <v>13</v>
      </c>
      <c r="AY10">
        <v>9.8000000000000007</v>
      </c>
      <c r="AZ10">
        <v>0</v>
      </c>
      <c r="BA10">
        <v>13</v>
      </c>
      <c r="BB10">
        <v>0</v>
      </c>
      <c r="BC10">
        <v>0</v>
      </c>
      <c r="BD10">
        <v>0</v>
      </c>
      <c r="BE10">
        <v>13</v>
      </c>
      <c r="BF10">
        <v>0</v>
      </c>
      <c r="BG10">
        <v>13</v>
      </c>
      <c r="BH10">
        <v>0</v>
      </c>
      <c r="BI10">
        <v>0</v>
      </c>
      <c r="BJ10" t="b">
        <v>0</v>
      </c>
      <c r="BK10" t="b">
        <v>0</v>
      </c>
      <c r="BL10">
        <v>3</v>
      </c>
      <c r="BM10">
        <v>3</v>
      </c>
      <c r="BN10">
        <v>2</v>
      </c>
      <c r="BO10">
        <v>1</v>
      </c>
      <c r="BP10">
        <v>0</v>
      </c>
      <c r="BQ10">
        <v>1</v>
      </c>
      <c r="BR10">
        <v>0</v>
      </c>
      <c r="BS10">
        <v>1327</v>
      </c>
      <c r="BT10">
        <v>589</v>
      </c>
      <c r="BU10">
        <v>0.44390000000000002</v>
      </c>
      <c r="BV10">
        <v>3</v>
      </c>
      <c r="BW10">
        <v>1</v>
      </c>
      <c r="BX10">
        <v>442.3</v>
      </c>
      <c r="BZ10" t="s">
        <v>604</v>
      </c>
      <c r="CA10" t="s">
        <v>605</v>
      </c>
      <c r="CB10" t="s">
        <v>606</v>
      </c>
      <c r="CC10" t="s">
        <v>607</v>
      </c>
      <c r="CD10">
        <v>0</v>
      </c>
      <c r="CE10">
        <v>0</v>
      </c>
      <c r="CF10">
        <v>0</v>
      </c>
      <c r="CG10">
        <v>0</v>
      </c>
      <c r="CH10">
        <v>0</v>
      </c>
      <c r="CJ10">
        <v>1</v>
      </c>
      <c r="CK10">
        <v>0.75</v>
      </c>
      <c r="CL10" t="s">
        <v>407</v>
      </c>
      <c r="CM10">
        <v>1</v>
      </c>
      <c r="CN10">
        <v>0</v>
      </c>
      <c r="CO10" t="b">
        <v>0</v>
      </c>
      <c r="CP10" t="b">
        <v>0</v>
      </c>
      <c r="CQ10" t="b">
        <v>1</v>
      </c>
      <c r="CR10" t="b">
        <v>0</v>
      </c>
      <c r="CS10" t="b">
        <v>0</v>
      </c>
      <c r="CT10" t="b">
        <v>0</v>
      </c>
      <c r="CU10" t="b">
        <v>1</v>
      </c>
      <c r="CV10">
        <v>0</v>
      </c>
      <c r="CW10">
        <v>0</v>
      </c>
      <c r="CX10">
        <v>0</v>
      </c>
      <c r="CY10">
        <v>1</v>
      </c>
      <c r="CZ10">
        <v>0.75</v>
      </c>
      <c r="DA10">
        <v>5</v>
      </c>
      <c r="DB10">
        <v>3.77</v>
      </c>
      <c r="DC10">
        <v>5</v>
      </c>
      <c r="DD10">
        <v>0</v>
      </c>
      <c r="DE10">
        <v>0</v>
      </c>
      <c r="DF10">
        <v>1</v>
      </c>
      <c r="DG10">
        <v>0.75</v>
      </c>
      <c r="DH10">
        <v>3</v>
      </c>
      <c r="DI10">
        <v>2.2599999999999998</v>
      </c>
      <c r="DJ10">
        <v>0.33</v>
      </c>
      <c r="DK10">
        <v>0</v>
      </c>
      <c r="DL10">
        <v>0</v>
      </c>
      <c r="DM10">
        <v>0</v>
      </c>
      <c r="DN10">
        <v>0</v>
      </c>
      <c r="DO10">
        <v>83</v>
      </c>
      <c r="DP10">
        <v>17</v>
      </c>
      <c r="DQ10">
        <v>12.8</v>
      </c>
      <c r="DR10" t="s">
        <v>608</v>
      </c>
      <c r="DS10" t="s">
        <v>609</v>
      </c>
      <c r="DT10" t="s">
        <v>610</v>
      </c>
      <c r="DU10" t="s">
        <v>365</v>
      </c>
      <c r="DV10" t="s">
        <v>611</v>
      </c>
      <c r="DW10">
        <v>1.43</v>
      </c>
      <c r="DX10">
        <v>0</v>
      </c>
      <c r="DY10">
        <v>2.17</v>
      </c>
      <c r="DZ10">
        <v>5</v>
      </c>
      <c r="EA10">
        <v>0</v>
      </c>
      <c r="EB10">
        <v>8.6</v>
      </c>
      <c r="EC10" t="s">
        <v>369</v>
      </c>
      <c r="ED10" t="s">
        <v>413</v>
      </c>
      <c r="EE10">
        <v>4.22</v>
      </c>
      <c r="EF10" t="s">
        <v>354</v>
      </c>
      <c r="EG10">
        <v>0.15</v>
      </c>
      <c r="EH10">
        <v>1.43</v>
      </c>
      <c r="EI10">
        <v>0.105</v>
      </c>
      <c r="EJ10" t="s">
        <v>370</v>
      </c>
      <c r="EK10">
        <v>1.66</v>
      </c>
      <c r="EL10" t="s">
        <v>394</v>
      </c>
      <c r="EM10" t="s">
        <v>612</v>
      </c>
      <c r="EN10">
        <v>1.91</v>
      </c>
      <c r="EO10" t="s">
        <v>417</v>
      </c>
      <c r="EP10">
        <v>0</v>
      </c>
      <c r="EQ10">
        <v>0</v>
      </c>
      <c r="ER10">
        <v>36.1</v>
      </c>
      <c r="ES10" t="s">
        <v>418</v>
      </c>
      <c r="ET10">
        <v>2.2599999999999998</v>
      </c>
      <c r="EU10">
        <v>2.76</v>
      </c>
      <c r="EV10">
        <v>2.2599999999999998</v>
      </c>
      <c r="EW10">
        <v>0.75</v>
      </c>
      <c r="EX10">
        <v>3.01</v>
      </c>
      <c r="EY10">
        <v>2.5099999999999998</v>
      </c>
      <c r="EZ10">
        <v>0.5</v>
      </c>
      <c r="FA10">
        <v>0.25</v>
      </c>
      <c r="FB10">
        <v>2.2599999999999998</v>
      </c>
      <c r="FC10">
        <v>2.5099999999999998</v>
      </c>
      <c r="FD10" t="s">
        <v>375</v>
      </c>
      <c r="FE10">
        <v>92</v>
      </c>
      <c r="FF10" t="s">
        <v>613</v>
      </c>
      <c r="FG10" t="s">
        <v>614</v>
      </c>
      <c r="FH10" t="s">
        <v>615</v>
      </c>
      <c r="FI10" t="s">
        <v>616</v>
      </c>
      <c r="FJ10" t="s">
        <v>617</v>
      </c>
      <c r="FK10" t="s">
        <v>618</v>
      </c>
      <c r="FL10" t="s">
        <v>619</v>
      </c>
      <c r="FM10">
        <v>0</v>
      </c>
      <c r="FN10">
        <v>0.4662</v>
      </c>
      <c r="FO10">
        <v>0.77500000000000002</v>
      </c>
      <c r="FP10">
        <v>0.59589999999999999</v>
      </c>
      <c r="FQ10">
        <v>0.2661</v>
      </c>
      <c r="FR10">
        <v>9.1999999999999998E-3</v>
      </c>
      <c r="FS10">
        <v>0</v>
      </c>
      <c r="FT10">
        <v>0</v>
      </c>
      <c r="FU10">
        <v>4.5999999999999999E-3</v>
      </c>
      <c r="FV10">
        <v>6.0600000000000001E-2</v>
      </c>
      <c r="FW10">
        <v>4.9500000000000002E-2</v>
      </c>
      <c r="FX10">
        <v>9.8900000000000002E-2</v>
      </c>
      <c r="FY10">
        <v>0.29449999999999998</v>
      </c>
      <c r="FZ10">
        <v>3.3000000000000002E-2</v>
      </c>
      <c r="GA10">
        <v>109</v>
      </c>
      <c r="GB10">
        <v>1</v>
      </c>
      <c r="GC10">
        <v>1</v>
      </c>
      <c r="GD10">
        <v>28</v>
      </c>
      <c r="GE10">
        <v>1</v>
      </c>
      <c r="GF10">
        <v>10</v>
      </c>
      <c r="GG10">
        <v>0</v>
      </c>
      <c r="GH10">
        <v>0</v>
      </c>
      <c r="GI10">
        <v>0</v>
      </c>
      <c r="GJ10">
        <v>0</v>
      </c>
      <c r="GK10">
        <v>0.19789999999999999</v>
      </c>
      <c r="GL10">
        <v>0</v>
      </c>
      <c r="GM10">
        <v>0</v>
      </c>
      <c r="GN10">
        <v>0</v>
      </c>
      <c r="GO10">
        <v>0</v>
      </c>
      <c r="GP10">
        <v>9.8900000000000002E-2</v>
      </c>
      <c r="GQ10">
        <v>0</v>
      </c>
      <c r="GR10">
        <v>0</v>
      </c>
      <c r="GS10">
        <v>0.29680000000000001</v>
      </c>
      <c r="GT10">
        <v>0</v>
      </c>
      <c r="GU10">
        <v>9.8900000000000002E-2</v>
      </c>
      <c r="GV10">
        <v>9.8900000000000002E-2</v>
      </c>
      <c r="GW10">
        <v>0</v>
      </c>
      <c r="GX10">
        <v>9.8900000000000002E-2</v>
      </c>
      <c r="GY10">
        <v>0</v>
      </c>
      <c r="GZ10">
        <v>0</v>
      </c>
      <c r="HA10">
        <v>0</v>
      </c>
      <c r="HB10">
        <v>0</v>
      </c>
      <c r="HC10" t="s">
        <v>383</v>
      </c>
      <c r="HD10">
        <v>0</v>
      </c>
      <c r="HE10">
        <v>0</v>
      </c>
      <c r="HF10">
        <v>0</v>
      </c>
      <c r="HG10">
        <v>0</v>
      </c>
      <c r="HH10">
        <v>0</v>
      </c>
      <c r="HI10" t="s">
        <v>383</v>
      </c>
      <c r="HJ10">
        <v>0</v>
      </c>
      <c r="HK10">
        <v>0</v>
      </c>
      <c r="HL10">
        <v>0</v>
      </c>
      <c r="HM10">
        <v>0</v>
      </c>
      <c r="HN10">
        <v>0</v>
      </c>
      <c r="HO10" t="s">
        <v>383</v>
      </c>
      <c r="HP10">
        <v>0</v>
      </c>
      <c r="HQ10">
        <v>0</v>
      </c>
      <c r="HR10">
        <v>0</v>
      </c>
      <c r="HS10">
        <v>0</v>
      </c>
      <c r="HT10">
        <v>0</v>
      </c>
      <c r="HU10" t="s">
        <v>383</v>
      </c>
      <c r="HV10">
        <v>0</v>
      </c>
      <c r="HW10">
        <v>0</v>
      </c>
      <c r="HX10">
        <v>0</v>
      </c>
      <c r="HY10">
        <v>0</v>
      </c>
      <c r="HZ10">
        <v>0</v>
      </c>
      <c r="IA10" t="s">
        <v>384</v>
      </c>
      <c r="IB10">
        <v>0</v>
      </c>
      <c r="IC10">
        <v>0</v>
      </c>
      <c r="ID10">
        <v>0</v>
      </c>
      <c r="IE10">
        <v>0</v>
      </c>
      <c r="IF10">
        <v>0</v>
      </c>
      <c r="IG10" t="s">
        <v>384</v>
      </c>
      <c r="IH10">
        <v>0</v>
      </c>
      <c r="II10">
        <v>0</v>
      </c>
      <c r="IJ10">
        <v>0</v>
      </c>
      <c r="IK10">
        <v>0</v>
      </c>
      <c r="IL10">
        <v>0</v>
      </c>
      <c r="IM10" t="s">
        <v>384</v>
      </c>
      <c r="IN10">
        <v>0</v>
      </c>
      <c r="IO10">
        <v>0</v>
      </c>
      <c r="IP10">
        <v>0</v>
      </c>
      <c r="IQ10">
        <v>0</v>
      </c>
      <c r="IR10">
        <v>0</v>
      </c>
      <c r="IS10" t="s">
        <v>384</v>
      </c>
      <c r="IT10">
        <v>0</v>
      </c>
      <c r="IU10">
        <v>0</v>
      </c>
      <c r="IV10">
        <v>0</v>
      </c>
      <c r="IW10">
        <v>0</v>
      </c>
      <c r="IX10">
        <v>0</v>
      </c>
      <c r="IY10">
        <v>0</v>
      </c>
      <c r="IZ10">
        <v>0</v>
      </c>
      <c r="JA10">
        <v>0</v>
      </c>
      <c r="JD10" t="s">
        <v>620</v>
      </c>
      <c r="JE10" t="s">
        <v>621</v>
      </c>
      <c r="JF10" t="s">
        <v>622</v>
      </c>
      <c r="JG10" t="s">
        <v>623</v>
      </c>
      <c r="JH10" t="s">
        <v>624</v>
      </c>
      <c r="JI10" t="s">
        <v>625</v>
      </c>
      <c r="JJ10">
        <v>0.48330000000000001</v>
      </c>
      <c r="JK10">
        <v>0</v>
      </c>
      <c r="JL10" t="s">
        <v>391</v>
      </c>
      <c r="JM10">
        <v>0</v>
      </c>
      <c r="JN10">
        <v>0</v>
      </c>
      <c r="JO10">
        <v>0</v>
      </c>
      <c r="JP10">
        <v>0</v>
      </c>
      <c r="JQ10">
        <v>0</v>
      </c>
      <c r="JR10">
        <v>0</v>
      </c>
      <c r="JS10">
        <v>0</v>
      </c>
      <c r="JT10">
        <v>0</v>
      </c>
      <c r="JU10">
        <v>0</v>
      </c>
      <c r="JV10">
        <v>0</v>
      </c>
      <c r="JX10" t="s">
        <v>392</v>
      </c>
      <c r="JY10">
        <v>0</v>
      </c>
      <c r="JZ10">
        <v>0</v>
      </c>
      <c r="KA10">
        <v>1</v>
      </c>
      <c r="KB10">
        <v>0</v>
      </c>
      <c r="KC10">
        <v>0</v>
      </c>
      <c r="KD10">
        <v>1</v>
      </c>
      <c r="KE10">
        <v>0</v>
      </c>
      <c r="KF10">
        <v>0</v>
      </c>
      <c r="KG10">
        <v>1</v>
      </c>
      <c r="KH10">
        <v>0</v>
      </c>
      <c r="KI10">
        <v>0</v>
      </c>
      <c r="KJ10">
        <v>1</v>
      </c>
      <c r="KK10">
        <v>0</v>
      </c>
      <c r="KL10">
        <v>0</v>
      </c>
      <c r="KM10">
        <v>1</v>
      </c>
      <c r="KN10">
        <v>0</v>
      </c>
      <c r="KO10">
        <v>0</v>
      </c>
      <c r="KP10">
        <v>1</v>
      </c>
      <c r="KQ10">
        <v>0</v>
      </c>
      <c r="KR10">
        <v>0</v>
      </c>
      <c r="KS10">
        <v>1</v>
      </c>
      <c r="KT10">
        <v>0</v>
      </c>
      <c r="KU10">
        <v>0</v>
      </c>
      <c r="KV10">
        <v>1</v>
      </c>
      <c r="KW10">
        <v>0</v>
      </c>
      <c r="KX10">
        <v>0</v>
      </c>
      <c r="KY10">
        <v>1</v>
      </c>
      <c r="KZ10">
        <v>0</v>
      </c>
      <c r="LA10">
        <v>0</v>
      </c>
      <c r="LB10">
        <v>0</v>
      </c>
      <c r="LC10">
        <v>0</v>
      </c>
      <c r="LD10">
        <v>0</v>
      </c>
      <c r="LE10">
        <v>0</v>
      </c>
      <c r="LF10">
        <v>0</v>
      </c>
      <c r="LG10">
        <v>0</v>
      </c>
      <c r="LH10">
        <v>0</v>
      </c>
      <c r="LI10">
        <v>0</v>
      </c>
      <c r="LJ10">
        <v>0</v>
      </c>
      <c r="LK10">
        <v>0</v>
      </c>
      <c r="LN10" t="s">
        <v>393</v>
      </c>
      <c r="LO10" t="s">
        <v>394</v>
      </c>
      <c r="LP10" t="s">
        <v>395</v>
      </c>
      <c r="LQ10">
        <v>0.43280000000000002</v>
      </c>
      <c r="LR10">
        <v>15.3437</v>
      </c>
      <c r="LS10">
        <v>10.8497</v>
      </c>
      <c r="LT10">
        <v>1257</v>
      </c>
      <c r="LU10">
        <v>544</v>
      </c>
      <c r="LV10">
        <v>89.785700000000006</v>
      </c>
      <c r="LW10">
        <v>0.87539999999999996</v>
      </c>
      <c r="LX10">
        <v>0.55869999999999997</v>
      </c>
      <c r="LY10">
        <v>0.55869999999999997</v>
      </c>
      <c r="LZ10">
        <v>0.55869999999999997</v>
      </c>
      <c r="MA10">
        <v>0</v>
      </c>
      <c r="MB10">
        <v>685</v>
      </c>
      <c r="MC10">
        <v>1</v>
      </c>
      <c r="MD10" t="s">
        <v>396</v>
      </c>
      <c r="ME10" t="s">
        <v>517</v>
      </c>
    </row>
    <row r="11" spans="1:343" ht="16.95" customHeight="1" x14ac:dyDescent="0.3">
      <c r="A11" t="s">
        <v>626</v>
      </c>
      <c r="B11" t="s">
        <v>627</v>
      </c>
      <c r="C11" t="s">
        <v>345</v>
      </c>
      <c r="D11" t="s">
        <v>346</v>
      </c>
      <c r="E11" t="s">
        <v>347</v>
      </c>
      <c r="F11" t="s">
        <v>628</v>
      </c>
      <c r="G11" t="s">
        <v>629</v>
      </c>
      <c r="H11" t="s">
        <v>630</v>
      </c>
      <c r="I11" t="s">
        <v>351</v>
      </c>
      <c r="J11">
        <v>3453</v>
      </c>
      <c r="K11">
        <v>1294</v>
      </c>
      <c r="L11">
        <v>0.37469999999999998</v>
      </c>
      <c r="M11">
        <v>156</v>
      </c>
      <c r="N11">
        <v>3</v>
      </c>
      <c r="O11">
        <v>1</v>
      </c>
      <c r="P11">
        <v>22.1</v>
      </c>
      <c r="Q11">
        <v>52</v>
      </c>
      <c r="R11">
        <v>20.7</v>
      </c>
      <c r="S11">
        <v>7.1</v>
      </c>
      <c r="T11">
        <v>13.9</v>
      </c>
      <c r="U11">
        <v>2.7</v>
      </c>
      <c r="V11">
        <v>8.5</v>
      </c>
      <c r="W11">
        <v>26</v>
      </c>
      <c r="X11">
        <v>8.8000000000000007</v>
      </c>
      <c r="Y11">
        <v>3</v>
      </c>
      <c r="Z11">
        <v>3</v>
      </c>
      <c r="AA11">
        <v>1</v>
      </c>
      <c r="AB11" t="s">
        <v>493</v>
      </c>
      <c r="AC11" t="b">
        <v>1</v>
      </c>
      <c r="AD11" t="s">
        <v>353</v>
      </c>
      <c r="AE11">
        <v>0.39700000000000002</v>
      </c>
      <c r="AF11" t="s">
        <v>356</v>
      </c>
      <c r="AG11">
        <v>0.25769999999999998</v>
      </c>
      <c r="AH11">
        <v>3.3000000000000002E-2</v>
      </c>
      <c r="AI11">
        <v>0.71779999999999999</v>
      </c>
      <c r="AJ11" t="s">
        <v>355</v>
      </c>
      <c r="AK11">
        <v>4.9000000000000004</v>
      </c>
      <c r="AL11">
        <v>9</v>
      </c>
      <c r="AM11" t="s">
        <v>356</v>
      </c>
      <c r="AN11">
        <v>2</v>
      </c>
      <c r="AO11">
        <v>0.57999999999999996</v>
      </c>
      <c r="AP11">
        <v>15</v>
      </c>
      <c r="AQ11">
        <v>4.34</v>
      </c>
      <c r="AR11">
        <v>7.5</v>
      </c>
      <c r="AS11">
        <v>0</v>
      </c>
      <c r="AT11" t="s">
        <v>357</v>
      </c>
      <c r="AU11">
        <v>37.799999999999997</v>
      </c>
      <c r="AV11">
        <v>59</v>
      </c>
      <c r="AW11" t="s">
        <v>356</v>
      </c>
      <c r="AX11">
        <v>15</v>
      </c>
      <c r="AY11">
        <v>4.34</v>
      </c>
      <c r="AZ11">
        <v>0</v>
      </c>
      <c r="BA11">
        <v>11</v>
      </c>
      <c r="BB11">
        <v>0</v>
      </c>
      <c r="BC11">
        <v>4</v>
      </c>
      <c r="BD11">
        <v>0</v>
      </c>
      <c r="BE11">
        <v>11</v>
      </c>
      <c r="BF11">
        <v>0</v>
      </c>
      <c r="BG11">
        <v>11</v>
      </c>
      <c r="BH11">
        <v>2</v>
      </c>
      <c r="BI11">
        <v>0.73</v>
      </c>
      <c r="BJ11" t="b">
        <v>0</v>
      </c>
      <c r="BK11" t="b">
        <v>0</v>
      </c>
      <c r="BL11">
        <v>3</v>
      </c>
      <c r="BM11">
        <v>3</v>
      </c>
      <c r="BN11">
        <v>2</v>
      </c>
      <c r="BO11">
        <v>1</v>
      </c>
      <c r="BP11">
        <v>0</v>
      </c>
      <c r="BQ11">
        <v>1</v>
      </c>
      <c r="BR11">
        <v>0</v>
      </c>
      <c r="BS11">
        <v>3453</v>
      </c>
      <c r="BT11">
        <v>1294</v>
      </c>
      <c r="BU11">
        <v>0.37469999999999998</v>
      </c>
      <c r="BV11">
        <v>3</v>
      </c>
      <c r="BW11">
        <v>1</v>
      </c>
      <c r="BX11">
        <v>1151</v>
      </c>
      <c r="BZ11" t="s">
        <v>631</v>
      </c>
      <c r="CA11" t="s">
        <v>632</v>
      </c>
      <c r="CB11" t="s">
        <v>633</v>
      </c>
      <c r="CC11" t="s">
        <v>634</v>
      </c>
      <c r="CD11">
        <v>0</v>
      </c>
      <c r="CE11">
        <v>0</v>
      </c>
      <c r="CF11">
        <v>0</v>
      </c>
      <c r="CG11">
        <v>0</v>
      </c>
      <c r="CH11">
        <v>1</v>
      </c>
      <c r="CI11" t="s">
        <v>527</v>
      </c>
      <c r="CJ11">
        <v>5</v>
      </c>
      <c r="CK11">
        <v>1.45</v>
      </c>
      <c r="CL11" t="s">
        <v>407</v>
      </c>
      <c r="CM11">
        <v>1</v>
      </c>
      <c r="CN11">
        <v>0</v>
      </c>
      <c r="CO11" t="b">
        <v>0</v>
      </c>
      <c r="CP11" t="b">
        <v>0</v>
      </c>
      <c r="CQ11" t="b">
        <v>1</v>
      </c>
      <c r="CR11" t="b">
        <v>0</v>
      </c>
      <c r="CS11" t="b">
        <v>0</v>
      </c>
      <c r="CT11" t="b">
        <v>1</v>
      </c>
      <c r="CU11" t="b">
        <v>0</v>
      </c>
      <c r="CV11">
        <v>0</v>
      </c>
      <c r="CW11">
        <v>0</v>
      </c>
      <c r="CX11">
        <v>0</v>
      </c>
      <c r="CY11">
        <v>3</v>
      </c>
      <c r="CZ11">
        <v>0.87</v>
      </c>
      <c r="DA11">
        <v>15</v>
      </c>
      <c r="DB11">
        <v>4.34</v>
      </c>
      <c r="DC11">
        <v>5</v>
      </c>
      <c r="DD11">
        <v>0</v>
      </c>
      <c r="DE11">
        <v>0</v>
      </c>
      <c r="DF11">
        <v>6</v>
      </c>
      <c r="DG11">
        <v>1.74</v>
      </c>
      <c r="DH11">
        <v>6</v>
      </c>
      <c r="DI11">
        <v>1.74</v>
      </c>
      <c r="DJ11">
        <v>1</v>
      </c>
      <c r="DK11">
        <v>1</v>
      </c>
      <c r="DL11">
        <v>3</v>
      </c>
      <c r="DM11">
        <v>4</v>
      </c>
      <c r="DN11">
        <v>0</v>
      </c>
      <c r="DO11">
        <v>209</v>
      </c>
      <c r="DP11">
        <v>2</v>
      </c>
      <c r="DQ11">
        <v>0.57999999999999996</v>
      </c>
      <c r="DR11" t="s">
        <v>635</v>
      </c>
      <c r="DS11" t="s">
        <v>636</v>
      </c>
      <c r="DT11" t="s">
        <v>637</v>
      </c>
      <c r="DU11" t="s">
        <v>638</v>
      </c>
      <c r="DV11" t="s">
        <v>639</v>
      </c>
      <c r="DW11">
        <v>1.43</v>
      </c>
      <c r="DX11">
        <v>0</v>
      </c>
      <c r="DY11">
        <v>2.5</v>
      </c>
      <c r="DZ11">
        <v>5</v>
      </c>
      <c r="EA11">
        <v>2</v>
      </c>
      <c r="EB11">
        <v>10.93</v>
      </c>
      <c r="EC11" t="s">
        <v>369</v>
      </c>
      <c r="ED11" t="s">
        <v>369</v>
      </c>
      <c r="EE11">
        <v>3.45</v>
      </c>
      <c r="EF11" t="s">
        <v>414</v>
      </c>
      <c r="EG11">
        <v>0.09</v>
      </c>
      <c r="EH11">
        <v>0.75</v>
      </c>
      <c r="EI11">
        <v>0.115</v>
      </c>
      <c r="EJ11" t="s">
        <v>370</v>
      </c>
      <c r="EK11">
        <v>1.1599999999999999</v>
      </c>
      <c r="EL11" t="s">
        <v>472</v>
      </c>
      <c r="EM11" t="s">
        <v>640</v>
      </c>
      <c r="EN11">
        <v>1.05</v>
      </c>
      <c r="EO11" t="s">
        <v>641</v>
      </c>
      <c r="EP11">
        <v>3</v>
      </c>
      <c r="EQ11">
        <v>6</v>
      </c>
      <c r="ER11">
        <v>64.2</v>
      </c>
      <c r="ES11" t="s">
        <v>475</v>
      </c>
      <c r="ET11">
        <v>0.28999999999999998</v>
      </c>
      <c r="EU11">
        <v>2.9</v>
      </c>
      <c r="EV11">
        <v>1.54</v>
      </c>
      <c r="EW11">
        <v>1.54</v>
      </c>
      <c r="EX11">
        <v>0.97</v>
      </c>
      <c r="EY11">
        <v>0.28999999999999998</v>
      </c>
      <c r="EZ11">
        <v>0.39</v>
      </c>
      <c r="FA11">
        <v>0.39</v>
      </c>
      <c r="FB11">
        <v>1.54</v>
      </c>
      <c r="FC11">
        <v>0.68</v>
      </c>
      <c r="FD11" t="s">
        <v>375</v>
      </c>
      <c r="FE11">
        <v>227</v>
      </c>
      <c r="FF11" t="s">
        <v>642</v>
      </c>
      <c r="FG11" t="s">
        <v>643</v>
      </c>
      <c r="FH11" t="s">
        <v>644</v>
      </c>
      <c r="FI11" t="s">
        <v>645</v>
      </c>
      <c r="FJ11" t="s">
        <v>646</v>
      </c>
      <c r="FK11" t="s">
        <v>647</v>
      </c>
      <c r="FL11" t="s">
        <v>648</v>
      </c>
      <c r="FM11">
        <v>0</v>
      </c>
      <c r="FN11">
        <v>0.57730000000000004</v>
      </c>
      <c r="FO11">
        <v>0.77500000000000002</v>
      </c>
      <c r="FP11">
        <v>0.6603</v>
      </c>
      <c r="FQ11">
        <v>0.62180000000000002</v>
      </c>
      <c r="FR11">
        <v>6.4000000000000003E-3</v>
      </c>
      <c r="FS11">
        <v>1.2800000000000001E-2</v>
      </c>
      <c r="FT11">
        <v>0</v>
      </c>
      <c r="FU11">
        <v>0</v>
      </c>
      <c r="FV11">
        <v>0.16789999999999999</v>
      </c>
      <c r="FW11">
        <v>4.6300000000000001E-2</v>
      </c>
      <c r="FX11">
        <v>1.23E-2</v>
      </c>
      <c r="FY11">
        <v>0.27339999999999998</v>
      </c>
      <c r="FZ11">
        <v>8.2000000000000007E-3</v>
      </c>
      <c r="GA11">
        <v>156</v>
      </c>
      <c r="GB11">
        <v>1</v>
      </c>
      <c r="GC11">
        <v>1</v>
      </c>
      <c r="GD11">
        <v>122</v>
      </c>
      <c r="GE11">
        <v>1</v>
      </c>
      <c r="GF11">
        <v>38</v>
      </c>
      <c r="GG11">
        <v>0</v>
      </c>
      <c r="GH11">
        <v>0</v>
      </c>
      <c r="GI11">
        <v>0</v>
      </c>
      <c r="GJ11">
        <v>1</v>
      </c>
      <c r="GK11">
        <v>0.1482</v>
      </c>
      <c r="GL11">
        <v>0</v>
      </c>
      <c r="GM11">
        <v>3.6999999999999998E-2</v>
      </c>
      <c r="GN11">
        <v>0</v>
      </c>
      <c r="GO11">
        <v>0</v>
      </c>
      <c r="GP11">
        <v>3.6999999999999998E-2</v>
      </c>
      <c r="GQ11">
        <v>0</v>
      </c>
      <c r="GR11">
        <v>0</v>
      </c>
      <c r="GS11">
        <v>3.6999999999999998E-2</v>
      </c>
      <c r="GT11">
        <v>0</v>
      </c>
      <c r="GU11">
        <v>0</v>
      </c>
      <c r="GV11">
        <v>7.4099999999999999E-2</v>
      </c>
      <c r="GW11">
        <v>0</v>
      </c>
      <c r="GX11">
        <v>0</v>
      </c>
      <c r="GY11">
        <v>0</v>
      </c>
      <c r="GZ11">
        <v>0</v>
      </c>
      <c r="HA11">
        <v>0</v>
      </c>
      <c r="HB11">
        <v>0</v>
      </c>
      <c r="HC11" t="s">
        <v>383</v>
      </c>
      <c r="HD11">
        <v>0</v>
      </c>
      <c r="HE11">
        <v>0</v>
      </c>
      <c r="HF11">
        <v>0</v>
      </c>
      <c r="HG11">
        <v>0</v>
      </c>
      <c r="HH11">
        <v>0</v>
      </c>
      <c r="HI11" t="s">
        <v>383</v>
      </c>
      <c r="HJ11">
        <v>0</v>
      </c>
      <c r="HK11">
        <v>0</v>
      </c>
      <c r="HL11">
        <v>0</v>
      </c>
      <c r="HM11">
        <v>0</v>
      </c>
      <c r="HN11">
        <v>0</v>
      </c>
      <c r="HO11" t="s">
        <v>383</v>
      </c>
      <c r="HP11">
        <v>0</v>
      </c>
      <c r="HQ11">
        <v>0</v>
      </c>
      <c r="HR11">
        <v>0</v>
      </c>
      <c r="HS11">
        <v>0</v>
      </c>
      <c r="HT11">
        <v>0</v>
      </c>
      <c r="HU11" t="s">
        <v>383</v>
      </c>
      <c r="HV11">
        <v>0</v>
      </c>
      <c r="HW11">
        <v>0</v>
      </c>
      <c r="HX11">
        <v>0</v>
      </c>
      <c r="HY11">
        <v>0</v>
      </c>
      <c r="HZ11">
        <v>0</v>
      </c>
      <c r="IA11" t="s">
        <v>384</v>
      </c>
      <c r="IB11">
        <v>0</v>
      </c>
      <c r="IC11">
        <v>0</v>
      </c>
      <c r="ID11">
        <v>0</v>
      </c>
      <c r="IE11">
        <v>0</v>
      </c>
      <c r="IF11">
        <v>0</v>
      </c>
      <c r="IG11" t="s">
        <v>384</v>
      </c>
      <c r="IH11">
        <v>0</v>
      </c>
      <c r="II11">
        <v>0</v>
      </c>
      <c r="IJ11">
        <v>0</v>
      </c>
      <c r="IK11">
        <v>0</v>
      </c>
      <c r="IL11">
        <v>0</v>
      </c>
      <c r="IM11" t="s">
        <v>384</v>
      </c>
      <c r="IN11">
        <v>0</v>
      </c>
      <c r="IO11">
        <v>0</v>
      </c>
      <c r="IP11">
        <v>0</v>
      </c>
      <c r="IQ11">
        <v>0</v>
      </c>
      <c r="IR11">
        <v>0</v>
      </c>
      <c r="IS11" t="s">
        <v>384</v>
      </c>
      <c r="IT11">
        <v>0</v>
      </c>
      <c r="IU11">
        <v>0</v>
      </c>
      <c r="IV11">
        <v>0</v>
      </c>
      <c r="IW11">
        <v>0</v>
      </c>
      <c r="IX11">
        <v>0</v>
      </c>
      <c r="IY11">
        <v>0</v>
      </c>
      <c r="IZ11">
        <v>0</v>
      </c>
      <c r="JA11">
        <v>0</v>
      </c>
      <c r="JD11" t="s">
        <v>483</v>
      </c>
      <c r="JE11" t="s">
        <v>386</v>
      </c>
      <c r="JF11" t="s">
        <v>649</v>
      </c>
      <c r="JG11" t="s">
        <v>650</v>
      </c>
      <c r="JH11" t="s">
        <v>651</v>
      </c>
      <c r="JI11" t="s">
        <v>652</v>
      </c>
      <c r="JJ11">
        <v>0.58330000000000004</v>
      </c>
      <c r="JK11">
        <v>0</v>
      </c>
      <c r="JL11" t="s">
        <v>391</v>
      </c>
      <c r="JM11">
        <v>0</v>
      </c>
      <c r="JN11">
        <v>0</v>
      </c>
      <c r="JO11">
        <v>0</v>
      </c>
      <c r="JP11">
        <v>0</v>
      </c>
      <c r="JQ11">
        <v>0</v>
      </c>
      <c r="JR11">
        <v>0</v>
      </c>
      <c r="JS11">
        <v>0</v>
      </c>
      <c r="JT11">
        <v>0</v>
      </c>
      <c r="JU11">
        <v>0</v>
      </c>
      <c r="JV11">
        <v>0</v>
      </c>
      <c r="JX11" t="s">
        <v>392</v>
      </c>
      <c r="JY11">
        <v>0</v>
      </c>
      <c r="JZ11">
        <v>0</v>
      </c>
      <c r="KA11">
        <v>1</v>
      </c>
      <c r="KB11">
        <v>0</v>
      </c>
      <c r="KC11">
        <v>0</v>
      </c>
      <c r="KD11">
        <v>1</v>
      </c>
      <c r="KE11">
        <v>0</v>
      </c>
      <c r="KF11">
        <v>0</v>
      </c>
      <c r="KG11">
        <v>1</v>
      </c>
      <c r="KH11">
        <v>0</v>
      </c>
      <c r="KI11">
        <v>0</v>
      </c>
      <c r="KJ11">
        <v>1</v>
      </c>
      <c r="KK11">
        <v>0</v>
      </c>
      <c r="KL11">
        <v>0</v>
      </c>
      <c r="KM11">
        <v>1</v>
      </c>
      <c r="KN11">
        <v>0</v>
      </c>
      <c r="KO11">
        <v>0</v>
      </c>
      <c r="KP11">
        <v>1</v>
      </c>
      <c r="KQ11">
        <v>0</v>
      </c>
      <c r="KR11">
        <v>0</v>
      </c>
      <c r="KS11">
        <v>1</v>
      </c>
      <c r="KT11">
        <v>0</v>
      </c>
      <c r="KU11">
        <v>0</v>
      </c>
      <c r="KV11">
        <v>1</v>
      </c>
      <c r="KW11">
        <v>0</v>
      </c>
      <c r="KX11">
        <v>0</v>
      </c>
      <c r="KY11">
        <v>1</v>
      </c>
      <c r="KZ11">
        <v>0</v>
      </c>
      <c r="LA11">
        <v>0</v>
      </c>
      <c r="LB11">
        <v>0</v>
      </c>
      <c r="LC11">
        <v>0</v>
      </c>
      <c r="LD11">
        <v>0</v>
      </c>
      <c r="LE11">
        <v>0</v>
      </c>
      <c r="LF11">
        <v>0</v>
      </c>
      <c r="LG11">
        <v>0</v>
      </c>
      <c r="LH11">
        <v>0</v>
      </c>
      <c r="LI11">
        <v>0</v>
      </c>
      <c r="LJ11">
        <v>0</v>
      </c>
      <c r="LK11">
        <v>0</v>
      </c>
      <c r="LN11" t="s">
        <v>393</v>
      </c>
      <c r="LO11" t="s">
        <v>394</v>
      </c>
      <c r="LP11" t="s">
        <v>395</v>
      </c>
      <c r="LQ11">
        <v>0.3629</v>
      </c>
      <c r="LR11">
        <v>20.971499999999999</v>
      </c>
      <c r="LS11">
        <v>14.8291</v>
      </c>
      <c r="LT11">
        <v>3340</v>
      </c>
      <c r="LU11">
        <v>1212</v>
      </c>
      <c r="LV11">
        <v>121.8935</v>
      </c>
      <c r="LW11">
        <v>0.89380000000000004</v>
      </c>
      <c r="LX11">
        <v>0.58030000000000004</v>
      </c>
      <c r="LY11">
        <v>0.58030000000000004</v>
      </c>
      <c r="LZ11">
        <v>0.58030000000000004</v>
      </c>
      <c r="MA11">
        <v>0</v>
      </c>
      <c r="MB11">
        <v>1933</v>
      </c>
      <c r="MC11">
        <v>1</v>
      </c>
      <c r="MD11" t="s">
        <v>396</v>
      </c>
      <c r="ME11" t="s">
        <v>517</v>
      </c>
    </row>
    <row r="12" spans="1:343" ht="16.95" customHeight="1" x14ac:dyDescent="0.3">
      <c r="A12" t="s">
        <v>653</v>
      </c>
      <c r="B12" t="s">
        <v>654</v>
      </c>
      <c r="C12" t="s">
        <v>345</v>
      </c>
      <c r="D12" t="s">
        <v>346</v>
      </c>
      <c r="E12" t="s">
        <v>347</v>
      </c>
      <c r="F12" t="s">
        <v>655</v>
      </c>
      <c r="G12" t="s">
        <v>656</v>
      </c>
      <c r="H12" t="s">
        <v>657</v>
      </c>
      <c r="I12" t="s">
        <v>351</v>
      </c>
      <c r="J12">
        <v>1732</v>
      </c>
      <c r="K12">
        <v>723</v>
      </c>
      <c r="L12">
        <v>0.41739999999999999</v>
      </c>
      <c r="M12">
        <v>65</v>
      </c>
      <c r="N12">
        <v>3</v>
      </c>
      <c r="O12">
        <v>1</v>
      </c>
      <c r="P12">
        <v>26.6</v>
      </c>
      <c r="Q12">
        <v>21.7</v>
      </c>
      <c r="R12">
        <v>18.600000000000001</v>
      </c>
      <c r="S12">
        <v>6.8</v>
      </c>
      <c r="T12">
        <v>10.8</v>
      </c>
      <c r="U12">
        <v>2.2000000000000002</v>
      </c>
      <c r="V12">
        <v>8.6999999999999993</v>
      </c>
      <c r="W12">
        <v>4</v>
      </c>
      <c r="X12">
        <v>2.8</v>
      </c>
      <c r="Y12">
        <v>5</v>
      </c>
      <c r="Z12">
        <v>0</v>
      </c>
      <c r="AA12">
        <v>5</v>
      </c>
      <c r="AB12" t="s">
        <v>352</v>
      </c>
      <c r="AC12" t="b">
        <v>0</v>
      </c>
      <c r="AD12" t="s">
        <v>353</v>
      </c>
      <c r="AE12">
        <v>0.4249</v>
      </c>
      <c r="AF12" t="s">
        <v>354</v>
      </c>
      <c r="AG12">
        <v>0.25919999999999999</v>
      </c>
      <c r="AH12">
        <v>5.2600000000000001E-2</v>
      </c>
      <c r="AI12">
        <v>0.70179999999999998</v>
      </c>
      <c r="AJ12" t="s">
        <v>355</v>
      </c>
      <c r="AK12">
        <v>6.03</v>
      </c>
      <c r="AL12">
        <v>11</v>
      </c>
      <c r="AM12" t="s">
        <v>356</v>
      </c>
      <c r="AN12">
        <v>0</v>
      </c>
      <c r="AO12">
        <v>0</v>
      </c>
      <c r="AP12">
        <v>32</v>
      </c>
      <c r="AQ12">
        <v>18.48</v>
      </c>
      <c r="AR12">
        <v>32</v>
      </c>
      <c r="AS12">
        <v>0</v>
      </c>
      <c r="AT12" t="s">
        <v>357</v>
      </c>
      <c r="AU12">
        <v>44.6</v>
      </c>
      <c r="AV12">
        <v>29</v>
      </c>
      <c r="AW12" t="s">
        <v>356</v>
      </c>
      <c r="AX12">
        <v>26</v>
      </c>
      <c r="AY12">
        <v>15.01</v>
      </c>
      <c r="AZ12">
        <v>20</v>
      </c>
      <c r="BA12">
        <v>6</v>
      </c>
      <c r="BB12">
        <v>0</v>
      </c>
      <c r="BC12">
        <v>0</v>
      </c>
      <c r="BD12">
        <v>0</v>
      </c>
      <c r="BE12">
        <v>6</v>
      </c>
      <c r="BF12">
        <v>20</v>
      </c>
      <c r="BG12">
        <v>0.3</v>
      </c>
      <c r="BH12">
        <v>0</v>
      </c>
      <c r="BI12">
        <v>0</v>
      </c>
      <c r="BJ12" t="b">
        <v>0</v>
      </c>
      <c r="BK12" t="b">
        <v>0</v>
      </c>
      <c r="BL12">
        <v>3</v>
      </c>
      <c r="BM12">
        <v>3</v>
      </c>
      <c r="BN12">
        <v>2</v>
      </c>
      <c r="BO12">
        <v>1</v>
      </c>
      <c r="BP12">
        <v>0</v>
      </c>
      <c r="BQ12">
        <v>1</v>
      </c>
      <c r="BR12">
        <v>0</v>
      </c>
      <c r="BS12">
        <v>1732</v>
      </c>
      <c r="BT12">
        <v>723</v>
      </c>
      <c r="BU12">
        <v>0.41739999999999999</v>
      </c>
      <c r="BV12">
        <v>3</v>
      </c>
      <c r="BW12">
        <v>1</v>
      </c>
      <c r="BX12">
        <v>577.29999999999995</v>
      </c>
      <c r="BZ12" t="s">
        <v>658</v>
      </c>
      <c r="CA12" t="s">
        <v>659</v>
      </c>
      <c r="CB12" t="s">
        <v>660</v>
      </c>
      <c r="CC12" t="s">
        <v>661</v>
      </c>
      <c r="CD12">
        <v>20</v>
      </c>
      <c r="CE12">
        <v>0</v>
      </c>
      <c r="CF12">
        <v>20</v>
      </c>
      <c r="CG12">
        <v>11.54</v>
      </c>
      <c r="CH12">
        <v>0</v>
      </c>
      <c r="CJ12">
        <v>2</v>
      </c>
      <c r="CK12">
        <v>1.1499999999999999</v>
      </c>
      <c r="CL12" t="s">
        <v>363</v>
      </c>
      <c r="CM12">
        <v>1</v>
      </c>
      <c r="CN12">
        <v>0</v>
      </c>
      <c r="CO12" t="b">
        <v>0</v>
      </c>
      <c r="CP12" t="b">
        <v>0</v>
      </c>
      <c r="CQ12" t="b">
        <v>1</v>
      </c>
      <c r="CR12" t="b">
        <v>0</v>
      </c>
      <c r="CS12" t="b">
        <v>1</v>
      </c>
      <c r="CT12" t="b">
        <v>1</v>
      </c>
      <c r="CU12" t="b">
        <v>0</v>
      </c>
      <c r="CV12">
        <v>0</v>
      </c>
      <c r="CW12">
        <v>0</v>
      </c>
      <c r="CX12">
        <v>0</v>
      </c>
      <c r="CY12">
        <v>0</v>
      </c>
      <c r="CZ12">
        <v>0</v>
      </c>
      <c r="DA12">
        <v>32</v>
      </c>
      <c r="DB12">
        <v>18.47</v>
      </c>
      <c r="DC12">
        <v>32</v>
      </c>
      <c r="DD12">
        <v>0</v>
      </c>
      <c r="DE12">
        <v>0</v>
      </c>
      <c r="DF12">
        <v>3</v>
      </c>
      <c r="DG12">
        <v>1.73</v>
      </c>
      <c r="DH12">
        <v>0</v>
      </c>
      <c r="DI12">
        <v>0</v>
      </c>
      <c r="DJ12">
        <v>3</v>
      </c>
      <c r="DK12">
        <v>0</v>
      </c>
      <c r="DL12">
        <v>0</v>
      </c>
      <c r="DM12">
        <v>11</v>
      </c>
      <c r="DN12">
        <v>0</v>
      </c>
      <c r="DO12">
        <v>120</v>
      </c>
      <c r="DP12">
        <v>1</v>
      </c>
      <c r="DQ12">
        <v>0.57999999999999996</v>
      </c>
      <c r="DR12" t="s">
        <v>662</v>
      </c>
      <c r="DS12" t="s">
        <v>663</v>
      </c>
      <c r="DT12" t="s">
        <v>664</v>
      </c>
      <c r="DU12" t="s">
        <v>665</v>
      </c>
      <c r="DV12" t="s">
        <v>666</v>
      </c>
      <c r="DW12">
        <v>2.14</v>
      </c>
      <c r="DX12">
        <v>5</v>
      </c>
      <c r="DY12">
        <v>2</v>
      </c>
      <c r="DZ12">
        <v>5</v>
      </c>
      <c r="EA12">
        <v>0</v>
      </c>
      <c r="EB12">
        <v>14.14</v>
      </c>
      <c r="EC12" t="s">
        <v>503</v>
      </c>
      <c r="ED12" t="s">
        <v>667</v>
      </c>
      <c r="EE12">
        <v>1.7</v>
      </c>
      <c r="EF12" t="s">
        <v>414</v>
      </c>
      <c r="EG12">
        <v>0.28999999999999998</v>
      </c>
      <c r="EH12">
        <v>1.21</v>
      </c>
      <c r="EI12">
        <v>0.23799999999999999</v>
      </c>
      <c r="EJ12" t="s">
        <v>370</v>
      </c>
      <c r="EK12">
        <v>1.04</v>
      </c>
      <c r="EL12" t="s">
        <v>371</v>
      </c>
      <c r="EM12" t="s">
        <v>668</v>
      </c>
      <c r="EN12">
        <v>0.81</v>
      </c>
      <c r="EO12" t="s">
        <v>641</v>
      </c>
      <c r="EP12">
        <v>0</v>
      </c>
      <c r="EQ12">
        <v>2</v>
      </c>
      <c r="ER12">
        <v>93.5</v>
      </c>
      <c r="ES12" t="s">
        <v>669</v>
      </c>
      <c r="ET12">
        <v>0</v>
      </c>
      <c r="EU12">
        <v>1.92</v>
      </c>
      <c r="EV12">
        <v>0.77</v>
      </c>
      <c r="EW12">
        <v>1.73</v>
      </c>
      <c r="EX12">
        <v>0.77</v>
      </c>
      <c r="EY12">
        <v>0</v>
      </c>
      <c r="EZ12">
        <v>0.57999999999999996</v>
      </c>
      <c r="FA12">
        <v>0.57999999999999996</v>
      </c>
      <c r="FB12">
        <v>1.1499999999999999</v>
      </c>
      <c r="FC12">
        <v>0.57999999999999996</v>
      </c>
      <c r="FD12" t="s">
        <v>375</v>
      </c>
      <c r="FE12">
        <v>180</v>
      </c>
      <c r="FF12" t="s">
        <v>670</v>
      </c>
      <c r="FG12" t="s">
        <v>671</v>
      </c>
      <c r="FH12" t="s">
        <v>672</v>
      </c>
      <c r="FI12" t="s">
        <v>673</v>
      </c>
      <c r="FJ12" t="s">
        <v>674</v>
      </c>
      <c r="FK12" t="s">
        <v>675</v>
      </c>
      <c r="FL12" t="s">
        <v>676</v>
      </c>
      <c r="FM12">
        <v>0</v>
      </c>
      <c r="FN12">
        <v>0.60019999999999996</v>
      </c>
      <c r="FO12">
        <v>0.77500000000000002</v>
      </c>
      <c r="FP12">
        <v>0.67359999999999998</v>
      </c>
      <c r="FQ12">
        <v>0.69230000000000003</v>
      </c>
      <c r="FR12">
        <v>0</v>
      </c>
      <c r="FS12">
        <v>1.54E-2</v>
      </c>
      <c r="FT12">
        <v>0</v>
      </c>
      <c r="FU12">
        <v>0</v>
      </c>
      <c r="FV12">
        <v>0.1754</v>
      </c>
      <c r="FW12">
        <v>0</v>
      </c>
      <c r="FX12">
        <v>5.1200000000000002E-2</v>
      </c>
      <c r="FY12">
        <v>0.30120000000000002</v>
      </c>
      <c r="FZ12">
        <v>0</v>
      </c>
      <c r="GA12">
        <v>65</v>
      </c>
      <c r="GB12">
        <v>1</v>
      </c>
      <c r="GC12">
        <v>1</v>
      </c>
      <c r="GD12">
        <v>52</v>
      </c>
      <c r="GE12">
        <v>0</v>
      </c>
      <c r="GF12">
        <v>12</v>
      </c>
      <c r="GG12">
        <v>0</v>
      </c>
      <c r="GH12">
        <v>1</v>
      </c>
      <c r="GI12">
        <v>0</v>
      </c>
      <c r="GJ12">
        <v>0</v>
      </c>
      <c r="GK12">
        <v>0</v>
      </c>
      <c r="GL12">
        <v>0</v>
      </c>
      <c r="GM12">
        <v>0</v>
      </c>
      <c r="GN12">
        <v>0</v>
      </c>
      <c r="GO12">
        <v>0</v>
      </c>
      <c r="GP12">
        <v>0.30709999999999998</v>
      </c>
      <c r="GQ12">
        <v>0</v>
      </c>
      <c r="GR12">
        <v>0</v>
      </c>
      <c r="GS12">
        <v>0.15359999999999999</v>
      </c>
      <c r="GT12">
        <v>0</v>
      </c>
      <c r="GU12">
        <v>0</v>
      </c>
      <c r="GV12">
        <v>0</v>
      </c>
      <c r="GW12">
        <v>0</v>
      </c>
      <c r="GX12">
        <v>0</v>
      </c>
      <c r="GY12">
        <v>0</v>
      </c>
      <c r="GZ12">
        <v>0</v>
      </c>
      <c r="HA12">
        <v>0</v>
      </c>
      <c r="HB12">
        <v>0</v>
      </c>
      <c r="HC12" t="s">
        <v>383</v>
      </c>
      <c r="HD12">
        <v>0</v>
      </c>
      <c r="HE12">
        <v>0</v>
      </c>
      <c r="HF12">
        <v>0</v>
      </c>
      <c r="HG12">
        <v>0</v>
      </c>
      <c r="HH12">
        <v>0</v>
      </c>
      <c r="HI12" t="s">
        <v>383</v>
      </c>
      <c r="HJ12">
        <v>0</v>
      </c>
      <c r="HK12">
        <v>0</v>
      </c>
      <c r="HL12">
        <v>0</v>
      </c>
      <c r="HM12">
        <v>0</v>
      </c>
      <c r="HN12">
        <v>0</v>
      </c>
      <c r="HO12" t="s">
        <v>383</v>
      </c>
      <c r="HP12">
        <v>0</v>
      </c>
      <c r="HQ12">
        <v>0</v>
      </c>
      <c r="HR12">
        <v>0</v>
      </c>
      <c r="HS12">
        <v>0</v>
      </c>
      <c r="HT12">
        <v>0</v>
      </c>
      <c r="HU12" t="s">
        <v>383</v>
      </c>
      <c r="HV12">
        <v>0</v>
      </c>
      <c r="HW12">
        <v>0</v>
      </c>
      <c r="HX12">
        <v>0</v>
      </c>
      <c r="HY12">
        <v>0</v>
      </c>
      <c r="HZ12">
        <v>0</v>
      </c>
      <c r="IA12" t="s">
        <v>384</v>
      </c>
      <c r="IB12">
        <v>0</v>
      </c>
      <c r="IC12">
        <v>0</v>
      </c>
      <c r="ID12">
        <v>0</v>
      </c>
      <c r="IE12">
        <v>0</v>
      </c>
      <c r="IF12">
        <v>0</v>
      </c>
      <c r="IG12" t="s">
        <v>384</v>
      </c>
      <c r="IH12">
        <v>0</v>
      </c>
      <c r="II12">
        <v>0</v>
      </c>
      <c r="IJ12">
        <v>0</v>
      </c>
      <c r="IK12">
        <v>0</v>
      </c>
      <c r="IL12">
        <v>0</v>
      </c>
      <c r="IM12" t="s">
        <v>384</v>
      </c>
      <c r="IN12">
        <v>0</v>
      </c>
      <c r="IO12">
        <v>0</v>
      </c>
      <c r="IP12">
        <v>0</v>
      </c>
      <c r="IQ12">
        <v>0</v>
      </c>
      <c r="IR12">
        <v>0</v>
      </c>
      <c r="IS12" t="s">
        <v>384</v>
      </c>
      <c r="IT12">
        <v>0</v>
      </c>
      <c r="IU12">
        <v>0</v>
      </c>
      <c r="IV12">
        <v>0</v>
      </c>
      <c r="IW12">
        <v>0</v>
      </c>
      <c r="IX12">
        <v>0</v>
      </c>
      <c r="IY12">
        <v>0</v>
      </c>
      <c r="IZ12">
        <v>0</v>
      </c>
      <c r="JA12">
        <v>0</v>
      </c>
      <c r="JD12" t="s">
        <v>512</v>
      </c>
      <c r="JE12" t="s">
        <v>386</v>
      </c>
      <c r="JF12" t="s">
        <v>677</v>
      </c>
      <c r="JG12" t="s">
        <v>678</v>
      </c>
      <c r="JH12" t="s">
        <v>679</v>
      </c>
      <c r="JI12" t="s">
        <v>680</v>
      </c>
      <c r="JJ12">
        <v>0.41670000000000001</v>
      </c>
      <c r="JK12">
        <v>0</v>
      </c>
      <c r="JL12" t="s">
        <v>391</v>
      </c>
      <c r="JM12">
        <v>0</v>
      </c>
      <c r="JN12">
        <v>0</v>
      </c>
      <c r="JO12">
        <v>0</v>
      </c>
      <c r="JP12">
        <v>0</v>
      </c>
      <c r="JQ12">
        <v>0</v>
      </c>
      <c r="JR12">
        <v>0</v>
      </c>
      <c r="JS12">
        <v>0</v>
      </c>
      <c r="JT12">
        <v>0</v>
      </c>
      <c r="JU12">
        <v>0</v>
      </c>
      <c r="JV12">
        <v>0</v>
      </c>
      <c r="JX12" t="s">
        <v>392</v>
      </c>
      <c r="JY12">
        <v>0</v>
      </c>
      <c r="JZ12">
        <v>0</v>
      </c>
      <c r="KA12">
        <v>1</v>
      </c>
      <c r="KB12">
        <v>0</v>
      </c>
      <c r="KC12">
        <v>0</v>
      </c>
      <c r="KD12">
        <v>1</v>
      </c>
      <c r="KE12">
        <v>0</v>
      </c>
      <c r="KF12">
        <v>0</v>
      </c>
      <c r="KG12">
        <v>1</v>
      </c>
      <c r="KH12">
        <v>0</v>
      </c>
      <c r="KI12">
        <v>0</v>
      </c>
      <c r="KJ12">
        <v>1</v>
      </c>
      <c r="KK12">
        <v>0</v>
      </c>
      <c r="KL12">
        <v>0</v>
      </c>
      <c r="KM12">
        <v>1</v>
      </c>
      <c r="KN12">
        <v>0</v>
      </c>
      <c r="KO12">
        <v>0</v>
      </c>
      <c r="KP12">
        <v>1</v>
      </c>
      <c r="KQ12">
        <v>0</v>
      </c>
      <c r="KR12">
        <v>0</v>
      </c>
      <c r="KS12">
        <v>1</v>
      </c>
      <c r="KT12">
        <v>0</v>
      </c>
      <c r="KU12">
        <v>0</v>
      </c>
      <c r="KV12">
        <v>1</v>
      </c>
      <c r="KW12">
        <v>0</v>
      </c>
      <c r="KX12">
        <v>0</v>
      </c>
      <c r="KY12">
        <v>1</v>
      </c>
      <c r="KZ12">
        <v>0</v>
      </c>
      <c r="LA12">
        <v>0</v>
      </c>
      <c r="LB12">
        <v>0</v>
      </c>
      <c r="LC12">
        <v>0</v>
      </c>
      <c r="LD12">
        <v>0</v>
      </c>
      <c r="LE12">
        <v>0</v>
      </c>
      <c r="LF12">
        <v>0</v>
      </c>
      <c r="LG12">
        <v>0</v>
      </c>
      <c r="LH12">
        <v>0</v>
      </c>
      <c r="LI12">
        <v>0</v>
      </c>
      <c r="LJ12">
        <v>0</v>
      </c>
      <c r="LK12">
        <v>0</v>
      </c>
      <c r="LN12" t="s">
        <v>393</v>
      </c>
      <c r="LO12" t="s">
        <v>394</v>
      </c>
      <c r="LP12" t="s">
        <v>395</v>
      </c>
      <c r="LQ12">
        <v>0.41949999999999998</v>
      </c>
      <c r="LR12">
        <v>16.8277</v>
      </c>
      <c r="LS12">
        <v>11.898999999999999</v>
      </c>
      <c r="LT12">
        <v>1609</v>
      </c>
      <c r="LU12">
        <v>675</v>
      </c>
      <c r="LV12">
        <v>92.4756</v>
      </c>
      <c r="LW12">
        <v>0.87039999999999995</v>
      </c>
      <c r="LX12">
        <v>0.51529999999999998</v>
      </c>
      <c r="LY12">
        <v>0.51529999999999998</v>
      </c>
      <c r="LZ12">
        <v>0.51529999999999998</v>
      </c>
      <c r="MA12">
        <v>0</v>
      </c>
      <c r="MB12">
        <v>824</v>
      </c>
      <c r="MC12">
        <v>1</v>
      </c>
      <c r="MD12" t="s">
        <v>396</v>
      </c>
      <c r="ME12" t="s">
        <v>397</v>
      </c>
    </row>
    <row r="13" spans="1:343" ht="16.95" customHeight="1" x14ac:dyDescent="0.3">
      <c r="A13" t="s">
        <v>681</v>
      </c>
      <c r="B13" t="s">
        <v>682</v>
      </c>
      <c r="C13" t="s">
        <v>345</v>
      </c>
      <c r="D13" t="s">
        <v>346</v>
      </c>
      <c r="E13" t="s">
        <v>347</v>
      </c>
      <c r="F13" t="s">
        <v>683</v>
      </c>
      <c r="G13" t="s">
        <v>684</v>
      </c>
      <c r="H13" t="s">
        <v>685</v>
      </c>
      <c r="I13" t="s">
        <v>351</v>
      </c>
      <c r="J13">
        <v>3812</v>
      </c>
      <c r="K13">
        <v>1200</v>
      </c>
      <c r="L13">
        <v>0.31480000000000002</v>
      </c>
      <c r="M13">
        <v>324</v>
      </c>
      <c r="N13">
        <v>3</v>
      </c>
      <c r="O13">
        <v>1</v>
      </c>
      <c r="P13">
        <v>11.8</v>
      </c>
      <c r="Q13">
        <v>108</v>
      </c>
      <c r="R13">
        <v>15.3</v>
      </c>
      <c r="S13">
        <v>10.6</v>
      </c>
      <c r="T13">
        <v>4.9000000000000004</v>
      </c>
      <c r="U13">
        <v>3.5</v>
      </c>
      <c r="V13">
        <v>7.5</v>
      </c>
      <c r="W13">
        <v>17</v>
      </c>
      <c r="X13">
        <v>3.3</v>
      </c>
      <c r="Y13">
        <v>20</v>
      </c>
      <c r="Z13">
        <v>4</v>
      </c>
      <c r="AA13">
        <v>5</v>
      </c>
      <c r="AB13" t="s">
        <v>352</v>
      </c>
      <c r="AC13" t="b">
        <v>0</v>
      </c>
      <c r="AD13" t="s">
        <v>353</v>
      </c>
      <c r="AE13">
        <v>0.43219999999999997</v>
      </c>
      <c r="AF13" t="s">
        <v>354</v>
      </c>
      <c r="AG13">
        <v>0.33160000000000001</v>
      </c>
      <c r="AH13">
        <v>3.3300000000000003E-2</v>
      </c>
      <c r="AI13">
        <v>0.64610000000000001</v>
      </c>
      <c r="AJ13" t="s">
        <v>355</v>
      </c>
      <c r="AK13">
        <v>3.57</v>
      </c>
      <c r="AL13">
        <v>9</v>
      </c>
      <c r="AM13" t="s">
        <v>354</v>
      </c>
      <c r="AN13">
        <v>0</v>
      </c>
      <c r="AO13">
        <v>0</v>
      </c>
      <c r="AP13">
        <v>5</v>
      </c>
      <c r="AQ13">
        <v>1.31</v>
      </c>
      <c r="AR13">
        <v>5</v>
      </c>
      <c r="AS13">
        <v>0</v>
      </c>
      <c r="AT13" t="s">
        <v>357</v>
      </c>
      <c r="AU13">
        <v>17</v>
      </c>
      <c r="AV13">
        <v>55</v>
      </c>
      <c r="AW13" t="s">
        <v>354</v>
      </c>
      <c r="AX13">
        <v>19</v>
      </c>
      <c r="AY13">
        <v>4.9800000000000004</v>
      </c>
      <c r="AZ13">
        <v>0</v>
      </c>
      <c r="BA13">
        <v>16</v>
      </c>
      <c r="BB13">
        <v>2</v>
      </c>
      <c r="BC13">
        <v>1</v>
      </c>
      <c r="BD13">
        <v>0</v>
      </c>
      <c r="BE13">
        <v>18</v>
      </c>
      <c r="BF13">
        <v>0</v>
      </c>
      <c r="BG13">
        <v>18</v>
      </c>
      <c r="BH13">
        <v>0</v>
      </c>
      <c r="BI13">
        <v>0.02</v>
      </c>
      <c r="BJ13" t="b">
        <v>0</v>
      </c>
      <c r="BK13" t="b">
        <v>0</v>
      </c>
      <c r="BL13">
        <v>3</v>
      </c>
      <c r="BM13">
        <v>3</v>
      </c>
      <c r="BN13">
        <v>2</v>
      </c>
      <c r="BO13">
        <v>1</v>
      </c>
      <c r="BP13">
        <v>0</v>
      </c>
      <c r="BQ13">
        <v>1</v>
      </c>
      <c r="BR13">
        <v>0</v>
      </c>
      <c r="BS13">
        <v>3812</v>
      </c>
      <c r="BT13">
        <v>1200</v>
      </c>
      <c r="BU13">
        <v>0.31480000000000002</v>
      </c>
      <c r="BV13">
        <v>3</v>
      </c>
      <c r="BW13">
        <v>1</v>
      </c>
      <c r="BX13">
        <v>1270.7</v>
      </c>
      <c r="BZ13" t="s">
        <v>686</v>
      </c>
      <c r="CA13" t="s">
        <v>687</v>
      </c>
      <c r="CB13" t="s">
        <v>688</v>
      </c>
      <c r="CC13" t="s">
        <v>689</v>
      </c>
      <c r="CD13">
        <v>0</v>
      </c>
      <c r="CE13">
        <v>0</v>
      </c>
      <c r="CF13">
        <v>0</v>
      </c>
      <c r="CG13">
        <v>0</v>
      </c>
      <c r="CH13">
        <v>0</v>
      </c>
      <c r="CJ13">
        <v>1</v>
      </c>
      <c r="CK13">
        <v>0.26</v>
      </c>
      <c r="CL13" t="s">
        <v>407</v>
      </c>
      <c r="CM13">
        <v>1</v>
      </c>
      <c r="CN13">
        <v>0</v>
      </c>
      <c r="CO13" t="b">
        <v>0</v>
      </c>
      <c r="CP13" t="b">
        <v>0</v>
      </c>
      <c r="CQ13" t="b">
        <v>1</v>
      </c>
      <c r="CR13" t="b">
        <v>1</v>
      </c>
      <c r="CS13" t="b">
        <v>0</v>
      </c>
      <c r="CT13" t="b">
        <v>0</v>
      </c>
      <c r="CU13" t="b">
        <v>0</v>
      </c>
      <c r="CV13">
        <v>0</v>
      </c>
      <c r="CW13">
        <v>0</v>
      </c>
      <c r="CX13">
        <v>0</v>
      </c>
      <c r="CY13">
        <v>0</v>
      </c>
      <c r="CZ13">
        <v>0</v>
      </c>
      <c r="DA13">
        <v>5</v>
      </c>
      <c r="DB13">
        <v>1.31</v>
      </c>
      <c r="DC13">
        <v>5</v>
      </c>
      <c r="DD13">
        <v>0</v>
      </c>
      <c r="DE13">
        <v>0</v>
      </c>
      <c r="DF13">
        <v>6</v>
      </c>
      <c r="DG13">
        <v>1.57</v>
      </c>
      <c r="DH13">
        <v>16</v>
      </c>
      <c r="DI13">
        <v>4.2</v>
      </c>
      <c r="DJ13">
        <v>0.38</v>
      </c>
      <c r="DK13">
        <v>1</v>
      </c>
      <c r="DL13">
        <v>2</v>
      </c>
      <c r="DM13">
        <v>17</v>
      </c>
      <c r="DN13">
        <v>1</v>
      </c>
      <c r="DO13">
        <v>91</v>
      </c>
      <c r="DP13">
        <v>2</v>
      </c>
      <c r="DQ13">
        <v>0.52</v>
      </c>
      <c r="DR13" t="s">
        <v>690</v>
      </c>
      <c r="DS13" t="s">
        <v>691</v>
      </c>
      <c r="DT13" t="s">
        <v>692</v>
      </c>
      <c r="DU13" t="s">
        <v>411</v>
      </c>
      <c r="DV13" t="s">
        <v>693</v>
      </c>
      <c r="DW13">
        <v>1.43</v>
      </c>
      <c r="DX13">
        <v>0</v>
      </c>
      <c r="DY13">
        <v>2</v>
      </c>
      <c r="DZ13">
        <v>5</v>
      </c>
      <c r="EA13">
        <v>1.5</v>
      </c>
      <c r="EB13">
        <v>9.93</v>
      </c>
      <c r="EC13" t="s">
        <v>369</v>
      </c>
      <c r="ED13" t="s">
        <v>413</v>
      </c>
      <c r="EE13">
        <v>0.93</v>
      </c>
      <c r="EF13" t="s">
        <v>414</v>
      </c>
      <c r="EG13">
        <v>0.16</v>
      </c>
      <c r="EH13">
        <v>0.34</v>
      </c>
      <c r="EI13">
        <v>0.46200000000000002</v>
      </c>
      <c r="EJ13" t="s">
        <v>370</v>
      </c>
      <c r="EK13">
        <v>1.84</v>
      </c>
      <c r="EL13" t="s">
        <v>371</v>
      </c>
      <c r="EM13" t="s">
        <v>694</v>
      </c>
      <c r="EN13">
        <v>1</v>
      </c>
      <c r="EO13" t="s">
        <v>417</v>
      </c>
      <c r="EP13">
        <v>0</v>
      </c>
      <c r="EQ13">
        <v>0</v>
      </c>
      <c r="ER13">
        <v>15.7</v>
      </c>
      <c r="ES13" t="s">
        <v>587</v>
      </c>
      <c r="ET13">
        <v>1.22</v>
      </c>
      <c r="EU13">
        <v>0.96</v>
      </c>
      <c r="EV13">
        <v>1.4</v>
      </c>
      <c r="EW13">
        <v>1.49</v>
      </c>
      <c r="EX13">
        <v>2.27</v>
      </c>
      <c r="EY13">
        <v>0.17</v>
      </c>
      <c r="EZ13">
        <v>0.26</v>
      </c>
      <c r="FA13">
        <v>0.09</v>
      </c>
      <c r="FB13">
        <v>0.61</v>
      </c>
      <c r="FC13">
        <v>1.49</v>
      </c>
      <c r="FD13" t="s">
        <v>375</v>
      </c>
      <c r="FE13">
        <v>321</v>
      </c>
      <c r="FF13" t="s">
        <v>695</v>
      </c>
      <c r="FG13" t="s">
        <v>696</v>
      </c>
      <c r="FH13" t="s">
        <v>697</v>
      </c>
      <c r="FI13" t="s">
        <v>698</v>
      </c>
      <c r="FJ13" t="s">
        <v>699</v>
      </c>
      <c r="FK13" t="s">
        <v>700</v>
      </c>
      <c r="FL13" t="s">
        <v>701</v>
      </c>
      <c r="FM13">
        <v>0</v>
      </c>
      <c r="FN13">
        <v>0.53290000000000004</v>
      </c>
      <c r="FO13">
        <v>0.77500000000000002</v>
      </c>
      <c r="FP13">
        <v>0.63460000000000005</v>
      </c>
      <c r="FQ13">
        <v>0.55489999999999995</v>
      </c>
      <c r="FR13">
        <v>0</v>
      </c>
      <c r="FS13">
        <v>1.83E-2</v>
      </c>
      <c r="FT13">
        <v>2</v>
      </c>
      <c r="FU13">
        <v>8.8000000000000005E-3</v>
      </c>
      <c r="FV13">
        <v>0.1384</v>
      </c>
      <c r="FW13">
        <v>4.2000000000000003E-2</v>
      </c>
      <c r="FX13">
        <v>3.3599999999999998E-2</v>
      </c>
      <c r="FY13">
        <v>0.32600000000000001</v>
      </c>
      <c r="FZ13">
        <v>3.7000000000000002E-3</v>
      </c>
      <c r="GA13">
        <v>328</v>
      </c>
      <c r="GB13">
        <v>1</v>
      </c>
      <c r="GC13">
        <v>1</v>
      </c>
      <c r="GD13">
        <v>154</v>
      </c>
      <c r="GE13">
        <v>0</v>
      </c>
      <c r="GF13">
        <v>46</v>
      </c>
      <c r="GG13">
        <v>1</v>
      </c>
      <c r="GH13">
        <v>3</v>
      </c>
      <c r="GI13">
        <v>2</v>
      </c>
      <c r="GJ13">
        <v>0</v>
      </c>
      <c r="GK13">
        <v>0.1008</v>
      </c>
      <c r="GL13">
        <v>0</v>
      </c>
      <c r="GM13">
        <v>6.7199999999999996E-2</v>
      </c>
      <c r="GN13">
        <v>3.3599999999999998E-2</v>
      </c>
      <c r="GO13">
        <v>0</v>
      </c>
      <c r="GP13">
        <v>0.43690000000000001</v>
      </c>
      <c r="GQ13">
        <v>3.3599999999999998E-2</v>
      </c>
      <c r="GR13">
        <v>0</v>
      </c>
      <c r="GS13">
        <v>3.3599999999999998E-2</v>
      </c>
      <c r="GT13">
        <v>0</v>
      </c>
      <c r="GU13">
        <v>0</v>
      </c>
      <c r="GV13">
        <v>3.3599999999999998E-2</v>
      </c>
      <c r="GW13">
        <v>0</v>
      </c>
      <c r="GX13">
        <v>0</v>
      </c>
      <c r="GY13">
        <v>0</v>
      </c>
      <c r="GZ13">
        <v>0</v>
      </c>
      <c r="HA13">
        <v>0</v>
      </c>
      <c r="HB13">
        <v>0</v>
      </c>
      <c r="HC13" t="s">
        <v>383</v>
      </c>
      <c r="HD13">
        <v>0</v>
      </c>
      <c r="HE13">
        <v>0</v>
      </c>
      <c r="HF13">
        <v>0</v>
      </c>
      <c r="HG13">
        <v>0</v>
      </c>
      <c r="HH13">
        <v>0</v>
      </c>
      <c r="HI13" t="s">
        <v>383</v>
      </c>
      <c r="HJ13">
        <v>0</v>
      </c>
      <c r="HK13">
        <v>0</v>
      </c>
      <c r="HL13">
        <v>0</v>
      </c>
      <c r="HM13">
        <v>0</v>
      </c>
      <c r="HN13">
        <v>0</v>
      </c>
      <c r="HO13" t="s">
        <v>383</v>
      </c>
      <c r="HP13">
        <v>0</v>
      </c>
      <c r="HQ13">
        <v>0</v>
      </c>
      <c r="HR13">
        <v>0</v>
      </c>
      <c r="HS13">
        <v>0</v>
      </c>
      <c r="HT13">
        <v>0</v>
      </c>
      <c r="HU13" t="s">
        <v>383</v>
      </c>
      <c r="HV13">
        <v>0</v>
      </c>
      <c r="HW13">
        <v>0</v>
      </c>
      <c r="HX13">
        <v>0</v>
      </c>
      <c r="HY13">
        <v>0</v>
      </c>
      <c r="HZ13">
        <v>0</v>
      </c>
      <c r="IA13" t="s">
        <v>384</v>
      </c>
      <c r="IB13">
        <v>0</v>
      </c>
      <c r="IC13">
        <v>0</v>
      </c>
      <c r="ID13">
        <v>0</v>
      </c>
      <c r="IE13">
        <v>0</v>
      </c>
      <c r="IF13">
        <v>0</v>
      </c>
      <c r="IG13" t="s">
        <v>384</v>
      </c>
      <c r="IH13">
        <v>0</v>
      </c>
      <c r="II13">
        <v>0</v>
      </c>
      <c r="IJ13">
        <v>0</v>
      </c>
      <c r="IK13">
        <v>0</v>
      </c>
      <c r="IL13">
        <v>0</v>
      </c>
      <c r="IM13" t="s">
        <v>384</v>
      </c>
      <c r="IN13">
        <v>0</v>
      </c>
      <c r="IO13">
        <v>0</v>
      </c>
      <c r="IP13">
        <v>0</v>
      </c>
      <c r="IQ13">
        <v>0</v>
      </c>
      <c r="IR13">
        <v>0</v>
      </c>
      <c r="IS13" t="s">
        <v>384</v>
      </c>
      <c r="IT13">
        <v>0</v>
      </c>
      <c r="IU13">
        <v>0</v>
      </c>
      <c r="IV13">
        <v>0</v>
      </c>
      <c r="IW13">
        <v>0</v>
      </c>
      <c r="IX13">
        <v>0</v>
      </c>
      <c r="IY13">
        <v>0</v>
      </c>
      <c r="IZ13">
        <v>0</v>
      </c>
      <c r="JA13">
        <v>0</v>
      </c>
      <c r="JD13" t="s">
        <v>453</v>
      </c>
      <c r="JE13" t="s">
        <v>484</v>
      </c>
      <c r="JF13" t="s">
        <v>702</v>
      </c>
      <c r="JG13" t="s">
        <v>703</v>
      </c>
      <c r="JH13" t="s">
        <v>704</v>
      </c>
      <c r="JI13" t="s">
        <v>705</v>
      </c>
      <c r="JJ13">
        <v>0.33329999999999999</v>
      </c>
      <c r="JK13">
        <v>0</v>
      </c>
      <c r="JL13" t="s">
        <v>391</v>
      </c>
      <c r="JM13">
        <v>0</v>
      </c>
      <c r="JN13">
        <v>0</v>
      </c>
      <c r="JO13">
        <v>0</v>
      </c>
      <c r="JP13">
        <v>0</v>
      </c>
      <c r="JQ13">
        <v>0</v>
      </c>
      <c r="JR13">
        <v>0</v>
      </c>
      <c r="JS13">
        <v>0</v>
      </c>
      <c r="JT13">
        <v>0</v>
      </c>
      <c r="JU13">
        <v>0</v>
      </c>
      <c r="JV13">
        <v>0</v>
      </c>
      <c r="JX13" t="s">
        <v>392</v>
      </c>
      <c r="JY13">
        <v>0</v>
      </c>
      <c r="JZ13">
        <v>0</v>
      </c>
      <c r="KA13">
        <v>1</v>
      </c>
      <c r="KB13">
        <v>0</v>
      </c>
      <c r="KC13">
        <v>0</v>
      </c>
      <c r="KD13">
        <v>1</v>
      </c>
      <c r="KE13">
        <v>0</v>
      </c>
      <c r="KF13">
        <v>0</v>
      </c>
      <c r="KG13">
        <v>1</v>
      </c>
      <c r="KH13">
        <v>0</v>
      </c>
      <c r="KI13">
        <v>0</v>
      </c>
      <c r="KJ13">
        <v>1</v>
      </c>
      <c r="KK13">
        <v>0</v>
      </c>
      <c r="KL13">
        <v>0</v>
      </c>
      <c r="KM13">
        <v>1</v>
      </c>
      <c r="KN13">
        <v>0</v>
      </c>
      <c r="KO13">
        <v>0</v>
      </c>
      <c r="KP13">
        <v>1</v>
      </c>
      <c r="KQ13">
        <v>0</v>
      </c>
      <c r="KR13">
        <v>0</v>
      </c>
      <c r="KS13">
        <v>1</v>
      </c>
      <c r="KT13">
        <v>0</v>
      </c>
      <c r="KU13">
        <v>0</v>
      </c>
      <c r="KV13">
        <v>1</v>
      </c>
      <c r="KW13">
        <v>0</v>
      </c>
      <c r="KX13">
        <v>0</v>
      </c>
      <c r="KY13">
        <v>1</v>
      </c>
      <c r="KZ13">
        <v>0</v>
      </c>
      <c r="LA13">
        <v>0</v>
      </c>
      <c r="LB13">
        <v>0</v>
      </c>
      <c r="LC13">
        <v>0</v>
      </c>
      <c r="LD13">
        <v>0</v>
      </c>
      <c r="LE13">
        <v>0</v>
      </c>
      <c r="LF13">
        <v>0</v>
      </c>
      <c r="LG13">
        <v>0</v>
      </c>
      <c r="LH13">
        <v>0</v>
      </c>
      <c r="LI13">
        <v>0</v>
      </c>
      <c r="LJ13">
        <v>0</v>
      </c>
      <c r="LK13">
        <v>0</v>
      </c>
      <c r="LN13" t="s">
        <v>393</v>
      </c>
      <c r="LO13" t="s">
        <v>394</v>
      </c>
      <c r="LP13" t="s">
        <v>395</v>
      </c>
      <c r="LQ13">
        <v>0.29520000000000002</v>
      </c>
      <c r="LR13">
        <v>18.223600000000001</v>
      </c>
      <c r="LS13">
        <v>12.885999999999999</v>
      </c>
      <c r="LT13">
        <v>3811</v>
      </c>
      <c r="LU13">
        <v>1125</v>
      </c>
      <c r="LV13">
        <v>88.686700000000002</v>
      </c>
      <c r="LW13">
        <v>0.87450000000000006</v>
      </c>
      <c r="LX13">
        <v>0.44590000000000002</v>
      </c>
      <c r="LY13">
        <v>0.44590000000000002</v>
      </c>
      <c r="LZ13">
        <v>0.44590000000000002</v>
      </c>
      <c r="MA13">
        <v>0</v>
      </c>
      <c r="MB13">
        <v>1640</v>
      </c>
      <c r="MC13">
        <v>1</v>
      </c>
      <c r="MD13" t="s">
        <v>396</v>
      </c>
      <c r="ME13" t="s">
        <v>458</v>
      </c>
    </row>
    <row r="14" spans="1:343" ht="16.95" customHeight="1" x14ac:dyDescent="0.3">
      <c r="A14" t="s">
        <v>706</v>
      </c>
      <c r="B14" t="s">
        <v>707</v>
      </c>
      <c r="C14" t="s">
        <v>345</v>
      </c>
      <c r="D14" t="s">
        <v>346</v>
      </c>
      <c r="E14" t="s">
        <v>347</v>
      </c>
      <c r="F14" t="s">
        <v>708</v>
      </c>
      <c r="G14" t="s">
        <v>709</v>
      </c>
      <c r="H14" t="s">
        <v>710</v>
      </c>
      <c r="I14" t="s">
        <v>351</v>
      </c>
      <c r="J14">
        <v>2144</v>
      </c>
      <c r="K14">
        <v>890</v>
      </c>
      <c r="L14">
        <v>0.41510000000000002</v>
      </c>
      <c r="M14">
        <v>129</v>
      </c>
      <c r="N14">
        <v>3</v>
      </c>
      <c r="O14">
        <v>1</v>
      </c>
      <c r="P14">
        <v>16.600000000000001</v>
      </c>
      <c r="Q14">
        <v>43</v>
      </c>
      <c r="R14">
        <v>21.3</v>
      </c>
      <c r="S14">
        <v>7.7</v>
      </c>
      <c r="T14">
        <v>10.5</v>
      </c>
      <c r="U14">
        <v>2.9</v>
      </c>
      <c r="V14">
        <v>8.1999999999999993</v>
      </c>
      <c r="W14">
        <v>11</v>
      </c>
      <c r="X14">
        <v>5.5</v>
      </c>
      <c r="Y14">
        <v>14</v>
      </c>
      <c r="Z14">
        <v>1</v>
      </c>
      <c r="AA14">
        <v>14</v>
      </c>
      <c r="AB14" t="s">
        <v>493</v>
      </c>
      <c r="AC14" t="b">
        <v>0</v>
      </c>
      <c r="AD14" t="s">
        <v>353</v>
      </c>
      <c r="AE14">
        <v>0.43099999999999999</v>
      </c>
      <c r="AF14" t="s">
        <v>354</v>
      </c>
      <c r="AG14">
        <v>0.27989999999999998</v>
      </c>
      <c r="AH14">
        <v>3.2199999999999999E-2</v>
      </c>
      <c r="AI14">
        <v>0.69689999999999996</v>
      </c>
      <c r="AJ14" t="s">
        <v>355</v>
      </c>
      <c r="AK14">
        <v>5.2</v>
      </c>
      <c r="AL14">
        <v>11</v>
      </c>
      <c r="AM14" t="s">
        <v>356</v>
      </c>
      <c r="AN14">
        <v>2</v>
      </c>
      <c r="AO14">
        <v>0.93</v>
      </c>
      <c r="AP14">
        <v>12</v>
      </c>
      <c r="AQ14">
        <v>5.6</v>
      </c>
      <c r="AR14">
        <v>6</v>
      </c>
      <c r="AS14">
        <v>0</v>
      </c>
      <c r="AT14" t="s">
        <v>357</v>
      </c>
      <c r="AU14">
        <v>22.5</v>
      </c>
      <c r="AV14">
        <v>29</v>
      </c>
      <c r="AW14" t="s">
        <v>354</v>
      </c>
      <c r="AX14">
        <v>18</v>
      </c>
      <c r="AY14">
        <v>8.4</v>
      </c>
      <c r="AZ14">
        <v>0</v>
      </c>
      <c r="BA14">
        <v>18</v>
      </c>
      <c r="BB14">
        <v>0</v>
      </c>
      <c r="BC14">
        <v>0</v>
      </c>
      <c r="BD14">
        <v>0</v>
      </c>
      <c r="BE14">
        <v>18</v>
      </c>
      <c r="BF14">
        <v>0</v>
      </c>
      <c r="BG14">
        <v>18</v>
      </c>
      <c r="BH14">
        <v>0</v>
      </c>
      <c r="BI14">
        <v>0</v>
      </c>
      <c r="BJ14" t="b">
        <v>0</v>
      </c>
      <c r="BK14" t="b">
        <v>0</v>
      </c>
      <c r="BL14">
        <v>3</v>
      </c>
      <c r="BM14">
        <v>3</v>
      </c>
      <c r="BN14">
        <v>2</v>
      </c>
      <c r="BO14">
        <v>1</v>
      </c>
      <c r="BP14">
        <v>0</v>
      </c>
      <c r="BQ14">
        <v>1</v>
      </c>
      <c r="BR14">
        <v>0</v>
      </c>
      <c r="BS14">
        <v>2144</v>
      </c>
      <c r="BT14">
        <v>890</v>
      </c>
      <c r="BU14">
        <v>0.41510000000000002</v>
      </c>
      <c r="BV14">
        <v>3</v>
      </c>
      <c r="BW14">
        <v>1</v>
      </c>
      <c r="BX14">
        <v>714.7</v>
      </c>
      <c r="BZ14" t="s">
        <v>711</v>
      </c>
      <c r="CA14" t="s">
        <v>712</v>
      </c>
      <c r="CB14" t="s">
        <v>713</v>
      </c>
      <c r="CC14" t="s">
        <v>714</v>
      </c>
      <c r="CD14">
        <v>0</v>
      </c>
      <c r="CE14">
        <v>0</v>
      </c>
      <c r="CF14">
        <v>0</v>
      </c>
      <c r="CG14">
        <v>0</v>
      </c>
      <c r="CH14">
        <v>1</v>
      </c>
      <c r="CI14" t="s">
        <v>362</v>
      </c>
      <c r="CJ14">
        <v>4</v>
      </c>
      <c r="CK14">
        <v>1.86</v>
      </c>
      <c r="CL14" t="s">
        <v>363</v>
      </c>
      <c r="CM14">
        <v>1</v>
      </c>
      <c r="CN14">
        <v>0</v>
      </c>
      <c r="CO14" t="b">
        <v>0</v>
      </c>
      <c r="CP14" t="b">
        <v>0</v>
      </c>
      <c r="CQ14" t="b">
        <v>1</v>
      </c>
      <c r="CR14" t="b">
        <v>1</v>
      </c>
      <c r="CS14" t="b">
        <v>1</v>
      </c>
      <c r="CT14" t="b">
        <v>0</v>
      </c>
      <c r="CU14" t="b">
        <v>0</v>
      </c>
      <c r="CV14">
        <v>0</v>
      </c>
      <c r="CW14">
        <v>0</v>
      </c>
      <c r="CX14">
        <v>0</v>
      </c>
      <c r="CY14">
        <v>1</v>
      </c>
      <c r="CZ14">
        <v>0.47</v>
      </c>
      <c r="DA14">
        <v>14</v>
      </c>
      <c r="DB14">
        <v>6.53</v>
      </c>
      <c r="DC14">
        <v>14</v>
      </c>
      <c r="DD14">
        <v>0</v>
      </c>
      <c r="DE14">
        <v>0</v>
      </c>
      <c r="DF14">
        <v>8</v>
      </c>
      <c r="DG14">
        <v>3.73</v>
      </c>
      <c r="DH14">
        <v>10</v>
      </c>
      <c r="DI14">
        <v>4.66</v>
      </c>
      <c r="DJ14">
        <v>0.8</v>
      </c>
      <c r="DK14">
        <v>1</v>
      </c>
      <c r="DL14">
        <v>0</v>
      </c>
      <c r="DM14">
        <v>0</v>
      </c>
      <c r="DN14">
        <v>0</v>
      </c>
      <c r="DO14">
        <v>176</v>
      </c>
      <c r="DP14">
        <v>2</v>
      </c>
      <c r="DQ14">
        <v>0.93</v>
      </c>
      <c r="DR14" t="s">
        <v>715</v>
      </c>
      <c r="DS14" t="s">
        <v>716</v>
      </c>
      <c r="DT14" t="s">
        <v>717</v>
      </c>
      <c r="DU14" t="s">
        <v>717</v>
      </c>
      <c r="DV14" t="s">
        <v>718</v>
      </c>
      <c r="DW14">
        <v>2.14</v>
      </c>
      <c r="DX14">
        <v>0</v>
      </c>
      <c r="DY14">
        <v>2.17</v>
      </c>
      <c r="DZ14">
        <v>5</v>
      </c>
      <c r="EA14">
        <v>0.5</v>
      </c>
      <c r="EB14">
        <v>9.81</v>
      </c>
      <c r="EC14" t="s">
        <v>369</v>
      </c>
      <c r="ED14" t="s">
        <v>369</v>
      </c>
      <c r="EE14">
        <v>4.59</v>
      </c>
      <c r="EF14" t="s">
        <v>354</v>
      </c>
      <c r="EG14">
        <v>0.23</v>
      </c>
      <c r="EH14">
        <v>1.59</v>
      </c>
      <c r="EI14">
        <v>0.14699999999999999</v>
      </c>
      <c r="EJ14" t="s">
        <v>370</v>
      </c>
      <c r="EK14">
        <v>0.93</v>
      </c>
      <c r="EL14" t="s">
        <v>472</v>
      </c>
      <c r="EM14" t="s">
        <v>719</v>
      </c>
      <c r="EN14">
        <v>1.44</v>
      </c>
      <c r="EO14" t="s">
        <v>474</v>
      </c>
      <c r="EP14">
        <v>0</v>
      </c>
      <c r="EQ14">
        <v>1</v>
      </c>
      <c r="ER14">
        <v>46</v>
      </c>
      <c r="ES14" t="s">
        <v>374</v>
      </c>
      <c r="ET14">
        <v>0.31</v>
      </c>
      <c r="EU14">
        <v>2.8</v>
      </c>
      <c r="EV14">
        <v>1.55</v>
      </c>
      <c r="EW14">
        <v>1.86</v>
      </c>
      <c r="EX14">
        <v>1.86</v>
      </c>
      <c r="EY14">
        <v>0.47</v>
      </c>
      <c r="EZ14">
        <v>0.31</v>
      </c>
      <c r="FA14">
        <v>0.62</v>
      </c>
      <c r="FB14">
        <v>0.93</v>
      </c>
      <c r="FC14">
        <v>3.73</v>
      </c>
      <c r="FD14" t="s">
        <v>375</v>
      </c>
      <c r="FE14">
        <v>209</v>
      </c>
      <c r="FF14" t="s">
        <v>720</v>
      </c>
      <c r="FG14" t="s">
        <v>721</v>
      </c>
      <c r="FH14" t="s">
        <v>722</v>
      </c>
      <c r="FI14" t="s">
        <v>723</v>
      </c>
      <c r="FJ14" t="s">
        <v>724</v>
      </c>
      <c r="FK14" t="s">
        <v>725</v>
      </c>
      <c r="FL14" t="s">
        <v>726</v>
      </c>
      <c r="FM14">
        <v>0</v>
      </c>
      <c r="FN14">
        <v>0.55789999999999995</v>
      </c>
      <c r="FO14">
        <v>0.77500000000000002</v>
      </c>
      <c r="FP14">
        <v>0.64910000000000001</v>
      </c>
      <c r="FQ14">
        <v>0.60470000000000002</v>
      </c>
      <c r="FR14">
        <v>0</v>
      </c>
      <c r="FS14">
        <v>4.65E-2</v>
      </c>
      <c r="FT14">
        <v>0</v>
      </c>
      <c r="FU14">
        <v>1.34E-2</v>
      </c>
      <c r="FV14">
        <v>0.14729999999999999</v>
      </c>
      <c r="FW14">
        <v>0</v>
      </c>
      <c r="FX14">
        <v>2.0299999999999999E-2</v>
      </c>
      <c r="FY14">
        <v>0.26350000000000001</v>
      </c>
      <c r="FZ14">
        <v>0</v>
      </c>
      <c r="GA14">
        <v>129</v>
      </c>
      <c r="GB14">
        <v>1</v>
      </c>
      <c r="GC14">
        <v>1</v>
      </c>
      <c r="GD14">
        <v>80</v>
      </c>
      <c r="GE14">
        <v>0</v>
      </c>
      <c r="GF14">
        <v>20</v>
      </c>
      <c r="GG14">
        <v>2</v>
      </c>
      <c r="GH14">
        <v>2</v>
      </c>
      <c r="GI14">
        <v>0</v>
      </c>
      <c r="GJ14">
        <v>0</v>
      </c>
      <c r="GK14">
        <v>0</v>
      </c>
      <c r="GL14">
        <v>0</v>
      </c>
      <c r="GM14">
        <v>0</v>
      </c>
      <c r="GN14">
        <v>0</v>
      </c>
      <c r="GO14">
        <v>0</v>
      </c>
      <c r="GP14">
        <v>6.0900000000000003E-2</v>
      </c>
      <c r="GQ14">
        <v>0</v>
      </c>
      <c r="GR14">
        <v>0</v>
      </c>
      <c r="GS14">
        <v>6.0900000000000003E-2</v>
      </c>
      <c r="GT14">
        <v>0</v>
      </c>
      <c r="GU14">
        <v>0</v>
      </c>
      <c r="GV14">
        <v>0</v>
      </c>
      <c r="GW14">
        <v>0</v>
      </c>
      <c r="GX14">
        <v>0</v>
      </c>
      <c r="GY14">
        <v>0</v>
      </c>
      <c r="GZ14">
        <v>0</v>
      </c>
      <c r="HA14">
        <v>0</v>
      </c>
      <c r="HB14">
        <v>0</v>
      </c>
      <c r="HC14" t="s">
        <v>383</v>
      </c>
      <c r="HD14">
        <v>0</v>
      </c>
      <c r="HE14">
        <v>0</v>
      </c>
      <c r="HF14">
        <v>0</v>
      </c>
      <c r="HG14">
        <v>0</v>
      </c>
      <c r="HH14">
        <v>0</v>
      </c>
      <c r="HI14" t="s">
        <v>383</v>
      </c>
      <c r="HJ14">
        <v>0</v>
      </c>
      <c r="HK14">
        <v>0</v>
      </c>
      <c r="HL14">
        <v>0</v>
      </c>
      <c r="HM14">
        <v>0</v>
      </c>
      <c r="HN14">
        <v>0</v>
      </c>
      <c r="HO14" t="s">
        <v>383</v>
      </c>
      <c r="HP14">
        <v>0</v>
      </c>
      <c r="HQ14">
        <v>0</v>
      </c>
      <c r="HR14">
        <v>0</v>
      </c>
      <c r="HS14">
        <v>0</v>
      </c>
      <c r="HT14">
        <v>0</v>
      </c>
      <c r="HU14" t="s">
        <v>383</v>
      </c>
      <c r="HV14">
        <v>0</v>
      </c>
      <c r="HW14">
        <v>0</v>
      </c>
      <c r="HX14">
        <v>0</v>
      </c>
      <c r="HY14">
        <v>0</v>
      </c>
      <c r="HZ14">
        <v>0</v>
      </c>
      <c r="IA14" t="s">
        <v>384</v>
      </c>
      <c r="IB14">
        <v>0</v>
      </c>
      <c r="IC14">
        <v>0</v>
      </c>
      <c r="ID14">
        <v>0</v>
      </c>
      <c r="IE14">
        <v>0</v>
      </c>
      <c r="IF14">
        <v>0</v>
      </c>
      <c r="IG14" t="s">
        <v>384</v>
      </c>
      <c r="IH14">
        <v>0</v>
      </c>
      <c r="II14">
        <v>0</v>
      </c>
      <c r="IJ14">
        <v>0</v>
      </c>
      <c r="IK14">
        <v>0</v>
      </c>
      <c r="IL14">
        <v>0</v>
      </c>
      <c r="IM14" t="s">
        <v>384</v>
      </c>
      <c r="IN14">
        <v>0</v>
      </c>
      <c r="IO14">
        <v>0</v>
      </c>
      <c r="IP14">
        <v>0</v>
      </c>
      <c r="IQ14">
        <v>0</v>
      </c>
      <c r="IR14">
        <v>0</v>
      </c>
      <c r="IS14" t="s">
        <v>384</v>
      </c>
      <c r="IT14">
        <v>0</v>
      </c>
      <c r="IU14">
        <v>0</v>
      </c>
      <c r="IV14">
        <v>0</v>
      </c>
      <c r="IW14">
        <v>0</v>
      </c>
      <c r="IX14">
        <v>0</v>
      </c>
      <c r="IY14">
        <v>0</v>
      </c>
      <c r="IZ14">
        <v>0</v>
      </c>
      <c r="JA14">
        <v>0</v>
      </c>
      <c r="JD14" t="s">
        <v>483</v>
      </c>
      <c r="JE14" t="s">
        <v>484</v>
      </c>
      <c r="JF14" t="s">
        <v>727</v>
      </c>
      <c r="JG14" t="s">
        <v>728</v>
      </c>
      <c r="JH14" t="s">
        <v>729</v>
      </c>
      <c r="JI14" t="s">
        <v>730</v>
      </c>
      <c r="JJ14">
        <v>0.68330000000000002</v>
      </c>
      <c r="JK14">
        <v>0</v>
      </c>
      <c r="JL14" t="s">
        <v>391</v>
      </c>
      <c r="JM14">
        <v>0</v>
      </c>
      <c r="JN14">
        <v>0</v>
      </c>
      <c r="JO14">
        <v>0</v>
      </c>
      <c r="JP14">
        <v>0</v>
      </c>
      <c r="JQ14">
        <v>0</v>
      </c>
      <c r="JR14">
        <v>0</v>
      </c>
      <c r="JS14">
        <v>0</v>
      </c>
      <c r="JT14">
        <v>0</v>
      </c>
      <c r="JU14">
        <v>0</v>
      </c>
      <c r="JV14">
        <v>0</v>
      </c>
      <c r="JX14" t="s">
        <v>392</v>
      </c>
      <c r="JY14">
        <v>0</v>
      </c>
      <c r="JZ14">
        <v>0</v>
      </c>
      <c r="KA14">
        <v>1</v>
      </c>
      <c r="KB14">
        <v>0</v>
      </c>
      <c r="KC14">
        <v>0</v>
      </c>
      <c r="KD14">
        <v>1</v>
      </c>
      <c r="KE14">
        <v>0</v>
      </c>
      <c r="KF14">
        <v>0</v>
      </c>
      <c r="KG14">
        <v>1</v>
      </c>
      <c r="KH14">
        <v>0</v>
      </c>
      <c r="KI14">
        <v>0</v>
      </c>
      <c r="KJ14">
        <v>1</v>
      </c>
      <c r="KK14">
        <v>0</v>
      </c>
      <c r="KL14">
        <v>0</v>
      </c>
      <c r="KM14">
        <v>1</v>
      </c>
      <c r="KN14">
        <v>0</v>
      </c>
      <c r="KO14">
        <v>0</v>
      </c>
      <c r="KP14">
        <v>1</v>
      </c>
      <c r="KQ14">
        <v>0</v>
      </c>
      <c r="KR14">
        <v>0</v>
      </c>
      <c r="KS14">
        <v>1</v>
      </c>
      <c r="KT14">
        <v>0</v>
      </c>
      <c r="KU14">
        <v>0</v>
      </c>
      <c r="KV14">
        <v>1</v>
      </c>
      <c r="KW14">
        <v>0</v>
      </c>
      <c r="KX14">
        <v>0</v>
      </c>
      <c r="KY14">
        <v>1</v>
      </c>
      <c r="KZ14">
        <v>0</v>
      </c>
      <c r="LA14">
        <v>0</v>
      </c>
      <c r="LB14">
        <v>0</v>
      </c>
      <c r="LC14">
        <v>0</v>
      </c>
      <c r="LD14">
        <v>0</v>
      </c>
      <c r="LE14">
        <v>0</v>
      </c>
      <c r="LF14">
        <v>0</v>
      </c>
      <c r="LG14">
        <v>0</v>
      </c>
      <c r="LH14">
        <v>0</v>
      </c>
      <c r="LI14">
        <v>0</v>
      </c>
      <c r="LJ14">
        <v>0</v>
      </c>
      <c r="LK14">
        <v>0</v>
      </c>
      <c r="LN14" t="s">
        <v>393</v>
      </c>
      <c r="LO14" t="s">
        <v>394</v>
      </c>
      <c r="LP14" t="s">
        <v>395</v>
      </c>
      <c r="LQ14">
        <v>0.39090000000000003</v>
      </c>
      <c r="LR14">
        <v>17.848600000000001</v>
      </c>
      <c r="LS14">
        <v>12.620900000000001</v>
      </c>
      <c r="LT14">
        <v>2085</v>
      </c>
      <c r="LU14">
        <v>815</v>
      </c>
      <c r="LV14">
        <v>115.83329999999999</v>
      </c>
      <c r="LW14">
        <v>0.88019999999999998</v>
      </c>
      <c r="LX14">
        <v>0.50600000000000001</v>
      </c>
      <c r="LY14">
        <v>0.50600000000000001</v>
      </c>
      <c r="LZ14">
        <v>0.50600000000000001</v>
      </c>
      <c r="MA14">
        <v>0</v>
      </c>
      <c r="MB14">
        <v>1055</v>
      </c>
      <c r="MC14">
        <v>1</v>
      </c>
      <c r="MD14" t="s">
        <v>396</v>
      </c>
      <c r="ME14" t="s">
        <v>397</v>
      </c>
    </row>
    <row r="15" spans="1:343" ht="16.95" customHeight="1" x14ac:dyDescent="0.3">
      <c r="A15" t="s">
        <v>731</v>
      </c>
      <c r="B15" t="s">
        <v>732</v>
      </c>
      <c r="C15" t="s">
        <v>345</v>
      </c>
      <c r="D15" t="s">
        <v>346</v>
      </c>
      <c r="E15" t="s">
        <v>347</v>
      </c>
      <c r="F15" t="s">
        <v>733</v>
      </c>
      <c r="G15" t="s">
        <v>734</v>
      </c>
      <c r="H15" t="s">
        <v>735</v>
      </c>
      <c r="I15" t="s">
        <v>351</v>
      </c>
      <c r="J15">
        <v>1887</v>
      </c>
      <c r="K15">
        <v>704</v>
      </c>
      <c r="L15">
        <v>0.37309999999999999</v>
      </c>
      <c r="M15">
        <v>102</v>
      </c>
      <c r="N15">
        <v>3</v>
      </c>
      <c r="O15">
        <v>1</v>
      </c>
      <c r="P15">
        <v>18.5</v>
      </c>
      <c r="Q15">
        <v>34</v>
      </c>
      <c r="R15">
        <v>20.3</v>
      </c>
      <c r="S15">
        <v>7.4</v>
      </c>
      <c r="T15">
        <v>9.1999999999999993</v>
      </c>
      <c r="U15">
        <v>3</v>
      </c>
      <c r="V15">
        <v>9.9</v>
      </c>
      <c r="W15">
        <v>8</v>
      </c>
      <c r="X15">
        <v>4.9000000000000004</v>
      </c>
      <c r="Y15">
        <v>9</v>
      </c>
      <c r="Z15">
        <v>0</v>
      </c>
      <c r="AA15">
        <v>9</v>
      </c>
      <c r="AB15" t="s">
        <v>493</v>
      </c>
      <c r="AC15" t="b">
        <v>0</v>
      </c>
      <c r="AD15" t="s">
        <v>353</v>
      </c>
      <c r="AE15">
        <v>0.43430000000000002</v>
      </c>
      <c r="AF15" t="s">
        <v>354</v>
      </c>
      <c r="AG15">
        <v>0.31640000000000001</v>
      </c>
      <c r="AH15">
        <v>3.0200000000000001E-2</v>
      </c>
      <c r="AI15">
        <v>0.66300000000000003</v>
      </c>
      <c r="AJ15" t="s">
        <v>355</v>
      </c>
      <c r="AK15">
        <v>4.3</v>
      </c>
      <c r="AL15">
        <v>11</v>
      </c>
      <c r="AM15" t="s">
        <v>356</v>
      </c>
      <c r="AN15">
        <v>0</v>
      </c>
      <c r="AO15">
        <v>0</v>
      </c>
      <c r="AP15">
        <v>10</v>
      </c>
      <c r="AQ15">
        <v>5.3</v>
      </c>
      <c r="AR15">
        <v>10</v>
      </c>
      <c r="AS15">
        <v>0</v>
      </c>
      <c r="AT15" t="s">
        <v>357</v>
      </c>
      <c r="AU15">
        <v>24.5</v>
      </c>
      <c r="AV15">
        <v>25</v>
      </c>
      <c r="AW15" t="s">
        <v>354</v>
      </c>
      <c r="AX15">
        <v>8</v>
      </c>
      <c r="AY15">
        <v>4.24</v>
      </c>
      <c r="AZ15">
        <v>0</v>
      </c>
      <c r="BA15">
        <v>8</v>
      </c>
      <c r="BB15">
        <v>0</v>
      </c>
      <c r="BC15">
        <v>0</v>
      </c>
      <c r="BD15">
        <v>0</v>
      </c>
      <c r="BE15">
        <v>8</v>
      </c>
      <c r="BF15">
        <v>0</v>
      </c>
      <c r="BG15">
        <v>8</v>
      </c>
      <c r="BH15">
        <v>1</v>
      </c>
      <c r="BI15">
        <v>0</v>
      </c>
      <c r="BJ15" t="b">
        <v>0</v>
      </c>
      <c r="BK15" t="b">
        <v>0</v>
      </c>
      <c r="BL15">
        <v>3</v>
      </c>
      <c r="BM15">
        <v>3</v>
      </c>
      <c r="BN15">
        <v>2</v>
      </c>
      <c r="BO15">
        <v>1</v>
      </c>
      <c r="BP15">
        <v>0</v>
      </c>
      <c r="BQ15">
        <v>1</v>
      </c>
      <c r="BR15">
        <v>0</v>
      </c>
      <c r="BS15">
        <v>1887</v>
      </c>
      <c r="BT15">
        <v>704</v>
      </c>
      <c r="BU15">
        <v>0.37309999999999999</v>
      </c>
      <c r="BV15">
        <v>3</v>
      </c>
      <c r="BW15">
        <v>1</v>
      </c>
      <c r="BX15">
        <v>629</v>
      </c>
      <c r="BZ15" t="s">
        <v>736</v>
      </c>
      <c r="CA15" t="s">
        <v>737</v>
      </c>
      <c r="CB15" t="s">
        <v>738</v>
      </c>
      <c r="CC15" t="s">
        <v>739</v>
      </c>
      <c r="CD15">
        <v>0</v>
      </c>
      <c r="CE15">
        <v>0</v>
      </c>
      <c r="CF15">
        <v>0</v>
      </c>
      <c r="CG15">
        <v>0</v>
      </c>
      <c r="CH15">
        <v>1</v>
      </c>
      <c r="CI15" t="s">
        <v>740</v>
      </c>
      <c r="CJ15">
        <v>4</v>
      </c>
      <c r="CK15">
        <v>2.12</v>
      </c>
      <c r="CL15" t="s">
        <v>407</v>
      </c>
      <c r="CM15">
        <v>1</v>
      </c>
      <c r="CN15">
        <v>0</v>
      </c>
      <c r="CO15" t="b">
        <v>0</v>
      </c>
      <c r="CP15" t="b">
        <v>0</v>
      </c>
      <c r="CQ15" t="b">
        <v>1</v>
      </c>
      <c r="CR15" t="b">
        <v>1</v>
      </c>
      <c r="CS15" t="b">
        <v>0</v>
      </c>
      <c r="CT15" t="b">
        <v>0</v>
      </c>
      <c r="CU15" t="b">
        <v>0</v>
      </c>
      <c r="CV15">
        <v>0</v>
      </c>
      <c r="CW15">
        <v>0</v>
      </c>
      <c r="CX15">
        <v>0</v>
      </c>
      <c r="CY15">
        <v>0</v>
      </c>
      <c r="CZ15">
        <v>0</v>
      </c>
      <c r="DA15">
        <v>10</v>
      </c>
      <c r="DB15">
        <v>5.3</v>
      </c>
      <c r="DC15">
        <v>10</v>
      </c>
      <c r="DD15">
        <v>0</v>
      </c>
      <c r="DE15">
        <v>0</v>
      </c>
      <c r="DF15">
        <v>2</v>
      </c>
      <c r="DG15">
        <v>1.06</v>
      </c>
      <c r="DH15">
        <v>7</v>
      </c>
      <c r="DI15">
        <v>3.71</v>
      </c>
      <c r="DJ15">
        <v>0.28999999999999998</v>
      </c>
      <c r="DK15">
        <v>0</v>
      </c>
      <c r="DL15">
        <v>0</v>
      </c>
      <c r="DM15">
        <v>1</v>
      </c>
      <c r="DN15">
        <v>0</v>
      </c>
      <c r="DO15">
        <v>98</v>
      </c>
      <c r="DP15">
        <v>6</v>
      </c>
      <c r="DQ15">
        <v>3.18</v>
      </c>
      <c r="DR15" t="s">
        <v>741</v>
      </c>
      <c r="DS15" t="s">
        <v>742</v>
      </c>
      <c r="DT15" t="s">
        <v>743</v>
      </c>
      <c r="DU15" t="s">
        <v>742</v>
      </c>
      <c r="DV15" t="s">
        <v>744</v>
      </c>
      <c r="DW15">
        <v>1.43</v>
      </c>
      <c r="DX15">
        <v>0</v>
      </c>
      <c r="DY15">
        <v>2</v>
      </c>
      <c r="DZ15">
        <v>5</v>
      </c>
      <c r="EA15">
        <v>0</v>
      </c>
      <c r="EB15">
        <v>8.43</v>
      </c>
      <c r="EC15" t="s">
        <v>369</v>
      </c>
      <c r="ED15" t="s">
        <v>369</v>
      </c>
      <c r="EE15">
        <v>2.91</v>
      </c>
      <c r="EF15" t="s">
        <v>414</v>
      </c>
      <c r="EG15">
        <v>0</v>
      </c>
      <c r="EH15">
        <v>1.48</v>
      </c>
      <c r="EI15">
        <v>0</v>
      </c>
      <c r="EJ15" t="s">
        <v>370</v>
      </c>
      <c r="EK15">
        <v>0.95</v>
      </c>
      <c r="EL15" t="s">
        <v>472</v>
      </c>
      <c r="EM15" t="s">
        <v>745</v>
      </c>
      <c r="EN15">
        <v>1.25</v>
      </c>
      <c r="EO15" t="s">
        <v>641</v>
      </c>
      <c r="EP15">
        <v>0</v>
      </c>
      <c r="EQ15">
        <v>1</v>
      </c>
      <c r="ER15">
        <v>37.5</v>
      </c>
      <c r="ES15" t="s">
        <v>418</v>
      </c>
      <c r="ET15">
        <v>0.88</v>
      </c>
      <c r="EU15">
        <v>2.82</v>
      </c>
      <c r="EV15">
        <v>1.41</v>
      </c>
      <c r="EW15">
        <v>1.77</v>
      </c>
      <c r="EX15">
        <v>1.24</v>
      </c>
      <c r="EY15">
        <v>0</v>
      </c>
      <c r="EZ15">
        <v>0.71</v>
      </c>
      <c r="FA15">
        <v>0.88</v>
      </c>
      <c r="FB15">
        <v>1.24</v>
      </c>
      <c r="FC15">
        <v>1.59</v>
      </c>
      <c r="FD15" t="s">
        <v>375</v>
      </c>
      <c r="FE15">
        <v>181</v>
      </c>
      <c r="FF15" t="s">
        <v>746</v>
      </c>
      <c r="FG15" t="s">
        <v>747</v>
      </c>
      <c r="FH15" t="s">
        <v>748</v>
      </c>
      <c r="FI15" t="s">
        <v>749</v>
      </c>
      <c r="FJ15" t="s">
        <v>750</v>
      </c>
      <c r="FK15" t="s">
        <v>751</v>
      </c>
      <c r="FL15" t="s">
        <v>752</v>
      </c>
      <c r="FM15">
        <v>0</v>
      </c>
      <c r="FN15">
        <v>0.57389999999999997</v>
      </c>
      <c r="FO15">
        <v>0.77500000000000002</v>
      </c>
      <c r="FP15">
        <v>0.6583</v>
      </c>
      <c r="FQ15">
        <v>0.60189999999999999</v>
      </c>
      <c r="FR15">
        <v>0</v>
      </c>
      <c r="FS15">
        <v>1.9400000000000001E-2</v>
      </c>
      <c r="FT15">
        <v>1</v>
      </c>
      <c r="FU15">
        <v>7.0000000000000001E-3</v>
      </c>
      <c r="FV15">
        <v>0.1573</v>
      </c>
      <c r="FW15">
        <v>8.6999999999999994E-2</v>
      </c>
      <c r="FX15">
        <v>0</v>
      </c>
      <c r="FY15">
        <v>0.28870000000000001</v>
      </c>
      <c r="FZ15">
        <v>0</v>
      </c>
      <c r="GA15">
        <v>103</v>
      </c>
      <c r="GB15">
        <v>1</v>
      </c>
      <c r="GC15">
        <v>1</v>
      </c>
      <c r="GD15">
        <v>69</v>
      </c>
      <c r="GE15">
        <v>1</v>
      </c>
      <c r="GF15">
        <v>18</v>
      </c>
      <c r="GG15">
        <v>0</v>
      </c>
      <c r="GH15">
        <v>1</v>
      </c>
      <c r="GI15">
        <v>1</v>
      </c>
      <c r="GJ15">
        <v>0</v>
      </c>
      <c r="GK15">
        <v>0</v>
      </c>
      <c r="GL15">
        <v>0</v>
      </c>
      <c r="GM15">
        <v>0.27839999999999998</v>
      </c>
      <c r="GN15">
        <v>0</v>
      </c>
      <c r="GO15">
        <v>6.9599999999999995E-2</v>
      </c>
      <c r="GP15">
        <v>0</v>
      </c>
      <c r="GQ15">
        <v>0</v>
      </c>
      <c r="GR15">
        <v>0</v>
      </c>
      <c r="GS15">
        <v>0</v>
      </c>
      <c r="GT15">
        <v>0</v>
      </c>
      <c r="GU15">
        <v>0</v>
      </c>
      <c r="GV15">
        <v>0</v>
      </c>
      <c r="GW15">
        <v>0</v>
      </c>
      <c r="GX15">
        <v>0</v>
      </c>
      <c r="GY15">
        <v>0</v>
      </c>
      <c r="GZ15">
        <v>0</v>
      </c>
      <c r="HA15">
        <v>0</v>
      </c>
      <c r="HB15">
        <v>0</v>
      </c>
      <c r="HC15" t="s">
        <v>383</v>
      </c>
      <c r="HD15">
        <v>0</v>
      </c>
      <c r="HE15">
        <v>0</v>
      </c>
      <c r="HF15">
        <v>0</v>
      </c>
      <c r="HG15">
        <v>0</v>
      </c>
      <c r="HH15">
        <v>0</v>
      </c>
      <c r="HI15" t="s">
        <v>383</v>
      </c>
      <c r="HJ15">
        <v>0</v>
      </c>
      <c r="HK15">
        <v>0</v>
      </c>
      <c r="HL15">
        <v>0</v>
      </c>
      <c r="HM15">
        <v>0</v>
      </c>
      <c r="HN15">
        <v>0</v>
      </c>
      <c r="HO15" t="s">
        <v>383</v>
      </c>
      <c r="HP15">
        <v>0</v>
      </c>
      <c r="HQ15">
        <v>0</v>
      </c>
      <c r="HR15">
        <v>0</v>
      </c>
      <c r="HS15">
        <v>0</v>
      </c>
      <c r="HT15">
        <v>0</v>
      </c>
      <c r="HU15" t="s">
        <v>383</v>
      </c>
      <c r="HV15">
        <v>0</v>
      </c>
      <c r="HW15">
        <v>0</v>
      </c>
      <c r="HX15">
        <v>0</v>
      </c>
      <c r="HY15">
        <v>0</v>
      </c>
      <c r="HZ15">
        <v>0</v>
      </c>
      <c r="IA15" t="s">
        <v>384</v>
      </c>
      <c r="IB15">
        <v>0</v>
      </c>
      <c r="IC15">
        <v>0</v>
      </c>
      <c r="ID15">
        <v>0</v>
      </c>
      <c r="IE15">
        <v>0</v>
      </c>
      <c r="IF15">
        <v>0</v>
      </c>
      <c r="IG15" t="s">
        <v>384</v>
      </c>
      <c r="IH15">
        <v>0</v>
      </c>
      <c r="II15">
        <v>0</v>
      </c>
      <c r="IJ15">
        <v>0</v>
      </c>
      <c r="IK15">
        <v>0</v>
      </c>
      <c r="IL15">
        <v>0</v>
      </c>
      <c r="IM15" t="s">
        <v>384</v>
      </c>
      <c r="IN15">
        <v>0</v>
      </c>
      <c r="IO15">
        <v>0</v>
      </c>
      <c r="IP15">
        <v>0</v>
      </c>
      <c r="IQ15">
        <v>0</v>
      </c>
      <c r="IR15">
        <v>0</v>
      </c>
      <c r="IS15" t="s">
        <v>384</v>
      </c>
      <c r="IT15">
        <v>0</v>
      </c>
      <c r="IU15">
        <v>0</v>
      </c>
      <c r="IV15">
        <v>0</v>
      </c>
      <c r="IW15">
        <v>0</v>
      </c>
      <c r="IX15">
        <v>0</v>
      </c>
      <c r="IY15">
        <v>0</v>
      </c>
      <c r="IZ15">
        <v>0</v>
      </c>
      <c r="JA15">
        <v>0</v>
      </c>
      <c r="JD15" t="s">
        <v>483</v>
      </c>
      <c r="JE15" t="s">
        <v>753</v>
      </c>
      <c r="JF15" t="s">
        <v>754</v>
      </c>
      <c r="JG15" t="s">
        <v>755</v>
      </c>
      <c r="JH15" t="s">
        <v>756</v>
      </c>
      <c r="JI15" t="s">
        <v>757</v>
      </c>
      <c r="JJ15">
        <v>0.38329999999999997</v>
      </c>
      <c r="JK15">
        <v>0</v>
      </c>
      <c r="JL15" t="s">
        <v>391</v>
      </c>
      <c r="JM15">
        <v>0</v>
      </c>
      <c r="JN15">
        <v>0</v>
      </c>
      <c r="JO15">
        <v>0</v>
      </c>
      <c r="JP15">
        <v>0</v>
      </c>
      <c r="JQ15">
        <v>0</v>
      </c>
      <c r="JR15">
        <v>0</v>
      </c>
      <c r="JS15">
        <v>0</v>
      </c>
      <c r="JT15">
        <v>0</v>
      </c>
      <c r="JU15">
        <v>0</v>
      </c>
      <c r="JV15">
        <v>0</v>
      </c>
      <c r="JX15" t="s">
        <v>392</v>
      </c>
      <c r="JY15">
        <v>0</v>
      </c>
      <c r="JZ15">
        <v>0</v>
      </c>
      <c r="KA15">
        <v>1</v>
      </c>
      <c r="KB15">
        <v>0</v>
      </c>
      <c r="KC15">
        <v>0</v>
      </c>
      <c r="KD15">
        <v>1</v>
      </c>
      <c r="KE15">
        <v>0</v>
      </c>
      <c r="KF15">
        <v>0</v>
      </c>
      <c r="KG15">
        <v>1</v>
      </c>
      <c r="KH15">
        <v>0</v>
      </c>
      <c r="KI15">
        <v>0</v>
      </c>
      <c r="KJ15">
        <v>1</v>
      </c>
      <c r="KK15">
        <v>0</v>
      </c>
      <c r="KL15">
        <v>0</v>
      </c>
      <c r="KM15">
        <v>1</v>
      </c>
      <c r="KN15">
        <v>0</v>
      </c>
      <c r="KO15">
        <v>0</v>
      </c>
      <c r="KP15">
        <v>1</v>
      </c>
      <c r="KQ15">
        <v>0</v>
      </c>
      <c r="KR15">
        <v>0</v>
      </c>
      <c r="KS15">
        <v>1</v>
      </c>
      <c r="KT15">
        <v>0</v>
      </c>
      <c r="KU15">
        <v>0</v>
      </c>
      <c r="KV15">
        <v>1</v>
      </c>
      <c r="KW15">
        <v>0</v>
      </c>
      <c r="KX15">
        <v>0</v>
      </c>
      <c r="KY15">
        <v>1</v>
      </c>
      <c r="KZ15">
        <v>0</v>
      </c>
      <c r="LA15">
        <v>0</v>
      </c>
      <c r="LB15">
        <v>0</v>
      </c>
      <c r="LC15">
        <v>0</v>
      </c>
      <c r="LD15">
        <v>0</v>
      </c>
      <c r="LE15">
        <v>0</v>
      </c>
      <c r="LF15">
        <v>0</v>
      </c>
      <c r="LG15">
        <v>0</v>
      </c>
      <c r="LH15">
        <v>0</v>
      </c>
      <c r="LI15">
        <v>0</v>
      </c>
      <c r="LJ15">
        <v>0</v>
      </c>
      <c r="LK15">
        <v>0</v>
      </c>
      <c r="LN15" t="s">
        <v>393</v>
      </c>
      <c r="LO15" t="s">
        <v>394</v>
      </c>
      <c r="LP15" t="s">
        <v>395</v>
      </c>
      <c r="LQ15">
        <v>0.3805</v>
      </c>
      <c r="LR15">
        <v>16.0261</v>
      </c>
      <c r="LS15">
        <v>11.332100000000001</v>
      </c>
      <c r="LT15">
        <v>1774</v>
      </c>
      <c r="LU15">
        <v>675</v>
      </c>
      <c r="LV15">
        <v>88.703400000000002</v>
      </c>
      <c r="LW15">
        <v>0.86729999999999996</v>
      </c>
      <c r="LX15">
        <v>0.46700000000000003</v>
      </c>
      <c r="LY15">
        <v>0.46700000000000003</v>
      </c>
      <c r="LZ15">
        <v>0.46700000000000003</v>
      </c>
      <c r="MA15">
        <v>0</v>
      </c>
      <c r="MB15">
        <v>827</v>
      </c>
      <c r="MC15">
        <v>1</v>
      </c>
      <c r="MD15" t="s">
        <v>396</v>
      </c>
      <c r="ME15" t="s">
        <v>397</v>
      </c>
    </row>
    <row r="16" spans="1:343" ht="16.95" customHeight="1" x14ac:dyDescent="0.3">
      <c r="A16" t="s">
        <v>758</v>
      </c>
      <c r="B16" t="s">
        <v>759</v>
      </c>
      <c r="C16" t="s">
        <v>345</v>
      </c>
      <c r="D16" t="s">
        <v>346</v>
      </c>
      <c r="E16" t="s">
        <v>347</v>
      </c>
      <c r="F16" t="s">
        <v>760</v>
      </c>
      <c r="G16" t="s">
        <v>761</v>
      </c>
      <c r="H16" t="s">
        <v>762</v>
      </c>
      <c r="I16" t="s">
        <v>351</v>
      </c>
      <c r="J16">
        <v>983</v>
      </c>
      <c r="K16">
        <v>523</v>
      </c>
      <c r="L16">
        <v>0.53200000000000003</v>
      </c>
      <c r="M16">
        <v>74</v>
      </c>
      <c r="N16">
        <v>3</v>
      </c>
      <c r="O16">
        <v>1</v>
      </c>
      <c r="P16">
        <v>13.3</v>
      </c>
      <c r="Q16">
        <v>24.7</v>
      </c>
      <c r="R16">
        <v>21.7</v>
      </c>
      <c r="S16">
        <v>10</v>
      </c>
      <c r="T16">
        <v>8.5</v>
      </c>
      <c r="U16">
        <v>3.7</v>
      </c>
      <c r="V16">
        <v>4.8</v>
      </c>
      <c r="W16">
        <v>3</v>
      </c>
      <c r="X16">
        <v>2.4</v>
      </c>
      <c r="Y16">
        <v>6</v>
      </c>
      <c r="Z16">
        <v>0</v>
      </c>
      <c r="AA16">
        <v>6</v>
      </c>
      <c r="AB16" t="s">
        <v>493</v>
      </c>
      <c r="AC16" t="b">
        <v>0</v>
      </c>
      <c r="AD16" t="s">
        <v>353</v>
      </c>
      <c r="AE16">
        <v>0.48149999999999998</v>
      </c>
      <c r="AF16" t="s">
        <v>354</v>
      </c>
      <c r="AG16">
        <v>0.17599999999999999</v>
      </c>
      <c r="AH16">
        <v>3.1600000000000003E-2</v>
      </c>
      <c r="AI16">
        <v>0.79800000000000004</v>
      </c>
      <c r="AJ16" t="s">
        <v>355</v>
      </c>
      <c r="AK16">
        <v>3.93</v>
      </c>
      <c r="AL16">
        <v>10</v>
      </c>
      <c r="AM16" t="s">
        <v>354</v>
      </c>
      <c r="AN16">
        <v>0</v>
      </c>
      <c r="AO16">
        <v>0</v>
      </c>
      <c r="AP16">
        <v>5</v>
      </c>
      <c r="AQ16">
        <v>5.09</v>
      </c>
      <c r="AR16">
        <v>5</v>
      </c>
      <c r="AS16">
        <v>0</v>
      </c>
      <c r="AT16" t="s">
        <v>357</v>
      </c>
      <c r="AU16">
        <v>16.2</v>
      </c>
      <c r="AV16">
        <v>12</v>
      </c>
      <c r="AW16" t="s">
        <v>354</v>
      </c>
      <c r="AX16">
        <v>9</v>
      </c>
      <c r="AY16">
        <v>9.16</v>
      </c>
      <c r="AZ16">
        <v>0</v>
      </c>
      <c r="BA16">
        <v>9</v>
      </c>
      <c r="BB16">
        <v>0</v>
      </c>
      <c r="BC16">
        <v>0</v>
      </c>
      <c r="BD16">
        <v>0</v>
      </c>
      <c r="BE16">
        <v>9</v>
      </c>
      <c r="BF16">
        <v>0</v>
      </c>
      <c r="BG16">
        <v>9</v>
      </c>
      <c r="BH16">
        <v>0</v>
      </c>
      <c r="BI16">
        <v>0</v>
      </c>
      <c r="BJ16" t="b">
        <v>0</v>
      </c>
      <c r="BK16" t="b">
        <v>0</v>
      </c>
      <c r="BL16">
        <v>3</v>
      </c>
      <c r="BM16">
        <v>3</v>
      </c>
      <c r="BN16">
        <v>2</v>
      </c>
      <c r="BO16">
        <v>1</v>
      </c>
      <c r="BP16">
        <v>0</v>
      </c>
      <c r="BQ16">
        <v>1</v>
      </c>
      <c r="BR16">
        <v>0</v>
      </c>
      <c r="BS16">
        <v>983</v>
      </c>
      <c r="BT16">
        <v>523</v>
      </c>
      <c r="BU16">
        <v>0.53200000000000003</v>
      </c>
      <c r="BV16">
        <v>3</v>
      </c>
      <c r="BW16">
        <v>1</v>
      </c>
      <c r="BX16">
        <v>327.7</v>
      </c>
      <c r="BZ16" t="s">
        <v>763</v>
      </c>
      <c r="CA16" t="s">
        <v>764</v>
      </c>
      <c r="CB16" t="s">
        <v>765</v>
      </c>
      <c r="CC16" t="s">
        <v>766</v>
      </c>
      <c r="CD16">
        <v>0</v>
      </c>
      <c r="CE16">
        <v>0</v>
      </c>
      <c r="CF16">
        <v>0</v>
      </c>
      <c r="CG16">
        <v>0</v>
      </c>
      <c r="CH16">
        <v>0</v>
      </c>
      <c r="CJ16">
        <v>1</v>
      </c>
      <c r="CK16">
        <v>1.02</v>
      </c>
      <c r="CL16" t="s">
        <v>440</v>
      </c>
      <c r="CM16">
        <v>1</v>
      </c>
      <c r="CN16">
        <v>0</v>
      </c>
      <c r="CO16" t="b">
        <v>0</v>
      </c>
      <c r="CP16" t="b">
        <v>0</v>
      </c>
      <c r="CQ16" t="b">
        <v>1</v>
      </c>
      <c r="CR16" t="b">
        <v>0</v>
      </c>
      <c r="CS16" t="b">
        <v>0</v>
      </c>
      <c r="CT16" t="b">
        <v>0</v>
      </c>
      <c r="CU16" t="b">
        <v>0</v>
      </c>
      <c r="CV16">
        <v>0</v>
      </c>
      <c r="CW16">
        <v>0</v>
      </c>
      <c r="CX16">
        <v>0</v>
      </c>
      <c r="CY16">
        <v>1</v>
      </c>
      <c r="CZ16">
        <v>1.02</v>
      </c>
      <c r="DA16">
        <v>5</v>
      </c>
      <c r="DB16">
        <v>5.08</v>
      </c>
      <c r="DC16">
        <v>5</v>
      </c>
      <c r="DD16">
        <v>0</v>
      </c>
      <c r="DE16">
        <v>0</v>
      </c>
      <c r="DF16">
        <v>4</v>
      </c>
      <c r="DG16">
        <v>4.07</v>
      </c>
      <c r="DH16">
        <v>1</v>
      </c>
      <c r="DI16">
        <v>1.02</v>
      </c>
      <c r="DJ16">
        <v>4</v>
      </c>
      <c r="DK16">
        <v>0</v>
      </c>
      <c r="DL16">
        <v>0</v>
      </c>
      <c r="DM16">
        <v>2</v>
      </c>
      <c r="DN16">
        <v>0</v>
      </c>
      <c r="DO16">
        <v>104</v>
      </c>
      <c r="DP16">
        <v>7</v>
      </c>
      <c r="DQ16">
        <v>7.11</v>
      </c>
      <c r="DR16" t="s">
        <v>767</v>
      </c>
      <c r="DS16" t="s">
        <v>768</v>
      </c>
      <c r="DT16" t="s">
        <v>769</v>
      </c>
      <c r="DU16" t="s">
        <v>365</v>
      </c>
      <c r="DV16" t="s">
        <v>770</v>
      </c>
      <c r="DW16">
        <v>0.71</v>
      </c>
      <c r="DX16">
        <v>0</v>
      </c>
      <c r="DY16">
        <v>2.17</v>
      </c>
      <c r="DZ16">
        <v>5</v>
      </c>
      <c r="EA16">
        <v>0</v>
      </c>
      <c r="EB16">
        <v>7.88</v>
      </c>
      <c r="EC16" t="s">
        <v>369</v>
      </c>
      <c r="ED16" t="s">
        <v>413</v>
      </c>
      <c r="EE16">
        <v>8.0299999999999994</v>
      </c>
      <c r="EF16" t="s">
        <v>356</v>
      </c>
      <c r="EG16">
        <v>0.1</v>
      </c>
      <c r="EH16">
        <v>1.83</v>
      </c>
      <c r="EI16">
        <v>5.6000000000000001E-2</v>
      </c>
      <c r="EJ16" t="s">
        <v>370</v>
      </c>
      <c r="EK16">
        <v>1.02</v>
      </c>
      <c r="EL16" t="s">
        <v>393</v>
      </c>
      <c r="EM16" t="s">
        <v>771</v>
      </c>
      <c r="EN16">
        <v>2.57</v>
      </c>
      <c r="EO16" t="s">
        <v>474</v>
      </c>
      <c r="EP16">
        <v>0</v>
      </c>
      <c r="EQ16">
        <v>0</v>
      </c>
      <c r="ER16">
        <v>55.1</v>
      </c>
      <c r="ES16" t="s">
        <v>374</v>
      </c>
      <c r="ET16">
        <v>1.69</v>
      </c>
      <c r="EU16">
        <v>4.4000000000000004</v>
      </c>
      <c r="EV16">
        <v>2.71</v>
      </c>
      <c r="EW16">
        <v>3.39</v>
      </c>
      <c r="EX16">
        <v>0.68</v>
      </c>
      <c r="EY16">
        <v>1.02</v>
      </c>
      <c r="EZ16">
        <v>1.02</v>
      </c>
      <c r="FA16">
        <v>1.69</v>
      </c>
      <c r="FB16">
        <v>4.4000000000000004</v>
      </c>
      <c r="FC16">
        <v>4.74</v>
      </c>
      <c r="FD16" t="s">
        <v>375</v>
      </c>
      <c r="FE16">
        <v>95</v>
      </c>
      <c r="FF16" t="s">
        <v>772</v>
      </c>
      <c r="FG16" t="s">
        <v>773</v>
      </c>
      <c r="FH16" t="s">
        <v>774</v>
      </c>
      <c r="FI16" t="s">
        <v>775</v>
      </c>
      <c r="FJ16" t="s">
        <v>776</v>
      </c>
      <c r="FK16" t="s">
        <v>777</v>
      </c>
      <c r="FL16" t="s">
        <v>778</v>
      </c>
      <c r="FM16">
        <v>0</v>
      </c>
      <c r="FN16">
        <v>0.48309999999999997</v>
      </c>
      <c r="FO16">
        <v>0.77500000000000002</v>
      </c>
      <c r="FP16">
        <v>0.60570000000000002</v>
      </c>
      <c r="FQ16">
        <v>0.43240000000000001</v>
      </c>
      <c r="FR16">
        <v>1.35E-2</v>
      </c>
      <c r="FS16">
        <v>4.0500000000000001E-2</v>
      </c>
      <c r="FT16">
        <v>0</v>
      </c>
      <c r="FU16">
        <v>6.7999999999999996E-3</v>
      </c>
      <c r="FV16">
        <v>6.2199999999999998E-2</v>
      </c>
      <c r="FW16">
        <v>3.3700000000000001E-2</v>
      </c>
      <c r="FX16">
        <v>0</v>
      </c>
      <c r="FY16">
        <v>0.27989999999999998</v>
      </c>
      <c r="FZ16">
        <v>0</v>
      </c>
      <c r="GA16">
        <v>74</v>
      </c>
      <c r="GB16">
        <v>1</v>
      </c>
      <c r="GC16">
        <v>1</v>
      </c>
      <c r="GD16">
        <v>19</v>
      </c>
      <c r="GE16">
        <v>2</v>
      </c>
      <c r="GF16">
        <v>4</v>
      </c>
      <c r="GG16">
        <v>0</v>
      </c>
      <c r="GH16">
        <v>1</v>
      </c>
      <c r="GI16">
        <v>0</v>
      </c>
      <c r="GJ16">
        <v>1</v>
      </c>
      <c r="GK16">
        <v>0.13469999999999999</v>
      </c>
      <c r="GL16">
        <v>0</v>
      </c>
      <c r="GM16">
        <v>0</v>
      </c>
      <c r="GN16">
        <v>0</v>
      </c>
      <c r="GO16">
        <v>0</v>
      </c>
      <c r="GP16">
        <v>0.13469999999999999</v>
      </c>
      <c r="GQ16">
        <v>0</v>
      </c>
      <c r="GR16">
        <v>0</v>
      </c>
      <c r="GS16">
        <v>0</v>
      </c>
      <c r="GT16">
        <v>0</v>
      </c>
      <c r="GU16">
        <v>0</v>
      </c>
      <c r="GV16">
        <v>0</v>
      </c>
      <c r="GW16">
        <v>0</v>
      </c>
      <c r="GX16">
        <v>0</v>
      </c>
      <c r="GY16">
        <v>0</v>
      </c>
      <c r="GZ16">
        <v>0</v>
      </c>
      <c r="HA16">
        <v>0</v>
      </c>
      <c r="HB16">
        <v>0</v>
      </c>
      <c r="HC16" t="s">
        <v>383</v>
      </c>
      <c r="HD16">
        <v>0</v>
      </c>
      <c r="HE16">
        <v>0</v>
      </c>
      <c r="HF16">
        <v>0</v>
      </c>
      <c r="HG16">
        <v>0</v>
      </c>
      <c r="HH16">
        <v>0</v>
      </c>
      <c r="HI16" t="s">
        <v>383</v>
      </c>
      <c r="HJ16">
        <v>0</v>
      </c>
      <c r="HK16">
        <v>0</v>
      </c>
      <c r="HL16">
        <v>0</v>
      </c>
      <c r="HM16">
        <v>0</v>
      </c>
      <c r="HN16">
        <v>0</v>
      </c>
      <c r="HO16" t="s">
        <v>383</v>
      </c>
      <c r="HP16">
        <v>0</v>
      </c>
      <c r="HQ16">
        <v>0</v>
      </c>
      <c r="HR16">
        <v>0</v>
      </c>
      <c r="HS16">
        <v>0</v>
      </c>
      <c r="HT16">
        <v>0</v>
      </c>
      <c r="HU16" t="s">
        <v>383</v>
      </c>
      <c r="HV16">
        <v>0</v>
      </c>
      <c r="HW16">
        <v>0</v>
      </c>
      <c r="HX16">
        <v>0</v>
      </c>
      <c r="HY16">
        <v>0</v>
      </c>
      <c r="HZ16">
        <v>0</v>
      </c>
      <c r="IA16" t="s">
        <v>384</v>
      </c>
      <c r="IB16">
        <v>0</v>
      </c>
      <c r="IC16">
        <v>0</v>
      </c>
      <c r="ID16">
        <v>0</v>
      </c>
      <c r="IE16">
        <v>0</v>
      </c>
      <c r="IF16">
        <v>0</v>
      </c>
      <c r="IG16" t="s">
        <v>384</v>
      </c>
      <c r="IH16">
        <v>0</v>
      </c>
      <c r="II16">
        <v>0</v>
      </c>
      <c r="IJ16">
        <v>0</v>
      </c>
      <c r="IK16">
        <v>0</v>
      </c>
      <c r="IL16">
        <v>0</v>
      </c>
      <c r="IM16" t="s">
        <v>384</v>
      </c>
      <c r="IN16">
        <v>0</v>
      </c>
      <c r="IO16">
        <v>0</v>
      </c>
      <c r="IP16">
        <v>0</v>
      </c>
      <c r="IQ16">
        <v>0</v>
      </c>
      <c r="IR16">
        <v>0</v>
      </c>
      <c r="IS16" t="s">
        <v>384</v>
      </c>
      <c r="IT16">
        <v>0</v>
      </c>
      <c r="IU16">
        <v>0</v>
      </c>
      <c r="IV16">
        <v>0</v>
      </c>
      <c r="IW16">
        <v>0</v>
      </c>
      <c r="IX16">
        <v>0</v>
      </c>
      <c r="IY16">
        <v>0</v>
      </c>
      <c r="IZ16">
        <v>0</v>
      </c>
      <c r="JA16">
        <v>0</v>
      </c>
      <c r="JD16" t="s">
        <v>483</v>
      </c>
      <c r="JE16" t="s">
        <v>779</v>
      </c>
      <c r="JF16" t="s">
        <v>780</v>
      </c>
      <c r="JG16" t="s">
        <v>781</v>
      </c>
      <c r="JH16" t="s">
        <v>782</v>
      </c>
      <c r="JI16" t="s">
        <v>783</v>
      </c>
      <c r="JJ16">
        <v>0.48330000000000001</v>
      </c>
      <c r="JK16">
        <v>0</v>
      </c>
      <c r="JL16" t="s">
        <v>391</v>
      </c>
      <c r="JM16">
        <v>0</v>
      </c>
      <c r="JN16">
        <v>0</v>
      </c>
      <c r="JO16">
        <v>0</v>
      </c>
      <c r="JP16">
        <v>0</v>
      </c>
      <c r="JQ16">
        <v>0</v>
      </c>
      <c r="JR16">
        <v>0</v>
      </c>
      <c r="JS16">
        <v>0</v>
      </c>
      <c r="JT16">
        <v>0</v>
      </c>
      <c r="JU16">
        <v>0</v>
      </c>
      <c r="JV16">
        <v>0</v>
      </c>
      <c r="JX16" t="s">
        <v>392</v>
      </c>
      <c r="JY16">
        <v>0</v>
      </c>
      <c r="JZ16">
        <v>0</v>
      </c>
      <c r="KA16">
        <v>1</v>
      </c>
      <c r="KB16">
        <v>0</v>
      </c>
      <c r="KC16">
        <v>0</v>
      </c>
      <c r="KD16">
        <v>1</v>
      </c>
      <c r="KE16">
        <v>0</v>
      </c>
      <c r="KF16">
        <v>0</v>
      </c>
      <c r="KG16">
        <v>1</v>
      </c>
      <c r="KH16">
        <v>0</v>
      </c>
      <c r="KI16">
        <v>0</v>
      </c>
      <c r="KJ16">
        <v>1</v>
      </c>
      <c r="KK16">
        <v>0</v>
      </c>
      <c r="KL16">
        <v>0</v>
      </c>
      <c r="KM16">
        <v>1</v>
      </c>
      <c r="KN16">
        <v>0</v>
      </c>
      <c r="KO16">
        <v>0</v>
      </c>
      <c r="KP16">
        <v>1</v>
      </c>
      <c r="KQ16">
        <v>0</v>
      </c>
      <c r="KR16">
        <v>0</v>
      </c>
      <c r="KS16">
        <v>1</v>
      </c>
      <c r="KT16">
        <v>0</v>
      </c>
      <c r="KU16">
        <v>0</v>
      </c>
      <c r="KV16">
        <v>1</v>
      </c>
      <c r="KW16">
        <v>0</v>
      </c>
      <c r="KX16">
        <v>0</v>
      </c>
      <c r="KY16">
        <v>1</v>
      </c>
      <c r="KZ16">
        <v>0</v>
      </c>
      <c r="LA16">
        <v>0</v>
      </c>
      <c r="LB16">
        <v>0</v>
      </c>
      <c r="LC16">
        <v>0</v>
      </c>
      <c r="LD16">
        <v>0</v>
      </c>
      <c r="LE16">
        <v>0</v>
      </c>
      <c r="LF16">
        <v>0</v>
      </c>
      <c r="LG16">
        <v>0</v>
      </c>
      <c r="LH16">
        <v>0</v>
      </c>
      <c r="LI16">
        <v>0</v>
      </c>
      <c r="LJ16">
        <v>0</v>
      </c>
      <c r="LK16">
        <v>0</v>
      </c>
      <c r="LN16" t="s">
        <v>393</v>
      </c>
      <c r="LO16" t="s">
        <v>394</v>
      </c>
      <c r="LP16" t="s">
        <v>395</v>
      </c>
      <c r="LQ16">
        <v>0.54239999999999999</v>
      </c>
      <c r="LR16">
        <v>16.2361</v>
      </c>
      <c r="LS16">
        <v>11.480700000000001</v>
      </c>
      <c r="LT16">
        <v>896</v>
      </c>
      <c r="LU16">
        <v>486</v>
      </c>
      <c r="LV16">
        <v>139.0127</v>
      </c>
      <c r="LW16">
        <v>0.91169999999999995</v>
      </c>
      <c r="LX16">
        <v>0.61040000000000005</v>
      </c>
      <c r="LY16">
        <v>0.61040000000000005</v>
      </c>
      <c r="LZ16">
        <v>0.61040000000000005</v>
      </c>
      <c r="MA16">
        <v>0</v>
      </c>
      <c r="MB16">
        <v>542</v>
      </c>
      <c r="MC16">
        <v>1</v>
      </c>
      <c r="MD16" t="s">
        <v>396</v>
      </c>
      <c r="ME16" t="s">
        <v>517</v>
      </c>
    </row>
    <row r="17" spans="1:343" ht="16.95" customHeight="1" x14ac:dyDescent="0.3">
      <c r="A17" t="s">
        <v>784</v>
      </c>
      <c r="B17" t="s">
        <v>785</v>
      </c>
      <c r="C17" t="s">
        <v>345</v>
      </c>
      <c r="D17" t="s">
        <v>346</v>
      </c>
      <c r="E17" t="s">
        <v>347</v>
      </c>
      <c r="F17" t="s">
        <v>786</v>
      </c>
      <c r="G17" t="s">
        <v>787</v>
      </c>
      <c r="H17" t="s">
        <v>788</v>
      </c>
      <c r="I17" t="s">
        <v>351</v>
      </c>
      <c r="J17">
        <v>3532</v>
      </c>
      <c r="K17">
        <v>1057</v>
      </c>
      <c r="L17">
        <v>0.29930000000000001</v>
      </c>
      <c r="M17">
        <v>313</v>
      </c>
      <c r="N17">
        <v>3</v>
      </c>
      <c r="O17">
        <v>1</v>
      </c>
      <c r="P17">
        <v>11.3</v>
      </c>
      <c r="Q17">
        <v>104.3</v>
      </c>
      <c r="R17">
        <v>14.9</v>
      </c>
      <c r="S17">
        <v>11.4</v>
      </c>
      <c r="T17">
        <v>5.0999999999999996</v>
      </c>
      <c r="U17">
        <v>4</v>
      </c>
      <c r="V17">
        <v>6.7</v>
      </c>
      <c r="W17">
        <v>17</v>
      </c>
      <c r="X17">
        <v>3.3</v>
      </c>
      <c r="Y17">
        <v>19</v>
      </c>
      <c r="Z17">
        <v>3</v>
      </c>
      <c r="AA17">
        <v>6.33</v>
      </c>
      <c r="AB17" t="s">
        <v>352</v>
      </c>
      <c r="AC17" t="b">
        <v>0</v>
      </c>
      <c r="AD17" t="s">
        <v>353</v>
      </c>
      <c r="AE17">
        <v>0.4244</v>
      </c>
      <c r="AF17" t="s">
        <v>354</v>
      </c>
      <c r="AG17">
        <v>0.31509999999999999</v>
      </c>
      <c r="AH17">
        <v>3.3099999999999997E-2</v>
      </c>
      <c r="AI17">
        <v>0.66220000000000001</v>
      </c>
      <c r="AJ17" t="s">
        <v>355</v>
      </c>
      <c r="AK17">
        <v>4.03</v>
      </c>
      <c r="AL17">
        <v>8</v>
      </c>
      <c r="AM17" t="s">
        <v>356</v>
      </c>
      <c r="AN17">
        <v>0</v>
      </c>
      <c r="AO17">
        <v>0</v>
      </c>
      <c r="AP17">
        <v>4</v>
      </c>
      <c r="AQ17">
        <v>1.1299999999999999</v>
      </c>
      <c r="AR17">
        <v>4</v>
      </c>
      <c r="AS17">
        <v>0</v>
      </c>
      <c r="AT17" t="s">
        <v>357</v>
      </c>
      <c r="AU17">
        <v>22.4</v>
      </c>
      <c r="AV17">
        <v>70</v>
      </c>
      <c r="AW17" t="s">
        <v>354</v>
      </c>
      <c r="AX17">
        <v>18</v>
      </c>
      <c r="AY17">
        <v>5.0999999999999996</v>
      </c>
      <c r="AZ17">
        <v>0</v>
      </c>
      <c r="BA17">
        <v>18</v>
      </c>
      <c r="BB17">
        <v>0</v>
      </c>
      <c r="BC17">
        <v>0</v>
      </c>
      <c r="BD17">
        <v>0</v>
      </c>
      <c r="BE17">
        <v>18</v>
      </c>
      <c r="BF17">
        <v>0</v>
      </c>
      <c r="BG17">
        <v>18</v>
      </c>
      <c r="BH17">
        <v>0</v>
      </c>
      <c r="BI17">
        <v>0</v>
      </c>
      <c r="BJ17" t="b">
        <v>0</v>
      </c>
      <c r="BK17" t="b">
        <v>0</v>
      </c>
      <c r="BL17">
        <v>3</v>
      </c>
      <c r="BM17">
        <v>3</v>
      </c>
      <c r="BN17">
        <v>2</v>
      </c>
      <c r="BO17">
        <v>1</v>
      </c>
      <c r="BP17">
        <v>0</v>
      </c>
      <c r="BQ17">
        <v>1</v>
      </c>
      <c r="BR17">
        <v>0</v>
      </c>
      <c r="BS17">
        <v>3532</v>
      </c>
      <c r="BT17">
        <v>1057</v>
      </c>
      <c r="BU17">
        <v>0.29930000000000001</v>
      </c>
      <c r="BV17">
        <v>3</v>
      </c>
      <c r="BW17">
        <v>1</v>
      </c>
      <c r="BX17">
        <v>1177.3</v>
      </c>
      <c r="BZ17" t="s">
        <v>789</v>
      </c>
      <c r="CA17" t="s">
        <v>790</v>
      </c>
      <c r="CB17" t="s">
        <v>791</v>
      </c>
      <c r="CC17" t="s">
        <v>792</v>
      </c>
      <c r="CD17">
        <v>0</v>
      </c>
      <c r="CE17">
        <v>0</v>
      </c>
      <c r="CF17">
        <v>0</v>
      </c>
      <c r="CG17">
        <v>0</v>
      </c>
      <c r="CH17">
        <v>1</v>
      </c>
      <c r="CI17" t="s">
        <v>362</v>
      </c>
      <c r="CJ17">
        <v>1</v>
      </c>
      <c r="CK17">
        <v>0.28000000000000003</v>
      </c>
      <c r="CL17" t="s">
        <v>363</v>
      </c>
      <c r="CM17">
        <v>1</v>
      </c>
      <c r="CN17">
        <v>0</v>
      </c>
      <c r="CO17" t="b">
        <v>0</v>
      </c>
      <c r="CP17" t="b">
        <v>0</v>
      </c>
      <c r="CQ17" t="b">
        <v>1</v>
      </c>
      <c r="CR17" t="b">
        <v>1</v>
      </c>
      <c r="CS17" t="b">
        <v>0</v>
      </c>
      <c r="CT17" t="b">
        <v>1</v>
      </c>
      <c r="CU17" t="b">
        <v>0</v>
      </c>
      <c r="CV17">
        <v>0</v>
      </c>
      <c r="CW17">
        <v>0</v>
      </c>
      <c r="CX17">
        <v>0</v>
      </c>
      <c r="CY17">
        <v>0</v>
      </c>
      <c r="CZ17">
        <v>0</v>
      </c>
      <c r="DA17">
        <v>4</v>
      </c>
      <c r="DB17">
        <v>1.1299999999999999</v>
      </c>
      <c r="DC17">
        <v>4</v>
      </c>
      <c r="DD17">
        <v>0</v>
      </c>
      <c r="DE17">
        <v>0</v>
      </c>
      <c r="DF17">
        <v>4</v>
      </c>
      <c r="DG17">
        <v>1.1299999999999999</v>
      </c>
      <c r="DH17">
        <v>25</v>
      </c>
      <c r="DI17">
        <v>7.08</v>
      </c>
      <c r="DJ17">
        <v>0.16</v>
      </c>
      <c r="DK17">
        <v>0</v>
      </c>
      <c r="DL17">
        <v>2</v>
      </c>
      <c r="DM17">
        <v>6</v>
      </c>
      <c r="DN17">
        <v>0</v>
      </c>
      <c r="DO17">
        <v>71</v>
      </c>
      <c r="DP17">
        <v>0</v>
      </c>
      <c r="DQ17">
        <v>0</v>
      </c>
      <c r="DR17" t="s">
        <v>793</v>
      </c>
      <c r="DS17" t="s">
        <v>794</v>
      </c>
      <c r="DT17" t="s">
        <v>795</v>
      </c>
      <c r="DU17" t="s">
        <v>411</v>
      </c>
      <c r="DV17" t="s">
        <v>796</v>
      </c>
      <c r="DW17">
        <v>2.14</v>
      </c>
      <c r="DX17">
        <v>0</v>
      </c>
      <c r="DY17">
        <v>2</v>
      </c>
      <c r="DZ17">
        <v>5</v>
      </c>
      <c r="EA17">
        <v>1</v>
      </c>
      <c r="EB17">
        <v>10.14</v>
      </c>
      <c r="EC17" t="s">
        <v>369</v>
      </c>
      <c r="ED17" t="s">
        <v>413</v>
      </c>
      <c r="EE17">
        <v>0.86</v>
      </c>
      <c r="EF17" t="s">
        <v>414</v>
      </c>
      <c r="EG17">
        <v>0.14000000000000001</v>
      </c>
      <c r="EH17">
        <v>0.37</v>
      </c>
      <c r="EI17">
        <v>0.38500000000000001</v>
      </c>
      <c r="EJ17" t="s">
        <v>370</v>
      </c>
      <c r="EK17">
        <v>2.5499999999999998</v>
      </c>
      <c r="EL17" t="s">
        <v>371</v>
      </c>
      <c r="EM17" t="s">
        <v>797</v>
      </c>
      <c r="EN17">
        <v>1.0900000000000001</v>
      </c>
      <c r="EO17" t="s">
        <v>417</v>
      </c>
      <c r="EP17">
        <v>0</v>
      </c>
      <c r="EQ17">
        <v>0</v>
      </c>
      <c r="ER17">
        <v>15.3</v>
      </c>
      <c r="ES17" t="s">
        <v>587</v>
      </c>
      <c r="ET17">
        <v>1.04</v>
      </c>
      <c r="EU17">
        <v>1.32</v>
      </c>
      <c r="EV17">
        <v>1.89</v>
      </c>
      <c r="EW17">
        <v>1.32</v>
      </c>
      <c r="EX17">
        <v>2.5499999999999998</v>
      </c>
      <c r="EY17">
        <v>0.47</v>
      </c>
      <c r="EZ17">
        <v>0.38</v>
      </c>
      <c r="FA17">
        <v>0.38</v>
      </c>
      <c r="FB17">
        <v>0.66</v>
      </c>
      <c r="FC17">
        <v>0.94</v>
      </c>
      <c r="FD17" t="s">
        <v>375</v>
      </c>
      <c r="FE17">
        <v>264</v>
      </c>
      <c r="FF17" t="s">
        <v>798</v>
      </c>
      <c r="FG17" t="s">
        <v>799</v>
      </c>
      <c r="FH17" t="s">
        <v>800</v>
      </c>
      <c r="FI17" t="s">
        <v>801</v>
      </c>
      <c r="FJ17" t="s">
        <v>802</v>
      </c>
      <c r="FK17" t="s">
        <v>803</v>
      </c>
      <c r="FL17" t="s">
        <v>804</v>
      </c>
      <c r="FM17">
        <v>0</v>
      </c>
      <c r="FN17">
        <v>0.49659999999999999</v>
      </c>
      <c r="FO17">
        <v>0.77500000000000002</v>
      </c>
      <c r="FP17">
        <v>0.61350000000000005</v>
      </c>
      <c r="FQ17">
        <v>0.45429999999999998</v>
      </c>
      <c r="FR17">
        <v>0</v>
      </c>
      <c r="FS17">
        <v>2.1299999999999999E-2</v>
      </c>
      <c r="FT17">
        <v>0</v>
      </c>
      <c r="FU17">
        <v>1.9699999999999999E-2</v>
      </c>
      <c r="FV17">
        <v>0.1171</v>
      </c>
      <c r="FW17">
        <v>6.3E-2</v>
      </c>
      <c r="FX17">
        <v>0.12</v>
      </c>
      <c r="FY17">
        <v>0.3594</v>
      </c>
      <c r="FZ17">
        <v>4.0000000000000001E-3</v>
      </c>
      <c r="GA17">
        <v>328</v>
      </c>
      <c r="GB17">
        <v>1</v>
      </c>
      <c r="GC17">
        <v>1</v>
      </c>
      <c r="GD17">
        <v>128</v>
      </c>
      <c r="GE17">
        <v>3</v>
      </c>
      <c r="GF17">
        <v>49</v>
      </c>
      <c r="GG17">
        <v>3</v>
      </c>
      <c r="GH17">
        <v>0</v>
      </c>
      <c r="GI17">
        <v>0</v>
      </c>
      <c r="GJ17">
        <v>0</v>
      </c>
      <c r="GK17">
        <v>0.108</v>
      </c>
      <c r="GL17">
        <v>0</v>
      </c>
      <c r="GM17">
        <v>7.1999999999999995E-2</v>
      </c>
      <c r="GN17">
        <v>0.18010000000000001</v>
      </c>
      <c r="GO17">
        <v>0</v>
      </c>
      <c r="GP17">
        <v>0.3962</v>
      </c>
      <c r="GQ17">
        <v>7.1999999999999995E-2</v>
      </c>
      <c r="GR17">
        <v>7.1999999999999995E-2</v>
      </c>
      <c r="GS17">
        <v>0.108</v>
      </c>
      <c r="GT17">
        <v>0</v>
      </c>
      <c r="GU17">
        <v>0</v>
      </c>
      <c r="GV17">
        <v>0</v>
      </c>
      <c r="GW17">
        <v>0</v>
      </c>
      <c r="GX17">
        <v>3.5999999999999997E-2</v>
      </c>
      <c r="GY17">
        <v>0</v>
      </c>
      <c r="GZ17">
        <v>0</v>
      </c>
      <c r="HA17">
        <v>0</v>
      </c>
      <c r="HB17">
        <v>0</v>
      </c>
      <c r="HC17" t="s">
        <v>383</v>
      </c>
      <c r="HD17">
        <v>0</v>
      </c>
      <c r="HE17">
        <v>0</v>
      </c>
      <c r="HF17">
        <v>0</v>
      </c>
      <c r="HG17">
        <v>0</v>
      </c>
      <c r="HH17">
        <v>0</v>
      </c>
      <c r="HI17" t="s">
        <v>383</v>
      </c>
      <c r="HJ17">
        <v>0</v>
      </c>
      <c r="HK17">
        <v>0</v>
      </c>
      <c r="HL17">
        <v>0</v>
      </c>
      <c r="HM17">
        <v>0</v>
      </c>
      <c r="HN17">
        <v>0</v>
      </c>
      <c r="HO17" t="s">
        <v>383</v>
      </c>
      <c r="HP17">
        <v>0</v>
      </c>
      <c r="HQ17">
        <v>0</v>
      </c>
      <c r="HR17">
        <v>0</v>
      </c>
      <c r="HS17">
        <v>0</v>
      </c>
      <c r="HT17">
        <v>0</v>
      </c>
      <c r="HU17" t="s">
        <v>383</v>
      </c>
      <c r="HV17">
        <v>0</v>
      </c>
      <c r="HW17">
        <v>0</v>
      </c>
      <c r="HX17">
        <v>0</v>
      </c>
      <c r="HY17">
        <v>0</v>
      </c>
      <c r="HZ17">
        <v>0</v>
      </c>
      <c r="IA17" t="s">
        <v>384</v>
      </c>
      <c r="IB17">
        <v>0</v>
      </c>
      <c r="IC17">
        <v>0</v>
      </c>
      <c r="ID17">
        <v>0</v>
      </c>
      <c r="IE17">
        <v>0</v>
      </c>
      <c r="IF17">
        <v>0</v>
      </c>
      <c r="IG17" t="s">
        <v>384</v>
      </c>
      <c r="IH17">
        <v>0</v>
      </c>
      <c r="II17">
        <v>0</v>
      </c>
      <c r="IJ17">
        <v>0</v>
      </c>
      <c r="IK17">
        <v>0</v>
      </c>
      <c r="IL17">
        <v>0</v>
      </c>
      <c r="IM17" t="s">
        <v>384</v>
      </c>
      <c r="IN17">
        <v>0</v>
      </c>
      <c r="IO17">
        <v>0</v>
      </c>
      <c r="IP17">
        <v>0</v>
      </c>
      <c r="IQ17">
        <v>0</v>
      </c>
      <c r="IR17">
        <v>0</v>
      </c>
      <c r="IS17" t="s">
        <v>384</v>
      </c>
      <c r="IT17">
        <v>0</v>
      </c>
      <c r="IU17">
        <v>0</v>
      </c>
      <c r="IV17">
        <v>0</v>
      </c>
      <c r="IW17">
        <v>0</v>
      </c>
      <c r="IX17">
        <v>0</v>
      </c>
      <c r="IY17">
        <v>0</v>
      </c>
      <c r="IZ17">
        <v>0</v>
      </c>
      <c r="JA17">
        <v>0</v>
      </c>
      <c r="JD17" t="s">
        <v>805</v>
      </c>
      <c r="JE17" t="s">
        <v>779</v>
      </c>
      <c r="JF17" t="s">
        <v>806</v>
      </c>
      <c r="JG17" t="s">
        <v>807</v>
      </c>
      <c r="JH17" t="s">
        <v>808</v>
      </c>
      <c r="JI17" t="s">
        <v>809</v>
      </c>
      <c r="JJ17">
        <v>0.33329999999999999</v>
      </c>
      <c r="JK17">
        <v>0</v>
      </c>
      <c r="JL17" t="s">
        <v>391</v>
      </c>
      <c r="JM17">
        <v>0</v>
      </c>
      <c r="JN17">
        <v>0</v>
      </c>
      <c r="JO17">
        <v>0</v>
      </c>
      <c r="JP17">
        <v>0</v>
      </c>
      <c r="JQ17">
        <v>0</v>
      </c>
      <c r="JR17">
        <v>0</v>
      </c>
      <c r="JS17">
        <v>0</v>
      </c>
      <c r="JT17">
        <v>0</v>
      </c>
      <c r="JU17">
        <v>0</v>
      </c>
      <c r="JV17">
        <v>0</v>
      </c>
      <c r="JX17" t="s">
        <v>392</v>
      </c>
      <c r="JY17">
        <v>0</v>
      </c>
      <c r="JZ17">
        <v>0</v>
      </c>
      <c r="KA17">
        <v>1</v>
      </c>
      <c r="KB17">
        <v>0</v>
      </c>
      <c r="KC17">
        <v>0</v>
      </c>
      <c r="KD17">
        <v>1</v>
      </c>
      <c r="KE17">
        <v>0</v>
      </c>
      <c r="KF17">
        <v>0</v>
      </c>
      <c r="KG17">
        <v>1</v>
      </c>
      <c r="KH17">
        <v>0</v>
      </c>
      <c r="KI17">
        <v>0</v>
      </c>
      <c r="KJ17">
        <v>1</v>
      </c>
      <c r="KK17">
        <v>0</v>
      </c>
      <c r="KL17">
        <v>0</v>
      </c>
      <c r="KM17">
        <v>1</v>
      </c>
      <c r="KN17">
        <v>0</v>
      </c>
      <c r="KO17">
        <v>0</v>
      </c>
      <c r="KP17">
        <v>1</v>
      </c>
      <c r="KQ17">
        <v>0</v>
      </c>
      <c r="KR17">
        <v>0</v>
      </c>
      <c r="KS17">
        <v>1</v>
      </c>
      <c r="KT17">
        <v>0</v>
      </c>
      <c r="KU17">
        <v>0</v>
      </c>
      <c r="KV17">
        <v>1</v>
      </c>
      <c r="KW17">
        <v>0</v>
      </c>
      <c r="KX17">
        <v>0</v>
      </c>
      <c r="KY17">
        <v>1</v>
      </c>
      <c r="KZ17">
        <v>0</v>
      </c>
      <c r="LA17">
        <v>0</v>
      </c>
      <c r="LB17">
        <v>0</v>
      </c>
      <c r="LC17">
        <v>0</v>
      </c>
      <c r="LD17">
        <v>0</v>
      </c>
      <c r="LE17">
        <v>0</v>
      </c>
      <c r="LF17">
        <v>0</v>
      </c>
      <c r="LG17">
        <v>0</v>
      </c>
      <c r="LH17">
        <v>0</v>
      </c>
      <c r="LI17">
        <v>0</v>
      </c>
      <c r="LJ17">
        <v>0</v>
      </c>
      <c r="LK17">
        <v>0</v>
      </c>
      <c r="LN17" t="s">
        <v>393</v>
      </c>
      <c r="LO17" t="s">
        <v>394</v>
      </c>
      <c r="LP17" t="s">
        <v>395</v>
      </c>
      <c r="LQ17">
        <v>0.28389999999999999</v>
      </c>
      <c r="LR17">
        <v>16.934799999999999</v>
      </c>
      <c r="LS17">
        <v>11.9747</v>
      </c>
      <c r="LT17">
        <v>3557</v>
      </c>
      <c r="LU17">
        <v>1010</v>
      </c>
      <c r="LV17">
        <v>68.443399999999997</v>
      </c>
      <c r="LW17">
        <v>0.85019999999999996</v>
      </c>
      <c r="LX17">
        <v>0.4642</v>
      </c>
      <c r="LY17">
        <v>0.4642</v>
      </c>
      <c r="LZ17">
        <v>0.4642</v>
      </c>
      <c r="MA17">
        <v>0</v>
      </c>
      <c r="MB17">
        <v>1587</v>
      </c>
      <c r="MC17">
        <v>1</v>
      </c>
      <c r="MD17" t="s">
        <v>396</v>
      </c>
      <c r="ME17" t="s">
        <v>397</v>
      </c>
    </row>
    <row r="18" spans="1:343" ht="16.95" customHeight="1" x14ac:dyDescent="0.3">
      <c r="A18" t="s">
        <v>810</v>
      </c>
      <c r="B18" t="s">
        <v>811</v>
      </c>
      <c r="C18" t="s">
        <v>345</v>
      </c>
      <c r="D18" t="s">
        <v>346</v>
      </c>
      <c r="E18" t="s">
        <v>347</v>
      </c>
      <c r="F18" t="s">
        <v>812</v>
      </c>
      <c r="G18" t="s">
        <v>813</v>
      </c>
      <c r="H18" t="s">
        <v>814</v>
      </c>
      <c r="I18" t="s">
        <v>351</v>
      </c>
      <c r="J18">
        <v>1648</v>
      </c>
      <c r="K18">
        <v>702</v>
      </c>
      <c r="L18">
        <v>0.42599999999999999</v>
      </c>
      <c r="M18">
        <v>56</v>
      </c>
      <c r="N18">
        <v>3</v>
      </c>
      <c r="O18">
        <v>1</v>
      </c>
      <c r="P18">
        <v>29.4</v>
      </c>
      <c r="Q18">
        <v>18.7</v>
      </c>
      <c r="R18">
        <v>19.899999999999999</v>
      </c>
      <c r="S18">
        <v>6.4</v>
      </c>
      <c r="T18">
        <v>10.5</v>
      </c>
      <c r="U18">
        <v>2.9</v>
      </c>
      <c r="V18">
        <v>8.4</v>
      </c>
      <c r="W18">
        <v>5</v>
      </c>
      <c r="X18">
        <v>3.9</v>
      </c>
      <c r="Y18">
        <v>2</v>
      </c>
      <c r="Z18">
        <v>0</v>
      </c>
      <c r="AA18">
        <v>2</v>
      </c>
      <c r="AB18" t="s">
        <v>352</v>
      </c>
      <c r="AC18" t="b">
        <v>0</v>
      </c>
      <c r="AD18" t="s">
        <v>353</v>
      </c>
      <c r="AE18">
        <v>0.43369999999999997</v>
      </c>
      <c r="AF18" t="s">
        <v>354</v>
      </c>
      <c r="AG18">
        <v>0.24510000000000001</v>
      </c>
      <c r="AH18">
        <v>3.4000000000000002E-2</v>
      </c>
      <c r="AI18">
        <v>0.72919999999999996</v>
      </c>
      <c r="AJ18" t="s">
        <v>355</v>
      </c>
      <c r="AK18">
        <v>6.37</v>
      </c>
      <c r="AL18">
        <v>14</v>
      </c>
      <c r="AM18" t="s">
        <v>356</v>
      </c>
      <c r="AN18">
        <v>0</v>
      </c>
      <c r="AO18">
        <v>0</v>
      </c>
      <c r="AP18">
        <v>32</v>
      </c>
      <c r="AQ18">
        <v>19.420000000000002</v>
      </c>
      <c r="AR18">
        <v>32</v>
      </c>
      <c r="AS18">
        <v>0</v>
      </c>
      <c r="AT18" t="s">
        <v>357</v>
      </c>
      <c r="AU18">
        <v>39.299999999999997</v>
      </c>
      <c r="AV18">
        <v>22</v>
      </c>
      <c r="AW18" t="s">
        <v>356</v>
      </c>
      <c r="AX18">
        <v>33</v>
      </c>
      <c r="AY18">
        <v>20.02</v>
      </c>
      <c r="AZ18">
        <v>24</v>
      </c>
      <c r="BA18">
        <v>9</v>
      </c>
      <c r="BB18">
        <v>0</v>
      </c>
      <c r="BC18">
        <v>0</v>
      </c>
      <c r="BD18">
        <v>0</v>
      </c>
      <c r="BE18">
        <v>9</v>
      </c>
      <c r="BF18">
        <v>24</v>
      </c>
      <c r="BG18">
        <v>0.38</v>
      </c>
      <c r="BH18">
        <v>0</v>
      </c>
      <c r="BI18">
        <v>0</v>
      </c>
      <c r="BJ18" t="b">
        <v>0</v>
      </c>
      <c r="BK18" t="b">
        <v>0</v>
      </c>
      <c r="BL18">
        <v>3</v>
      </c>
      <c r="BM18">
        <v>3</v>
      </c>
      <c r="BN18">
        <v>2</v>
      </c>
      <c r="BO18">
        <v>1</v>
      </c>
      <c r="BP18">
        <v>0</v>
      </c>
      <c r="BQ18">
        <v>1</v>
      </c>
      <c r="BR18">
        <v>0</v>
      </c>
      <c r="BS18">
        <v>1648</v>
      </c>
      <c r="BT18">
        <v>702</v>
      </c>
      <c r="BU18">
        <v>0.42599999999999999</v>
      </c>
      <c r="BV18">
        <v>3</v>
      </c>
      <c r="BW18">
        <v>1</v>
      </c>
      <c r="BX18">
        <v>549.29999999999995</v>
      </c>
      <c r="BZ18" t="s">
        <v>815</v>
      </c>
      <c r="CA18" t="s">
        <v>816</v>
      </c>
      <c r="CB18" t="s">
        <v>817</v>
      </c>
      <c r="CC18" t="s">
        <v>818</v>
      </c>
      <c r="CD18">
        <v>24</v>
      </c>
      <c r="CE18">
        <v>2</v>
      </c>
      <c r="CF18">
        <v>22</v>
      </c>
      <c r="CG18">
        <v>14.55</v>
      </c>
      <c r="CH18">
        <v>1</v>
      </c>
      <c r="CI18" t="s">
        <v>819</v>
      </c>
      <c r="CJ18">
        <v>2</v>
      </c>
      <c r="CK18">
        <v>1.21</v>
      </c>
      <c r="CL18" t="s">
        <v>363</v>
      </c>
      <c r="CM18">
        <v>1</v>
      </c>
      <c r="CN18">
        <v>0</v>
      </c>
      <c r="CO18" t="b">
        <v>0</v>
      </c>
      <c r="CP18" t="b">
        <v>0</v>
      </c>
      <c r="CQ18" t="b">
        <v>1</v>
      </c>
      <c r="CR18" t="b">
        <v>1</v>
      </c>
      <c r="CS18" t="b">
        <v>0</v>
      </c>
      <c r="CT18" t="b">
        <v>1</v>
      </c>
      <c r="CU18" t="b">
        <v>0</v>
      </c>
      <c r="CV18">
        <v>0</v>
      </c>
      <c r="CW18">
        <v>0</v>
      </c>
      <c r="CX18">
        <v>0</v>
      </c>
      <c r="CY18">
        <v>0</v>
      </c>
      <c r="CZ18">
        <v>0</v>
      </c>
      <c r="DA18">
        <v>34</v>
      </c>
      <c r="DB18">
        <v>20.62</v>
      </c>
      <c r="DC18">
        <v>34</v>
      </c>
      <c r="DD18">
        <v>0</v>
      </c>
      <c r="DE18">
        <v>0</v>
      </c>
      <c r="DF18">
        <v>1</v>
      </c>
      <c r="DG18">
        <v>0.61</v>
      </c>
      <c r="DH18">
        <v>2</v>
      </c>
      <c r="DI18">
        <v>1.21</v>
      </c>
      <c r="DJ18">
        <v>0.5</v>
      </c>
      <c r="DK18">
        <v>0</v>
      </c>
      <c r="DL18">
        <v>0</v>
      </c>
      <c r="DM18">
        <v>4</v>
      </c>
      <c r="DN18">
        <v>0</v>
      </c>
      <c r="DO18">
        <v>152</v>
      </c>
      <c r="DP18">
        <v>1</v>
      </c>
      <c r="DQ18">
        <v>0.61</v>
      </c>
      <c r="DR18" t="s">
        <v>820</v>
      </c>
      <c r="DS18" t="s">
        <v>821</v>
      </c>
      <c r="DT18" t="s">
        <v>822</v>
      </c>
      <c r="DU18" t="s">
        <v>823</v>
      </c>
      <c r="DV18" t="s">
        <v>824</v>
      </c>
      <c r="DW18">
        <v>2.14</v>
      </c>
      <c r="DX18">
        <v>5</v>
      </c>
      <c r="DY18">
        <v>2</v>
      </c>
      <c r="DZ18">
        <v>5</v>
      </c>
      <c r="EA18">
        <v>0</v>
      </c>
      <c r="EB18">
        <v>14.14</v>
      </c>
      <c r="EC18" t="s">
        <v>503</v>
      </c>
      <c r="ED18" t="s">
        <v>825</v>
      </c>
      <c r="EE18">
        <v>1.52</v>
      </c>
      <c r="EF18" t="s">
        <v>414</v>
      </c>
      <c r="EG18">
        <v>0.12</v>
      </c>
      <c r="EH18">
        <v>1.21</v>
      </c>
      <c r="EI18">
        <v>0.1</v>
      </c>
      <c r="EJ18" t="s">
        <v>370</v>
      </c>
      <c r="EK18">
        <v>0.73</v>
      </c>
      <c r="EL18" t="s">
        <v>472</v>
      </c>
      <c r="EM18" t="s">
        <v>826</v>
      </c>
      <c r="EN18">
        <v>1.31</v>
      </c>
      <c r="EO18" t="s">
        <v>827</v>
      </c>
      <c r="EP18">
        <v>0</v>
      </c>
      <c r="EQ18">
        <v>1</v>
      </c>
      <c r="ER18">
        <v>100</v>
      </c>
      <c r="ES18" t="s">
        <v>669</v>
      </c>
      <c r="ET18">
        <v>0</v>
      </c>
      <c r="EU18">
        <v>3.03</v>
      </c>
      <c r="EV18">
        <v>1.41</v>
      </c>
      <c r="EW18">
        <v>1.21</v>
      </c>
      <c r="EX18">
        <v>1.21</v>
      </c>
      <c r="EY18">
        <v>0</v>
      </c>
      <c r="EZ18">
        <v>0.61</v>
      </c>
      <c r="FA18">
        <v>1.01</v>
      </c>
      <c r="FB18">
        <v>4.04</v>
      </c>
      <c r="FC18">
        <v>0.61</v>
      </c>
      <c r="FD18" t="s">
        <v>375</v>
      </c>
      <c r="FE18">
        <v>189</v>
      </c>
      <c r="FF18" t="s">
        <v>828</v>
      </c>
      <c r="FG18" t="s">
        <v>829</v>
      </c>
      <c r="FH18" t="s">
        <v>830</v>
      </c>
      <c r="FI18" t="s">
        <v>831</v>
      </c>
      <c r="FJ18" t="s">
        <v>832</v>
      </c>
      <c r="FK18" t="s">
        <v>833</v>
      </c>
      <c r="FL18" t="s">
        <v>834</v>
      </c>
      <c r="FM18">
        <v>0</v>
      </c>
      <c r="FN18">
        <v>0.62629999999999997</v>
      </c>
      <c r="FO18">
        <v>0.77500000000000002</v>
      </c>
      <c r="FP18">
        <v>0.68869999999999998</v>
      </c>
      <c r="FQ18">
        <v>0.69640000000000002</v>
      </c>
      <c r="FR18">
        <v>0</v>
      </c>
      <c r="FS18">
        <v>0</v>
      </c>
      <c r="FT18">
        <v>0</v>
      </c>
      <c r="FU18">
        <v>0</v>
      </c>
      <c r="FV18">
        <v>0.19639999999999999</v>
      </c>
      <c r="FW18">
        <v>0</v>
      </c>
      <c r="FX18">
        <v>2.75E-2</v>
      </c>
      <c r="FY18">
        <v>0.25919999999999999</v>
      </c>
      <c r="FZ18">
        <v>0</v>
      </c>
      <c r="GA18">
        <v>56</v>
      </c>
      <c r="GB18">
        <v>1</v>
      </c>
      <c r="GC18">
        <v>1</v>
      </c>
      <c r="GD18">
        <v>49</v>
      </c>
      <c r="GE18">
        <v>0</v>
      </c>
      <c r="GF18">
        <v>12</v>
      </c>
      <c r="GG18">
        <v>0</v>
      </c>
      <c r="GH18">
        <v>0</v>
      </c>
      <c r="GI18">
        <v>0</v>
      </c>
      <c r="GJ18">
        <v>0</v>
      </c>
      <c r="GK18">
        <v>0</v>
      </c>
      <c r="GL18">
        <v>0</v>
      </c>
      <c r="GM18">
        <v>0</v>
      </c>
      <c r="GN18">
        <v>0</v>
      </c>
      <c r="GO18">
        <v>0</v>
      </c>
      <c r="GP18">
        <v>0</v>
      </c>
      <c r="GQ18">
        <v>0</v>
      </c>
      <c r="GR18">
        <v>0</v>
      </c>
      <c r="GS18">
        <v>8.2400000000000001E-2</v>
      </c>
      <c r="GT18">
        <v>0</v>
      </c>
      <c r="GU18">
        <v>0</v>
      </c>
      <c r="GV18">
        <v>0</v>
      </c>
      <c r="GW18">
        <v>0</v>
      </c>
      <c r="GX18">
        <v>0</v>
      </c>
      <c r="GY18">
        <v>0</v>
      </c>
      <c r="GZ18">
        <v>0</v>
      </c>
      <c r="HA18">
        <v>0</v>
      </c>
      <c r="HB18">
        <v>0</v>
      </c>
      <c r="HC18" t="s">
        <v>383</v>
      </c>
      <c r="HD18">
        <v>0</v>
      </c>
      <c r="HE18">
        <v>0</v>
      </c>
      <c r="HF18">
        <v>0</v>
      </c>
      <c r="HG18">
        <v>0</v>
      </c>
      <c r="HH18">
        <v>0</v>
      </c>
      <c r="HI18" t="s">
        <v>383</v>
      </c>
      <c r="HJ18">
        <v>0</v>
      </c>
      <c r="HK18">
        <v>0</v>
      </c>
      <c r="HL18">
        <v>0</v>
      </c>
      <c r="HM18">
        <v>0</v>
      </c>
      <c r="HN18">
        <v>0</v>
      </c>
      <c r="HO18" t="s">
        <v>383</v>
      </c>
      <c r="HP18">
        <v>0</v>
      </c>
      <c r="HQ18">
        <v>0</v>
      </c>
      <c r="HR18">
        <v>0</v>
      </c>
      <c r="HS18">
        <v>0</v>
      </c>
      <c r="HT18">
        <v>0</v>
      </c>
      <c r="HU18" t="s">
        <v>383</v>
      </c>
      <c r="HV18">
        <v>0</v>
      </c>
      <c r="HW18">
        <v>0</v>
      </c>
      <c r="HX18">
        <v>0</v>
      </c>
      <c r="HY18">
        <v>0</v>
      </c>
      <c r="HZ18">
        <v>0</v>
      </c>
      <c r="IA18" t="s">
        <v>384</v>
      </c>
      <c r="IB18">
        <v>0</v>
      </c>
      <c r="IC18">
        <v>0</v>
      </c>
      <c r="ID18">
        <v>0</v>
      </c>
      <c r="IE18">
        <v>0</v>
      </c>
      <c r="IF18">
        <v>0</v>
      </c>
      <c r="IG18" t="s">
        <v>384</v>
      </c>
      <c r="IH18">
        <v>0</v>
      </c>
      <c r="II18">
        <v>0</v>
      </c>
      <c r="IJ18">
        <v>0</v>
      </c>
      <c r="IK18">
        <v>0</v>
      </c>
      <c r="IL18">
        <v>0</v>
      </c>
      <c r="IM18" t="s">
        <v>384</v>
      </c>
      <c r="IN18">
        <v>0</v>
      </c>
      <c r="IO18">
        <v>0</v>
      </c>
      <c r="IP18">
        <v>0</v>
      </c>
      <c r="IQ18">
        <v>0</v>
      </c>
      <c r="IR18">
        <v>0</v>
      </c>
      <c r="IS18" t="s">
        <v>384</v>
      </c>
      <c r="IT18">
        <v>0</v>
      </c>
      <c r="IU18">
        <v>0</v>
      </c>
      <c r="IV18">
        <v>0</v>
      </c>
      <c r="IW18">
        <v>0</v>
      </c>
      <c r="IX18">
        <v>0</v>
      </c>
      <c r="IY18">
        <v>0</v>
      </c>
      <c r="IZ18">
        <v>0</v>
      </c>
      <c r="JA18">
        <v>0</v>
      </c>
      <c r="JD18" t="s">
        <v>483</v>
      </c>
      <c r="JE18" t="s">
        <v>386</v>
      </c>
      <c r="JF18" t="s">
        <v>835</v>
      </c>
      <c r="JG18" t="s">
        <v>836</v>
      </c>
      <c r="JH18" t="s">
        <v>837</v>
      </c>
      <c r="JI18" t="s">
        <v>838</v>
      </c>
      <c r="JJ18">
        <v>0.4</v>
      </c>
      <c r="JK18">
        <v>0</v>
      </c>
      <c r="JL18" t="s">
        <v>391</v>
      </c>
      <c r="JM18">
        <v>0</v>
      </c>
      <c r="JN18">
        <v>0</v>
      </c>
      <c r="JO18">
        <v>0</v>
      </c>
      <c r="JP18">
        <v>0</v>
      </c>
      <c r="JQ18">
        <v>0</v>
      </c>
      <c r="JR18">
        <v>0</v>
      </c>
      <c r="JS18">
        <v>0</v>
      </c>
      <c r="JT18">
        <v>0</v>
      </c>
      <c r="JU18">
        <v>0</v>
      </c>
      <c r="JV18">
        <v>0</v>
      </c>
      <c r="JX18" t="s">
        <v>392</v>
      </c>
      <c r="JY18">
        <v>0</v>
      </c>
      <c r="JZ18">
        <v>0</v>
      </c>
      <c r="KA18">
        <v>1</v>
      </c>
      <c r="KB18">
        <v>0</v>
      </c>
      <c r="KC18">
        <v>0</v>
      </c>
      <c r="KD18">
        <v>1</v>
      </c>
      <c r="KE18">
        <v>0</v>
      </c>
      <c r="KF18">
        <v>0</v>
      </c>
      <c r="KG18">
        <v>1</v>
      </c>
      <c r="KH18">
        <v>0</v>
      </c>
      <c r="KI18">
        <v>0</v>
      </c>
      <c r="KJ18">
        <v>1</v>
      </c>
      <c r="KK18">
        <v>0</v>
      </c>
      <c r="KL18">
        <v>0</v>
      </c>
      <c r="KM18">
        <v>1</v>
      </c>
      <c r="KN18">
        <v>0</v>
      </c>
      <c r="KO18">
        <v>0</v>
      </c>
      <c r="KP18">
        <v>1</v>
      </c>
      <c r="KQ18">
        <v>0</v>
      </c>
      <c r="KR18">
        <v>0</v>
      </c>
      <c r="KS18">
        <v>1</v>
      </c>
      <c r="KT18">
        <v>0</v>
      </c>
      <c r="KU18">
        <v>0</v>
      </c>
      <c r="KV18">
        <v>1</v>
      </c>
      <c r="KW18">
        <v>0</v>
      </c>
      <c r="KX18">
        <v>0</v>
      </c>
      <c r="KY18">
        <v>1</v>
      </c>
      <c r="KZ18">
        <v>0</v>
      </c>
      <c r="LA18">
        <v>0</v>
      </c>
      <c r="LB18">
        <v>0</v>
      </c>
      <c r="LC18">
        <v>0</v>
      </c>
      <c r="LD18">
        <v>0</v>
      </c>
      <c r="LE18">
        <v>0</v>
      </c>
      <c r="LF18">
        <v>0</v>
      </c>
      <c r="LG18">
        <v>0</v>
      </c>
      <c r="LH18">
        <v>0</v>
      </c>
      <c r="LI18">
        <v>0</v>
      </c>
      <c r="LJ18">
        <v>0</v>
      </c>
      <c r="LK18">
        <v>0</v>
      </c>
      <c r="LN18" t="s">
        <v>393</v>
      </c>
      <c r="LO18" t="s">
        <v>394</v>
      </c>
      <c r="LP18" t="s">
        <v>395</v>
      </c>
      <c r="LQ18">
        <v>0.41620000000000001</v>
      </c>
      <c r="LR18">
        <v>16.101900000000001</v>
      </c>
      <c r="LS18">
        <v>11.3858</v>
      </c>
      <c r="LT18">
        <v>1497</v>
      </c>
      <c r="LU18">
        <v>623</v>
      </c>
      <c r="LV18">
        <v>109.8505</v>
      </c>
      <c r="LW18">
        <v>0.88239999999999996</v>
      </c>
      <c r="LX18">
        <v>0.5121</v>
      </c>
      <c r="LY18">
        <v>0.5121</v>
      </c>
      <c r="LZ18">
        <v>0.5121</v>
      </c>
      <c r="MA18">
        <v>0</v>
      </c>
      <c r="MB18">
        <v>763</v>
      </c>
      <c r="MC18">
        <v>1</v>
      </c>
      <c r="MD18" t="s">
        <v>396</v>
      </c>
      <c r="ME18" t="s">
        <v>397</v>
      </c>
    </row>
    <row r="19" spans="1:343" ht="16.95" customHeight="1" x14ac:dyDescent="0.3">
      <c r="A19" t="s">
        <v>839</v>
      </c>
      <c r="B19" t="s">
        <v>840</v>
      </c>
      <c r="C19" t="s">
        <v>345</v>
      </c>
      <c r="D19" t="s">
        <v>346</v>
      </c>
      <c r="E19" t="s">
        <v>347</v>
      </c>
      <c r="F19" t="s">
        <v>841</v>
      </c>
      <c r="G19" t="s">
        <v>842</v>
      </c>
      <c r="H19" t="s">
        <v>843</v>
      </c>
      <c r="I19" t="s">
        <v>351</v>
      </c>
      <c r="J19">
        <v>2767</v>
      </c>
      <c r="K19">
        <v>1032</v>
      </c>
      <c r="L19">
        <v>0.373</v>
      </c>
      <c r="M19">
        <v>154</v>
      </c>
      <c r="N19">
        <v>3</v>
      </c>
      <c r="O19">
        <v>1</v>
      </c>
      <c r="P19">
        <v>18</v>
      </c>
      <c r="Q19">
        <v>51.3</v>
      </c>
      <c r="R19">
        <v>20.3</v>
      </c>
      <c r="S19">
        <v>7.5</v>
      </c>
      <c r="T19">
        <v>10.4</v>
      </c>
      <c r="U19">
        <v>2.9</v>
      </c>
      <c r="V19">
        <v>9.8000000000000007</v>
      </c>
      <c r="W19">
        <v>11</v>
      </c>
      <c r="X19">
        <v>4.3</v>
      </c>
      <c r="Y19">
        <v>6</v>
      </c>
      <c r="Z19">
        <v>2</v>
      </c>
      <c r="AA19">
        <v>3</v>
      </c>
      <c r="AB19" t="s">
        <v>493</v>
      </c>
      <c r="AC19" t="b">
        <v>0</v>
      </c>
      <c r="AD19" t="s">
        <v>353</v>
      </c>
      <c r="AE19">
        <v>0.41499999999999998</v>
      </c>
      <c r="AF19" t="s">
        <v>354</v>
      </c>
      <c r="AG19">
        <v>0.30969999999999998</v>
      </c>
      <c r="AH19">
        <v>3.2500000000000001E-2</v>
      </c>
      <c r="AI19">
        <v>0.66790000000000005</v>
      </c>
      <c r="AJ19" t="s">
        <v>355</v>
      </c>
      <c r="AK19">
        <v>5.2</v>
      </c>
      <c r="AL19">
        <v>10</v>
      </c>
      <c r="AM19" t="s">
        <v>356</v>
      </c>
      <c r="AN19">
        <v>0</v>
      </c>
      <c r="AO19">
        <v>0</v>
      </c>
      <c r="AP19">
        <v>9</v>
      </c>
      <c r="AQ19">
        <v>3.25</v>
      </c>
      <c r="AR19">
        <v>9</v>
      </c>
      <c r="AS19">
        <v>1</v>
      </c>
      <c r="AT19" t="s">
        <v>357</v>
      </c>
      <c r="AU19">
        <v>24.7</v>
      </c>
      <c r="AV19">
        <v>38</v>
      </c>
      <c r="AW19" t="s">
        <v>354</v>
      </c>
      <c r="AX19">
        <v>15</v>
      </c>
      <c r="AY19">
        <v>5.42</v>
      </c>
      <c r="AZ19">
        <v>0</v>
      </c>
      <c r="BA19">
        <v>14</v>
      </c>
      <c r="BB19">
        <v>0</v>
      </c>
      <c r="BC19">
        <v>1</v>
      </c>
      <c r="BD19">
        <v>0</v>
      </c>
      <c r="BE19">
        <v>14</v>
      </c>
      <c r="BF19">
        <v>0</v>
      </c>
      <c r="BG19">
        <v>14</v>
      </c>
      <c r="BH19">
        <v>0</v>
      </c>
      <c r="BI19">
        <v>0.53</v>
      </c>
      <c r="BJ19" t="b">
        <v>0</v>
      </c>
      <c r="BK19" t="b">
        <v>0</v>
      </c>
      <c r="BL19">
        <v>3</v>
      </c>
      <c r="BM19">
        <v>3</v>
      </c>
      <c r="BN19">
        <v>2</v>
      </c>
      <c r="BO19">
        <v>1</v>
      </c>
      <c r="BP19">
        <v>0</v>
      </c>
      <c r="BQ19">
        <v>1</v>
      </c>
      <c r="BR19">
        <v>0</v>
      </c>
      <c r="BS19">
        <v>2767</v>
      </c>
      <c r="BT19">
        <v>1032</v>
      </c>
      <c r="BU19">
        <v>0.373</v>
      </c>
      <c r="BV19">
        <v>3</v>
      </c>
      <c r="BW19">
        <v>1</v>
      </c>
      <c r="BX19">
        <v>922.3</v>
      </c>
      <c r="BZ19" t="s">
        <v>844</v>
      </c>
      <c r="CA19" t="s">
        <v>845</v>
      </c>
      <c r="CB19" t="s">
        <v>846</v>
      </c>
      <c r="CC19" t="s">
        <v>847</v>
      </c>
      <c r="CD19">
        <v>0</v>
      </c>
      <c r="CE19">
        <v>0</v>
      </c>
      <c r="CF19">
        <v>0</v>
      </c>
      <c r="CG19">
        <v>0</v>
      </c>
      <c r="CH19">
        <v>1</v>
      </c>
      <c r="CI19" t="s">
        <v>527</v>
      </c>
      <c r="CJ19">
        <v>4</v>
      </c>
      <c r="CK19">
        <v>1.45</v>
      </c>
      <c r="CL19" t="s">
        <v>407</v>
      </c>
      <c r="CM19">
        <v>1</v>
      </c>
      <c r="CN19">
        <v>0</v>
      </c>
      <c r="CO19" t="b">
        <v>1</v>
      </c>
      <c r="CP19" t="b">
        <v>0</v>
      </c>
      <c r="CQ19" t="b">
        <v>1</v>
      </c>
      <c r="CR19" t="b">
        <v>0</v>
      </c>
      <c r="CS19" t="b">
        <v>0</v>
      </c>
      <c r="CT19" t="b">
        <v>0</v>
      </c>
      <c r="CU19" t="b">
        <v>0</v>
      </c>
      <c r="CV19">
        <v>0</v>
      </c>
      <c r="CW19">
        <v>0</v>
      </c>
      <c r="CX19">
        <v>0</v>
      </c>
      <c r="CY19">
        <v>0</v>
      </c>
      <c r="CZ19">
        <v>0</v>
      </c>
      <c r="DA19">
        <v>9</v>
      </c>
      <c r="DB19">
        <v>3.25</v>
      </c>
      <c r="DC19">
        <v>9</v>
      </c>
      <c r="DD19">
        <v>1</v>
      </c>
      <c r="DE19">
        <v>0.36</v>
      </c>
      <c r="DF19">
        <v>0</v>
      </c>
      <c r="DG19">
        <v>0</v>
      </c>
      <c r="DH19">
        <v>10</v>
      </c>
      <c r="DI19">
        <v>3.61</v>
      </c>
      <c r="DJ19">
        <v>0</v>
      </c>
      <c r="DK19">
        <v>1</v>
      </c>
      <c r="DL19">
        <v>0</v>
      </c>
      <c r="DM19">
        <v>16</v>
      </c>
      <c r="DN19">
        <v>0</v>
      </c>
      <c r="DO19">
        <v>151</v>
      </c>
      <c r="DP19">
        <v>1</v>
      </c>
      <c r="DQ19">
        <v>0.36</v>
      </c>
      <c r="DR19" t="s">
        <v>848</v>
      </c>
      <c r="DS19" t="s">
        <v>849</v>
      </c>
      <c r="DT19" t="s">
        <v>850</v>
      </c>
      <c r="DU19" t="s">
        <v>848</v>
      </c>
      <c r="DV19" t="s">
        <v>851</v>
      </c>
      <c r="DW19">
        <v>1.43</v>
      </c>
      <c r="DX19">
        <v>0</v>
      </c>
      <c r="DY19">
        <v>2</v>
      </c>
      <c r="DZ19">
        <v>5</v>
      </c>
      <c r="EA19">
        <v>1.5</v>
      </c>
      <c r="EB19">
        <v>9.93</v>
      </c>
      <c r="EC19" t="s">
        <v>369</v>
      </c>
      <c r="ED19" t="s">
        <v>369</v>
      </c>
      <c r="EE19">
        <v>1.39</v>
      </c>
      <c r="EF19" t="s">
        <v>414</v>
      </c>
      <c r="EG19">
        <v>0.18</v>
      </c>
      <c r="EH19">
        <v>0.65</v>
      </c>
      <c r="EI19">
        <v>0.27800000000000002</v>
      </c>
      <c r="EJ19" t="s">
        <v>370</v>
      </c>
      <c r="EK19">
        <v>0.65</v>
      </c>
      <c r="EL19" t="s">
        <v>472</v>
      </c>
      <c r="EM19" t="s">
        <v>852</v>
      </c>
      <c r="EN19">
        <v>1.1000000000000001</v>
      </c>
      <c r="EO19" t="s">
        <v>827</v>
      </c>
      <c r="EP19">
        <v>0</v>
      </c>
      <c r="EQ19">
        <v>0</v>
      </c>
      <c r="ER19">
        <v>23.9</v>
      </c>
      <c r="ES19" t="s">
        <v>418</v>
      </c>
      <c r="ET19">
        <v>0.84</v>
      </c>
      <c r="EU19">
        <v>1.32</v>
      </c>
      <c r="EV19">
        <v>0.96</v>
      </c>
      <c r="EW19">
        <v>1.08</v>
      </c>
      <c r="EX19">
        <v>1.2</v>
      </c>
      <c r="EY19">
        <v>0.12</v>
      </c>
      <c r="EZ19">
        <v>0.84</v>
      </c>
      <c r="FA19">
        <v>0.6</v>
      </c>
      <c r="FB19">
        <v>3.13</v>
      </c>
      <c r="FC19">
        <v>0.96</v>
      </c>
      <c r="FD19" t="s">
        <v>375</v>
      </c>
      <c r="FE19">
        <v>260</v>
      </c>
      <c r="FF19" t="s">
        <v>853</v>
      </c>
      <c r="FG19" t="s">
        <v>854</v>
      </c>
      <c r="FH19" t="s">
        <v>855</v>
      </c>
      <c r="FI19" t="s">
        <v>856</v>
      </c>
      <c r="FJ19" t="s">
        <v>857</v>
      </c>
      <c r="FK19" t="s">
        <v>858</v>
      </c>
      <c r="FL19" t="s">
        <v>859</v>
      </c>
      <c r="FM19">
        <v>0</v>
      </c>
      <c r="FN19">
        <v>0.56210000000000004</v>
      </c>
      <c r="FO19">
        <v>0.77500000000000002</v>
      </c>
      <c r="FP19">
        <v>0.65149999999999997</v>
      </c>
      <c r="FQ19">
        <v>0.56130000000000002</v>
      </c>
      <c r="FR19">
        <v>0</v>
      </c>
      <c r="FS19">
        <v>0</v>
      </c>
      <c r="FT19">
        <v>0</v>
      </c>
      <c r="FU19">
        <v>1.1900000000000001E-2</v>
      </c>
      <c r="FV19">
        <v>0.151</v>
      </c>
      <c r="FW19">
        <v>2.41E-2</v>
      </c>
      <c r="FX19">
        <v>0</v>
      </c>
      <c r="FY19">
        <v>0.2626</v>
      </c>
      <c r="FZ19">
        <v>5.4000000000000003E-3</v>
      </c>
      <c r="GA19">
        <v>155</v>
      </c>
      <c r="GB19">
        <v>1</v>
      </c>
      <c r="GC19">
        <v>1</v>
      </c>
      <c r="GD19">
        <v>105</v>
      </c>
      <c r="GE19">
        <v>1</v>
      </c>
      <c r="GF19">
        <v>37</v>
      </c>
      <c r="GG19">
        <v>0</v>
      </c>
      <c r="GH19">
        <v>0</v>
      </c>
      <c r="GI19">
        <v>0</v>
      </c>
      <c r="GJ19">
        <v>0</v>
      </c>
      <c r="GK19">
        <v>0</v>
      </c>
      <c r="GL19">
        <v>0</v>
      </c>
      <c r="GM19">
        <v>9.64E-2</v>
      </c>
      <c r="GN19">
        <v>0</v>
      </c>
      <c r="GO19">
        <v>0</v>
      </c>
      <c r="GP19">
        <v>4.82E-2</v>
      </c>
      <c r="GQ19">
        <v>0</v>
      </c>
      <c r="GR19">
        <v>0</v>
      </c>
      <c r="GS19">
        <v>0</v>
      </c>
      <c r="GT19">
        <v>0</v>
      </c>
      <c r="GU19">
        <v>0</v>
      </c>
      <c r="GV19">
        <v>4.82E-2</v>
      </c>
      <c r="GW19">
        <v>0</v>
      </c>
      <c r="GX19">
        <v>0</v>
      </c>
      <c r="GY19">
        <v>0</v>
      </c>
      <c r="GZ19">
        <v>0</v>
      </c>
      <c r="HA19">
        <v>0</v>
      </c>
      <c r="HB19">
        <v>0</v>
      </c>
      <c r="HC19" t="s">
        <v>383</v>
      </c>
      <c r="HD19">
        <v>0</v>
      </c>
      <c r="HE19">
        <v>0</v>
      </c>
      <c r="HF19">
        <v>0</v>
      </c>
      <c r="HG19">
        <v>0</v>
      </c>
      <c r="HH19">
        <v>0</v>
      </c>
      <c r="HI19" t="s">
        <v>383</v>
      </c>
      <c r="HJ19">
        <v>0</v>
      </c>
      <c r="HK19">
        <v>0</v>
      </c>
      <c r="HL19">
        <v>0</v>
      </c>
      <c r="HM19">
        <v>0</v>
      </c>
      <c r="HN19">
        <v>0</v>
      </c>
      <c r="HO19" t="s">
        <v>383</v>
      </c>
      <c r="HP19">
        <v>0</v>
      </c>
      <c r="HQ19">
        <v>0</v>
      </c>
      <c r="HR19">
        <v>0</v>
      </c>
      <c r="HS19">
        <v>0</v>
      </c>
      <c r="HT19">
        <v>0</v>
      </c>
      <c r="HU19" t="s">
        <v>383</v>
      </c>
      <c r="HV19">
        <v>0</v>
      </c>
      <c r="HW19">
        <v>0</v>
      </c>
      <c r="HX19">
        <v>0</v>
      </c>
      <c r="HY19">
        <v>0</v>
      </c>
      <c r="HZ19">
        <v>0</v>
      </c>
      <c r="IA19" t="s">
        <v>384</v>
      </c>
      <c r="IB19">
        <v>0</v>
      </c>
      <c r="IC19">
        <v>0</v>
      </c>
      <c r="ID19">
        <v>0</v>
      </c>
      <c r="IE19">
        <v>0</v>
      </c>
      <c r="IF19">
        <v>0</v>
      </c>
      <c r="IG19" t="s">
        <v>384</v>
      </c>
      <c r="IH19">
        <v>0</v>
      </c>
      <c r="II19">
        <v>0</v>
      </c>
      <c r="IJ19">
        <v>0</v>
      </c>
      <c r="IK19">
        <v>0</v>
      </c>
      <c r="IL19">
        <v>0</v>
      </c>
      <c r="IM19" t="s">
        <v>384</v>
      </c>
      <c r="IN19">
        <v>0</v>
      </c>
      <c r="IO19">
        <v>0</v>
      </c>
      <c r="IP19">
        <v>0</v>
      </c>
      <c r="IQ19">
        <v>0</v>
      </c>
      <c r="IR19">
        <v>0</v>
      </c>
      <c r="IS19" t="s">
        <v>384</v>
      </c>
      <c r="IT19">
        <v>0</v>
      </c>
      <c r="IU19">
        <v>0</v>
      </c>
      <c r="IV19">
        <v>0</v>
      </c>
      <c r="IW19">
        <v>0</v>
      </c>
      <c r="IX19">
        <v>0</v>
      </c>
      <c r="IY19">
        <v>0</v>
      </c>
      <c r="IZ19">
        <v>0</v>
      </c>
      <c r="JA19">
        <v>0</v>
      </c>
      <c r="JD19" t="s">
        <v>483</v>
      </c>
      <c r="JE19" t="s">
        <v>484</v>
      </c>
      <c r="JF19" t="s">
        <v>860</v>
      </c>
      <c r="JG19" t="s">
        <v>861</v>
      </c>
      <c r="JH19" t="s">
        <v>862</v>
      </c>
      <c r="JI19" t="s">
        <v>863</v>
      </c>
      <c r="JJ19">
        <v>0.4</v>
      </c>
      <c r="JK19">
        <v>0</v>
      </c>
      <c r="JL19" t="s">
        <v>391</v>
      </c>
      <c r="JM19">
        <v>0</v>
      </c>
      <c r="JN19">
        <v>0</v>
      </c>
      <c r="JO19">
        <v>0</v>
      </c>
      <c r="JP19">
        <v>0</v>
      </c>
      <c r="JQ19">
        <v>0</v>
      </c>
      <c r="JR19">
        <v>0</v>
      </c>
      <c r="JS19">
        <v>0</v>
      </c>
      <c r="JT19">
        <v>0</v>
      </c>
      <c r="JU19">
        <v>0</v>
      </c>
      <c r="JV19">
        <v>0</v>
      </c>
      <c r="JX19" t="s">
        <v>392</v>
      </c>
      <c r="JY19">
        <v>0</v>
      </c>
      <c r="JZ19">
        <v>0</v>
      </c>
      <c r="KA19">
        <v>1</v>
      </c>
      <c r="KB19">
        <v>0</v>
      </c>
      <c r="KC19">
        <v>0</v>
      </c>
      <c r="KD19">
        <v>1</v>
      </c>
      <c r="KE19">
        <v>0</v>
      </c>
      <c r="KF19">
        <v>0</v>
      </c>
      <c r="KG19">
        <v>1</v>
      </c>
      <c r="KH19">
        <v>0</v>
      </c>
      <c r="KI19">
        <v>0</v>
      </c>
      <c r="KJ19">
        <v>1</v>
      </c>
      <c r="KK19">
        <v>0</v>
      </c>
      <c r="KL19">
        <v>0</v>
      </c>
      <c r="KM19">
        <v>1</v>
      </c>
      <c r="KN19">
        <v>0</v>
      </c>
      <c r="KO19">
        <v>0</v>
      </c>
      <c r="KP19">
        <v>1</v>
      </c>
      <c r="KQ19">
        <v>0</v>
      </c>
      <c r="KR19">
        <v>0</v>
      </c>
      <c r="KS19">
        <v>1</v>
      </c>
      <c r="KT19">
        <v>0</v>
      </c>
      <c r="KU19">
        <v>0</v>
      </c>
      <c r="KV19">
        <v>1</v>
      </c>
      <c r="KW19">
        <v>0</v>
      </c>
      <c r="KX19">
        <v>0</v>
      </c>
      <c r="KY19">
        <v>1</v>
      </c>
      <c r="KZ19">
        <v>0</v>
      </c>
      <c r="LA19">
        <v>0</v>
      </c>
      <c r="LB19">
        <v>0</v>
      </c>
      <c r="LC19">
        <v>0</v>
      </c>
      <c r="LD19">
        <v>0</v>
      </c>
      <c r="LE19">
        <v>0</v>
      </c>
      <c r="LF19">
        <v>0</v>
      </c>
      <c r="LG19">
        <v>0</v>
      </c>
      <c r="LH19">
        <v>0</v>
      </c>
      <c r="LI19">
        <v>0</v>
      </c>
      <c r="LJ19">
        <v>0</v>
      </c>
      <c r="LK19">
        <v>0</v>
      </c>
      <c r="LN19" t="s">
        <v>393</v>
      </c>
      <c r="LO19" t="s">
        <v>394</v>
      </c>
      <c r="LP19" t="s">
        <v>395</v>
      </c>
      <c r="LQ19">
        <v>0.36549999999999999</v>
      </c>
      <c r="LR19">
        <v>18.6523</v>
      </c>
      <c r="LS19">
        <v>13.1892</v>
      </c>
      <c r="LT19">
        <v>2605</v>
      </c>
      <c r="LU19">
        <v>952</v>
      </c>
      <c r="LV19">
        <v>93.512799999999999</v>
      </c>
      <c r="LW19">
        <v>0.87880000000000003</v>
      </c>
      <c r="LX19">
        <v>0.50419999999999998</v>
      </c>
      <c r="LY19">
        <v>0.50419999999999998</v>
      </c>
      <c r="LZ19">
        <v>0.50419999999999998</v>
      </c>
      <c r="MA19">
        <v>0</v>
      </c>
      <c r="MB19">
        <v>1307</v>
      </c>
      <c r="MC19">
        <v>1</v>
      </c>
      <c r="MD19" t="s">
        <v>396</v>
      </c>
      <c r="ME19" t="s">
        <v>397</v>
      </c>
    </row>
    <row r="20" spans="1:343" ht="16.95" customHeight="1" x14ac:dyDescent="0.3">
      <c r="A20" t="s">
        <v>864</v>
      </c>
      <c r="B20" t="s">
        <v>865</v>
      </c>
      <c r="C20" t="s">
        <v>345</v>
      </c>
      <c r="D20" t="s">
        <v>346</v>
      </c>
      <c r="E20" t="s">
        <v>347</v>
      </c>
      <c r="F20" t="s">
        <v>866</v>
      </c>
      <c r="G20" t="s">
        <v>867</v>
      </c>
      <c r="H20" t="s">
        <v>868</v>
      </c>
      <c r="I20" t="s">
        <v>351</v>
      </c>
      <c r="J20">
        <v>2242</v>
      </c>
      <c r="K20">
        <v>1009</v>
      </c>
      <c r="L20">
        <v>0.45</v>
      </c>
      <c r="M20">
        <v>130</v>
      </c>
      <c r="N20">
        <v>3</v>
      </c>
      <c r="O20">
        <v>1</v>
      </c>
      <c r="P20">
        <v>17.2</v>
      </c>
      <c r="Q20">
        <v>43.3</v>
      </c>
      <c r="R20">
        <v>21.1</v>
      </c>
      <c r="S20">
        <v>7.6</v>
      </c>
      <c r="T20">
        <v>8.8000000000000007</v>
      </c>
      <c r="U20">
        <v>3.2</v>
      </c>
      <c r="V20">
        <v>8.3000000000000007</v>
      </c>
      <c r="W20">
        <v>5</v>
      </c>
      <c r="X20">
        <v>2.4</v>
      </c>
      <c r="Y20">
        <v>7</v>
      </c>
      <c r="Z20">
        <v>0</v>
      </c>
      <c r="AA20">
        <v>7</v>
      </c>
      <c r="AB20" t="s">
        <v>493</v>
      </c>
      <c r="AC20" t="b">
        <v>0</v>
      </c>
      <c r="AD20" t="s">
        <v>353</v>
      </c>
      <c r="AE20">
        <v>0.45500000000000002</v>
      </c>
      <c r="AF20" t="s">
        <v>354</v>
      </c>
      <c r="AG20">
        <v>0.28139999999999998</v>
      </c>
      <c r="AH20">
        <v>2.5899999999999999E-2</v>
      </c>
      <c r="AI20">
        <v>0.7</v>
      </c>
      <c r="AJ20" t="s">
        <v>355</v>
      </c>
      <c r="AK20">
        <v>4.9000000000000004</v>
      </c>
      <c r="AL20">
        <v>10</v>
      </c>
      <c r="AM20" t="s">
        <v>356</v>
      </c>
      <c r="AN20">
        <v>0</v>
      </c>
      <c r="AO20">
        <v>0</v>
      </c>
      <c r="AP20">
        <v>18</v>
      </c>
      <c r="AQ20">
        <v>8.0299999999999994</v>
      </c>
      <c r="AR20">
        <v>18</v>
      </c>
      <c r="AS20">
        <v>0</v>
      </c>
      <c r="AT20" t="s">
        <v>357</v>
      </c>
      <c r="AU20">
        <v>18.5</v>
      </c>
      <c r="AV20">
        <v>24</v>
      </c>
      <c r="AW20" t="s">
        <v>354</v>
      </c>
      <c r="AX20">
        <v>8</v>
      </c>
      <c r="AY20">
        <v>3.57</v>
      </c>
      <c r="AZ20">
        <v>0</v>
      </c>
      <c r="BA20">
        <v>8</v>
      </c>
      <c r="BB20">
        <v>0</v>
      </c>
      <c r="BC20">
        <v>0</v>
      </c>
      <c r="BD20">
        <v>0</v>
      </c>
      <c r="BE20">
        <v>8</v>
      </c>
      <c r="BF20">
        <v>0</v>
      </c>
      <c r="BG20">
        <v>8</v>
      </c>
      <c r="BH20">
        <v>0</v>
      </c>
      <c r="BI20">
        <v>0.1</v>
      </c>
      <c r="BJ20" t="b">
        <v>0</v>
      </c>
      <c r="BK20" t="b">
        <v>0</v>
      </c>
      <c r="BL20">
        <v>3</v>
      </c>
      <c r="BM20">
        <v>3</v>
      </c>
      <c r="BN20">
        <v>2</v>
      </c>
      <c r="BO20">
        <v>1</v>
      </c>
      <c r="BP20">
        <v>0</v>
      </c>
      <c r="BQ20">
        <v>1</v>
      </c>
      <c r="BR20">
        <v>0</v>
      </c>
      <c r="BS20">
        <v>2242</v>
      </c>
      <c r="BT20">
        <v>1009</v>
      </c>
      <c r="BU20">
        <v>0.45</v>
      </c>
      <c r="BV20">
        <v>3</v>
      </c>
      <c r="BW20">
        <v>1</v>
      </c>
      <c r="BX20">
        <v>747.3</v>
      </c>
      <c r="BZ20" t="s">
        <v>869</v>
      </c>
      <c r="CA20" t="s">
        <v>870</v>
      </c>
      <c r="CB20" t="s">
        <v>871</v>
      </c>
      <c r="CC20" t="s">
        <v>872</v>
      </c>
      <c r="CD20">
        <v>0</v>
      </c>
      <c r="CE20">
        <v>0</v>
      </c>
      <c r="CF20">
        <v>0</v>
      </c>
      <c r="CG20">
        <v>0</v>
      </c>
      <c r="CH20">
        <v>0</v>
      </c>
      <c r="CJ20">
        <v>4</v>
      </c>
      <c r="CK20">
        <v>1.78</v>
      </c>
      <c r="CL20" t="s">
        <v>363</v>
      </c>
      <c r="CM20">
        <v>1</v>
      </c>
      <c r="CN20">
        <v>0</v>
      </c>
      <c r="CO20" t="b">
        <v>0</v>
      </c>
      <c r="CP20" t="b">
        <v>0</v>
      </c>
      <c r="CQ20" t="b">
        <v>1</v>
      </c>
      <c r="CR20" t="b">
        <v>1</v>
      </c>
      <c r="CS20" t="b">
        <v>1</v>
      </c>
      <c r="CT20" t="b">
        <v>0</v>
      </c>
      <c r="CU20" t="b">
        <v>0</v>
      </c>
      <c r="CV20">
        <v>0</v>
      </c>
      <c r="CW20">
        <v>0</v>
      </c>
      <c r="CX20">
        <v>0</v>
      </c>
      <c r="CY20">
        <v>1</v>
      </c>
      <c r="CZ20">
        <v>0.45</v>
      </c>
      <c r="DA20">
        <v>18</v>
      </c>
      <c r="DB20">
        <v>8.02</v>
      </c>
      <c r="DC20">
        <v>18</v>
      </c>
      <c r="DD20">
        <v>1</v>
      </c>
      <c r="DE20">
        <v>0.45</v>
      </c>
      <c r="DF20">
        <v>8</v>
      </c>
      <c r="DG20">
        <v>3.57</v>
      </c>
      <c r="DH20">
        <v>5</v>
      </c>
      <c r="DI20">
        <v>2.23</v>
      </c>
      <c r="DJ20">
        <v>1.6</v>
      </c>
      <c r="DK20">
        <v>0</v>
      </c>
      <c r="DL20">
        <v>1</v>
      </c>
      <c r="DM20">
        <v>7</v>
      </c>
      <c r="DN20">
        <v>0</v>
      </c>
      <c r="DO20">
        <v>181</v>
      </c>
      <c r="DP20">
        <v>9</v>
      </c>
      <c r="DQ20">
        <v>4.01</v>
      </c>
      <c r="DR20" t="s">
        <v>873</v>
      </c>
      <c r="DS20" t="s">
        <v>874</v>
      </c>
      <c r="DT20" t="s">
        <v>875</v>
      </c>
      <c r="DU20" t="s">
        <v>875</v>
      </c>
      <c r="DV20" t="s">
        <v>876</v>
      </c>
      <c r="DW20">
        <v>2.14</v>
      </c>
      <c r="DX20">
        <v>0</v>
      </c>
      <c r="DY20">
        <v>2.17</v>
      </c>
      <c r="DZ20">
        <v>5</v>
      </c>
      <c r="EA20">
        <v>1.5</v>
      </c>
      <c r="EB20">
        <v>10.81</v>
      </c>
      <c r="EC20" t="s">
        <v>369</v>
      </c>
      <c r="ED20" t="s">
        <v>413</v>
      </c>
      <c r="EE20">
        <v>2.0099999999999998</v>
      </c>
      <c r="EF20" t="s">
        <v>414</v>
      </c>
      <c r="EG20">
        <v>0.09</v>
      </c>
      <c r="EH20">
        <v>1.1599999999999999</v>
      </c>
      <c r="EI20">
        <v>7.6999999999999999E-2</v>
      </c>
      <c r="EJ20" t="s">
        <v>370</v>
      </c>
      <c r="EK20">
        <v>0.98</v>
      </c>
      <c r="EL20" t="s">
        <v>472</v>
      </c>
      <c r="EM20" t="s">
        <v>877</v>
      </c>
      <c r="EN20">
        <v>0.94</v>
      </c>
      <c r="EO20" t="s">
        <v>373</v>
      </c>
      <c r="EP20">
        <v>0</v>
      </c>
      <c r="EQ20">
        <v>0</v>
      </c>
      <c r="ER20">
        <v>31</v>
      </c>
      <c r="ES20" t="s">
        <v>418</v>
      </c>
      <c r="ET20">
        <v>0.74</v>
      </c>
      <c r="EU20">
        <v>0.89</v>
      </c>
      <c r="EV20">
        <v>2.08</v>
      </c>
      <c r="EW20">
        <v>1.19</v>
      </c>
      <c r="EX20">
        <v>1.19</v>
      </c>
      <c r="EY20">
        <v>0.15</v>
      </c>
      <c r="EZ20">
        <v>1.19</v>
      </c>
      <c r="FA20">
        <v>0.3</v>
      </c>
      <c r="FB20">
        <v>0.3</v>
      </c>
      <c r="FC20">
        <v>1.34</v>
      </c>
      <c r="FD20" t="s">
        <v>375</v>
      </c>
      <c r="FE20">
        <v>244</v>
      </c>
      <c r="FF20" t="s">
        <v>878</v>
      </c>
      <c r="FG20" t="s">
        <v>879</v>
      </c>
      <c r="FH20" t="s">
        <v>880</v>
      </c>
      <c r="FI20" t="s">
        <v>881</v>
      </c>
      <c r="FJ20" t="s">
        <v>882</v>
      </c>
      <c r="FK20" t="s">
        <v>883</v>
      </c>
      <c r="FL20" t="s">
        <v>884</v>
      </c>
      <c r="FM20">
        <v>0</v>
      </c>
      <c r="FN20">
        <v>0.60219999999999996</v>
      </c>
      <c r="FO20">
        <v>0.77500000000000002</v>
      </c>
      <c r="FP20">
        <v>0.67479999999999996</v>
      </c>
      <c r="FQ20">
        <v>0.67179999999999995</v>
      </c>
      <c r="FR20">
        <v>0</v>
      </c>
      <c r="FS20">
        <v>3.0499999999999999E-2</v>
      </c>
      <c r="FT20">
        <v>0</v>
      </c>
      <c r="FU20">
        <v>2.8999999999999998E-3</v>
      </c>
      <c r="FV20">
        <v>0.2122</v>
      </c>
      <c r="FW20">
        <v>1.47E-2</v>
      </c>
      <c r="FX20">
        <v>0</v>
      </c>
      <c r="FY20">
        <v>0.25650000000000001</v>
      </c>
      <c r="FZ20">
        <v>0</v>
      </c>
      <c r="GA20">
        <v>131</v>
      </c>
      <c r="GB20">
        <v>1</v>
      </c>
      <c r="GC20">
        <v>1</v>
      </c>
      <c r="GD20">
        <v>93</v>
      </c>
      <c r="GE20">
        <v>2</v>
      </c>
      <c r="GF20">
        <v>23</v>
      </c>
      <c r="GG20">
        <v>0</v>
      </c>
      <c r="GH20">
        <v>1</v>
      </c>
      <c r="GI20">
        <v>0</v>
      </c>
      <c r="GJ20">
        <v>0</v>
      </c>
      <c r="GK20">
        <v>0</v>
      </c>
      <c r="GL20">
        <v>0</v>
      </c>
      <c r="GM20">
        <v>5.8799999999999998E-2</v>
      </c>
      <c r="GN20">
        <v>0</v>
      </c>
      <c r="GO20">
        <v>0</v>
      </c>
      <c r="GP20">
        <v>0</v>
      </c>
      <c r="GQ20">
        <v>0</v>
      </c>
      <c r="GR20">
        <v>0</v>
      </c>
      <c r="GS20">
        <v>0</v>
      </c>
      <c r="GT20">
        <v>0</v>
      </c>
      <c r="GU20">
        <v>0</v>
      </c>
      <c r="GV20">
        <v>0</v>
      </c>
      <c r="GW20">
        <v>0</v>
      </c>
      <c r="GX20">
        <v>0</v>
      </c>
      <c r="GY20">
        <v>0</v>
      </c>
      <c r="GZ20">
        <v>0</v>
      </c>
      <c r="HA20">
        <v>0</v>
      </c>
      <c r="HB20">
        <v>0</v>
      </c>
      <c r="HC20" t="s">
        <v>383</v>
      </c>
      <c r="HD20">
        <v>0</v>
      </c>
      <c r="HE20">
        <v>0</v>
      </c>
      <c r="HF20">
        <v>0</v>
      </c>
      <c r="HG20">
        <v>0</v>
      </c>
      <c r="HH20">
        <v>0</v>
      </c>
      <c r="HI20" t="s">
        <v>383</v>
      </c>
      <c r="HJ20">
        <v>0</v>
      </c>
      <c r="HK20">
        <v>0</v>
      </c>
      <c r="HL20">
        <v>0</v>
      </c>
      <c r="HM20">
        <v>0</v>
      </c>
      <c r="HN20">
        <v>0</v>
      </c>
      <c r="HO20" t="s">
        <v>383</v>
      </c>
      <c r="HP20">
        <v>0</v>
      </c>
      <c r="HQ20">
        <v>0</v>
      </c>
      <c r="HR20">
        <v>0</v>
      </c>
      <c r="HS20">
        <v>0</v>
      </c>
      <c r="HT20">
        <v>0</v>
      </c>
      <c r="HU20" t="s">
        <v>383</v>
      </c>
      <c r="HV20">
        <v>0</v>
      </c>
      <c r="HW20">
        <v>0</v>
      </c>
      <c r="HX20">
        <v>0</v>
      </c>
      <c r="HY20">
        <v>0</v>
      </c>
      <c r="HZ20">
        <v>0</v>
      </c>
      <c r="IA20" t="s">
        <v>384</v>
      </c>
      <c r="IB20">
        <v>0</v>
      </c>
      <c r="IC20">
        <v>0</v>
      </c>
      <c r="ID20">
        <v>0</v>
      </c>
      <c r="IE20">
        <v>0</v>
      </c>
      <c r="IF20">
        <v>0</v>
      </c>
      <c r="IG20" t="s">
        <v>384</v>
      </c>
      <c r="IH20">
        <v>0</v>
      </c>
      <c r="II20">
        <v>0</v>
      </c>
      <c r="IJ20">
        <v>0</v>
      </c>
      <c r="IK20">
        <v>0</v>
      </c>
      <c r="IL20">
        <v>0</v>
      </c>
      <c r="IM20" t="s">
        <v>384</v>
      </c>
      <c r="IN20">
        <v>0</v>
      </c>
      <c r="IO20">
        <v>0</v>
      </c>
      <c r="IP20">
        <v>0</v>
      </c>
      <c r="IQ20">
        <v>0</v>
      </c>
      <c r="IR20">
        <v>0</v>
      </c>
      <c r="IS20" t="s">
        <v>384</v>
      </c>
      <c r="IT20">
        <v>0</v>
      </c>
      <c r="IU20">
        <v>0</v>
      </c>
      <c r="IV20">
        <v>0</v>
      </c>
      <c r="IW20">
        <v>0</v>
      </c>
      <c r="IX20">
        <v>0</v>
      </c>
      <c r="IY20">
        <v>0</v>
      </c>
      <c r="IZ20">
        <v>0</v>
      </c>
      <c r="JA20">
        <v>0</v>
      </c>
      <c r="JD20" t="s">
        <v>483</v>
      </c>
      <c r="JE20" t="s">
        <v>386</v>
      </c>
      <c r="JF20" t="s">
        <v>885</v>
      </c>
      <c r="JG20" t="s">
        <v>886</v>
      </c>
      <c r="JH20" t="s">
        <v>887</v>
      </c>
      <c r="JI20" t="s">
        <v>888</v>
      </c>
      <c r="JJ20">
        <v>0.6</v>
      </c>
      <c r="JK20">
        <v>0</v>
      </c>
      <c r="JL20" t="s">
        <v>391</v>
      </c>
      <c r="JM20">
        <v>0</v>
      </c>
      <c r="JN20">
        <v>0</v>
      </c>
      <c r="JO20">
        <v>0</v>
      </c>
      <c r="JP20">
        <v>0</v>
      </c>
      <c r="JQ20">
        <v>0</v>
      </c>
      <c r="JR20">
        <v>0</v>
      </c>
      <c r="JS20">
        <v>0</v>
      </c>
      <c r="JT20">
        <v>0</v>
      </c>
      <c r="JU20">
        <v>0</v>
      </c>
      <c r="JV20">
        <v>0</v>
      </c>
      <c r="JX20" t="s">
        <v>392</v>
      </c>
      <c r="JY20">
        <v>0</v>
      </c>
      <c r="JZ20">
        <v>0</v>
      </c>
      <c r="KA20">
        <v>1</v>
      </c>
      <c r="KB20">
        <v>0</v>
      </c>
      <c r="KC20">
        <v>0</v>
      </c>
      <c r="KD20">
        <v>1</v>
      </c>
      <c r="KE20">
        <v>0</v>
      </c>
      <c r="KF20">
        <v>0</v>
      </c>
      <c r="KG20">
        <v>1</v>
      </c>
      <c r="KH20">
        <v>0</v>
      </c>
      <c r="KI20">
        <v>0</v>
      </c>
      <c r="KJ20">
        <v>1</v>
      </c>
      <c r="KK20">
        <v>0</v>
      </c>
      <c r="KL20">
        <v>0</v>
      </c>
      <c r="KM20">
        <v>1</v>
      </c>
      <c r="KN20">
        <v>0</v>
      </c>
      <c r="KO20">
        <v>0</v>
      </c>
      <c r="KP20">
        <v>1</v>
      </c>
      <c r="KQ20">
        <v>0</v>
      </c>
      <c r="KR20">
        <v>0</v>
      </c>
      <c r="KS20">
        <v>1</v>
      </c>
      <c r="KT20">
        <v>0</v>
      </c>
      <c r="KU20">
        <v>0</v>
      </c>
      <c r="KV20">
        <v>1</v>
      </c>
      <c r="KW20">
        <v>0</v>
      </c>
      <c r="KX20">
        <v>0</v>
      </c>
      <c r="KY20">
        <v>1</v>
      </c>
      <c r="KZ20">
        <v>0</v>
      </c>
      <c r="LA20">
        <v>0</v>
      </c>
      <c r="LB20">
        <v>0</v>
      </c>
      <c r="LC20">
        <v>0</v>
      </c>
      <c r="LD20">
        <v>0</v>
      </c>
      <c r="LE20">
        <v>0</v>
      </c>
      <c r="LF20">
        <v>0</v>
      </c>
      <c r="LG20">
        <v>0</v>
      </c>
      <c r="LH20">
        <v>0</v>
      </c>
      <c r="LI20">
        <v>0</v>
      </c>
      <c r="LJ20">
        <v>0</v>
      </c>
      <c r="LK20">
        <v>0</v>
      </c>
      <c r="LN20" t="s">
        <v>393</v>
      </c>
      <c r="LO20" t="s">
        <v>394</v>
      </c>
      <c r="LP20" t="s">
        <v>395</v>
      </c>
      <c r="LQ20">
        <v>0.4375</v>
      </c>
      <c r="LR20">
        <v>20.181999999999999</v>
      </c>
      <c r="LS20">
        <v>14.270799999999999</v>
      </c>
      <c r="LT20">
        <v>2128</v>
      </c>
      <c r="LU20">
        <v>931</v>
      </c>
      <c r="LV20">
        <v>109.2</v>
      </c>
      <c r="LW20">
        <v>0.89329999999999998</v>
      </c>
      <c r="LX20">
        <v>0.53100000000000003</v>
      </c>
      <c r="LY20">
        <v>0.53100000000000003</v>
      </c>
      <c r="LZ20">
        <v>0.53100000000000003</v>
      </c>
      <c r="MA20">
        <v>0</v>
      </c>
      <c r="MB20">
        <v>1130</v>
      </c>
      <c r="MC20">
        <v>1</v>
      </c>
      <c r="MD20" t="s">
        <v>396</v>
      </c>
      <c r="ME20" t="s">
        <v>397</v>
      </c>
    </row>
    <row r="21" spans="1:343" ht="16.95" customHeight="1" x14ac:dyDescent="0.3">
      <c r="A21" t="s">
        <v>889</v>
      </c>
      <c r="B21" t="s">
        <v>890</v>
      </c>
      <c r="C21" t="s">
        <v>345</v>
      </c>
      <c r="D21" t="s">
        <v>346</v>
      </c>
      <c r="E21" t="s">
        <v>347</v>
      </c>
      <c r="F21" t="s">
        <v>891</v>
      </c>
      <c r="G21" t="s">
        <v>892</v>
      </c>
      <c r="H21" t="s">
        <v>893</v>
      </c>
      <c r="I21" t="s">
        <v>351</v>
      </c>
      <c r="J21">
        <v>1030</v>
      </c>
      <c r="K21">
        <v>511</v>
      </c>
      <c r="L21">
        <v>0.49609999999999999</v>
      </c>
      <c r="M21">
        <v>85</v>
      </c>
      <c r="N21">
        <v>3</v>
      </c>
      <c r="O21">
        <v>1</v>
      </c>
      <c r="P21">
        <v>12.1</v>
      </c>
      <c r="Q21">
        <v>28.3</v>
      </c>
      <c r="R21">
        <v>18.399999999999999</v>
      </c>
      <c r="S21">
        <v>9.8000000000000007</v>
      </c>
      <c r="T21">
        <v>5.5</v>
      </c>
      <c r="U21">
        <v>2.2999999999999998</v>
      </c>
      <c r="V21">
        <v>5.4</v>
      </c>
      <c r="W21">
        <v>4</v>
      </c>
      <c r="X21">
        <v>3</v>
      </c>
      <c r="Y21">
        <v>8</v>
      </c>
      <c r="Z21">
        <v>0</v>
      </c>
      <c r="AA21">
        <v>8</v>
      </c>
      <c r="AB21" t="s">
        <v>352</v>
      </c>
      <c r="AC21" t="b">
        <v>0</v>
      </c>
      <c r="AD21" t="s">
        <v>353</v>
      </c>
      <c r="AE21">
        <v>0.47789999999999999</v>
      </c>
      <c r="AF21" t="s">
        <v>354</v>
      </c>
      <c r="AG21">
        <v>0.2039</v>
      </c>
      <c r="AH21">
        <v>3.2099999999999997E-2</v>
      </c>
      <c r="AI21">
        <v>0.77049999999999996</v>
      </c>
      <c r="AJ21" t="s">
        <v>355</v>
      </c>
      <c r="AK21">
        <v>3.93</v>
      </c>
      <c r="AL21">
        <v>9</v>
      </c>
      <c r="AM21" t="s">
        <v>354</v>
      </c>
      <c r="AN21">
        <v>0</v>
      </c>
      <c r="AO21">
        <v>0</v>
      </c>
      <c r="AP21">
        <v>3</v>
      </c>
      <c r="AQ21">
        <v>2.91</v>
      </c>
      <c r="AR21">
        <v>3</v>
      </c>
      <c r="AS21">
        <v>0</v>
      </c>
      <c r="AT21" t="s">
        <v>357</v>
      </c>
      <c r="AU21">
        <v>14.1</v>
      </c>
      <c r="AV21">
        <v>12</v>
      </c>
      <c r="AW21" t="s">
        <v>354</v>
      </c>
      <c r="AX21">
        <v>8</v>
      </c>
      <c r="AY21">
        <v>7.77</v>
      </c>
      <c r="AZ21">
        <v>0</v>
      </c>
      <c r="BA21">
        <v>8</v>
      </c>
      <c r="BB21">
        <v>0</v>
      </c>
      <c r="BC21">
        <v>0</v>
      </c>
      <c r="BD21">
        <v>0</v>
      </c>
      <c r="BE21">
        <v>8</v>
      </c>
      <c r="BF21">
        <v>0</v>
      </c>
      <c r="BG21">
        <v>8</v>
      </c>
      <c r="BH21">
        <v>1</v>
      </c>
      <c r="BI21">
        <v>0</v>
      </c>
      <c r="BJ21" t="b">
        <v>0</v>
      </c>
      <c r="BK21" t="b">
        <v>0</v>
      </c>
      <c r="BL21">
        <v>3</v>
      </c>
      <c r="BM21">
        <v>3</v>
      </c>
      <c r="BN21">
        <v>2</v>
      </c>
      <c r="BO21">
        <v>1</v>
      </c>
      <c r="BP21">
        <v>0</v>
      </c>
      <c r="BQ21">
        <v>1</v>
      </c>
      <c r="BR21">
        <v>0</v>
      </c>
      <c r="BS21">
        <v>1030</v>
      </c>
      <c r="BT21">
        <v>511</v>
      </c>
      <c r="BU21">
        <v>0.49609999999999999</v>
      </c>
      <c r="BV21">
        <v>3</v>
      </c>
      <c r="BW21">
        <v>1</v>
      </c>
      <c r="BX21">
        <v>343.3</v>
      </c>
      <c r="BZ21" t="s">
        <v>894</v>
      </c>
      <c r="CA21" t="s">
        <v>895</v>
      </c>
      <c r="CB21" t="s">
        <v>896</v>
      </c>
      <c r="CC21" t="s">
        <v>897</v>
      </c>
      <c r="CD21">
        <v>0</v>
      </c>
      <c r="CE21">
        <v>0</v>
      </c>
      <c r="CF21">
        <v>0</v>
      </c>
      <c r="CG21">
        <v>0</v>
      </c>
      <c r="CH21">
        <v>0</v>
      </c>
      <c r="CJ21">
        <v>1</v>
      </c>
      <c r="CK21">
        <v>0.97</v>
      </c>
      <c r="CL21" t="s">
        <v>440</v>
      </c>
      <c r="CM21">
        <v>1</v>
      </c>
      <c r="CN21">
        <v>0</v>
      </c>
      <c r="CO21" t="b">
        <v>0</v>
      </c>
      <c r="CP21" t="b">
        <v>0</v>
      </c>
      <c r="CQ21" t="b">
        <v>1</v>
      </c>
      <c r="CR21" t="b">
        <v>0</v>
      </c>
      <c r="CS21" t="b">
        <v>0</v>
      </c>
      <c r="CT21" t="b">
        <v>0</v>
      </c>
      <c r="CU21" t="b">
        <v>0</v>
      </c>
      <c r="CV21">
        <v>0</v>
      </c>
      <c r="CW21">
        <v>0</v>
      </c>
      <c r="CX21">
        <v>0</v>
      </c>
      <c r="CY21">
        <v>0</v>
      </c>
      <c r="CZ21">
        <v>0</v>
      </c>
      <c r="DA21">
        <v>3</v>
      </c>
      <c r="DB21">
        <v>2.91</v>
      </c>
      <c r="DC21">
        <v>3</v>
      </c>
      <c r="DD21">
        <v>0</v>
      </c>
      <c r="DE21">
        <v>0</v>
      </c>
      <c r="DF21">
        <v>5</v>
      </c>
      <c r="DG21">
        <v>4.8499999999999996</v>
      </c>
      <c r="DH21">
        <v>5</v>
      </c>
      <c r="DI21">
        <v>4.8499999999999996</v>
      </c>
      <c r="DJ21">
        <v>1</v>
      </c>
      <c r="DK21">
        <v>0</v>
      </c>
      <c r="DL21">
        <v>0</v>
      </c>
      <c r="DM21">
        <v>1</v>
      </c>
      <c r="DN21">
        <v>0</v>
      </c>
      <c r="DO21">
        <v>98</v>
      </c>
      <c r="DP21">
        <v>8</v>
      </c>
      <c r="DQ21">
        <v>7.76</v>
      </c>
      <c r="DR21" t="s">
        <v>898</v>
      </c>
      <c r="DS21" t="s">
        <v>899</v>
      </c>
      <c r="DT21" t="s">
        <v>900</v>
      </c>
      <c r="DU21" t="s">
        <v>365</v>
      </c>
      <c r="DV21" t="s">
        <v>901</v>
      </c>
      <c r="DW21">
        <v>0.71</v>
      </c>
      <c r="DX21">
        <v>0</v>
      </c>
      <c r="DY21">
        <v>2</v>
      </c>
      <c r="DZ21">
        <v>5</v>
      </c>
      <c r="EA21">
        <v>0</v>
      </c>
      <c r="EB21">
        <v>7.71</v>
      </c>
      <c r="EC21" t="s">
        <v>369</v>
      </c>
      <c r="ED21" t="s">
        <v>413</v>
      </c>
      <c r="EE21">
        <v>9.2100000000000009</v>
      </c>
      <c r="EF21" t="s">
        <v>356</v>
      </c>
      <c r="EG21">
        <v>0.39</v>
      </c>
      <c r="EH21">
        <v>1.55</v>
      </c>
      <c r="EI21">
        <v>0.25</v>
      </c>
      <c r="EJ21" t="s">
        <v>370</v>
      </c>
      <c r="EK21">
        <v>1.94</v>
      </c>
      <c r="EL21" t="s">
        <v>472</v>
      </c>
      <c r="EM21" t="s">
        <v>902</v>
      </c>
      <c r="EN21">
        <v>2.94</v>
      </c>
      <c r="EO21" t="s">
        <v>474</v>
      </c>
      <c r="EP21">
        <v>0</v>
      </c>
      <c r="EQ21">
        <v>0</v>
      </c>
      <c r="ER21">
        <v>57.1</v>
      </c>
      <c r="ES21" t="s">
        <v>374</v>
      </c>
      <c r="ET21">
        <v>0.65</v>
      </c>
      <c r="EU21">
        <v>3.88</v>
      </c>
      <c r="EV21">
        <v>2.2599999999999998</v>
      </c>
      <c r="EW21">
        <v>1.94</v>
      </c>
      <c r="EX21">
        <v>1.62</v>
      </c>
      <c r="EY21">
        <v>2.2599999999999998</v>
      </c>
      <c r="EZ21">
        <v>1.29</v>
      </c>
      <c r="FA21">
        <v>4.8499999999999996</v>
      </c>
      <c r="FB21">
        <v>4.8499999999999996</v>
      </c>
      <c r="FC21">
        <v>5.82</v>
      </c>
      <c r="FD21" t="s">
        <v>375</v>
      </c>
      <c r="FE21">
        <v>140</v>
      </c>
      <c r="FF21" t="s">
        <v>903</v>
      </c>
      <c r="FG21" t="s">
        <v>904</v>
      </c>
      <c r="FH21" t="s">
        <v>905</v>
      </c>
      <c r="FI21" t="s">
        <v>906</v>
      </c>
      <c r="FJ21" t="s">
        <v>907</v>
      </c>
      <c r="FK21" t="s">
        <v>908</v>
      </c>
      <c r="FL21" t="s">
        <v>909</v>
      </c>
      <c r="FM21">
        <v>0</v>
      </c>
      <c r="FN21">
        <v>0.49359999999999998</v>
      </c>
      <c r="FO21">
        <v>0.77500000000000002</v>
      </c>
      <c r="FP21">
        <v>0.61180000000000001</v>
      </c>
      <c r="FQ21">
        <v>0.43680000000000002</v>
      </c>
      <c r="FR21">
        <v>2.3E-2</v>
      </c>
      <c r="FS21">
        <v>5.7500000000000002E-2</v>
      </c>
      <c r="FT21">
        <v>0</v>
      </c>
      <c r="FU21">
        <v>1.15E-2</v>
      </c>
      <c r="FV21">
        <v>7.5899999999999995E-2</v>
      </c>
      <c r="FW21">
        <v>0</v>
      </c>
      <c r="FX21">
        <v>8.6499999999999994E-2</v>
      </c>
      <c r="FY21">
        <v>0.25069999999999998</v>
      </c>
      <c r="FZ21">
        <v>4.3200000000000002E-2</v>
      </c>
      <c r="GA21">
        <v>87</v>
      </c>
      <c r="GB21">
        <v>1</v>
      </c>
      <c r="GC21">
        <v>1</v>
      </c>
      <c r="GD21">
        <v>26</v>
      </c>
      <c r="GE21">
        <v>0</v>
      </c>
      <c r="GF21">
        <v>7</v>
      </c>
      <c r="GG21">
        <v>1</v>
      </c>
      <c r="GH21">
        <v>2</v>
      </c>
      <c r="GI21">
        <v>0</v>
      </c>
      <c r="GJ21">
        <v>1</v>
      </c>
      <c r="GK21">
        <v>0</v>
      </c>
      <c r="GL21">
        <v>0</v>
      </c>
      <c r="GM21">
        <v>0</v>
      </c>
      <c r="GN21">
        <v>0</v>
      </c>
      <c r="GO21">
        <v>0</v>
      </c>
      <c r="GP21">
        <v>0</v>
      </c>
      <c r="GQ21">
        <v>0</v>
      </c>
      <c r="GR21">
        <v>0</v>
      </c>
      <c r="GS21">
        <v>0.25950000000000001</v>
      </c>
      <c r="GT21">
        <v>0</v>
      </c>
      <c r="GU21">
        <v>0</v>
      </c>
      <c r="GV21">
        <v>0.12970000000000001</v>
      </c>
      <c r="GW21">
        <v>0</v>
      </c>
      <c r="GX21">
        <v>0.12970000000000001</v>
      </c>
      <c r="GY21">
        <v>0.12970000000000001</v>
      </c>
      <c r="GZ21">
        <v>0</v>
      </c>
      <c r="HA21">
        <v>0</v>
      </c>
      <c r="HB21">
        <v>0</v>
      </c>
      <c r="HC21" t="s">
        <v>383</v>
      </c>
      <c r="HD21">
        <v>0</v>
      </c>
      <c r="HE21">
        <v>0</v>
      </c>
      <c r="HF21">
        <v>0</v>
      </c>
      <c r="HG21">
        <v>0</v>
      </c>
      <c r="HH21">
        <v>0</v>
      </c>
      <c r="HI21" t="s">
        <v>383</v>
      </c>
      <c r="HJ21">
        <v>0</v>
      </c>
      <c r="HK21">
        <v>0</v>
      </c>
      <c r="HL21">
        <v>0</v>
      </c>
      <c r="HM21">
        <v>0</v>
      </c>
      <c r="HN21">
        <v>0</v>
      </c>
      <c r="HO21" t="s">
        <v>383</v>
      </c>
      <c r="HP21">
        <v>0</v>
      </c>
      <c r="HQ21">
        <v>0</v>
      </c>
      <c r="HR21">
        <v>0</v>
      </c>
      <c r="HS21">
        <v>0</v>
      </c>
      <c r="HT21">
        <v>0</v>
      </c>
      <c r="HU21" t="s">
        <v>383</v>
      </c>
      <c r="HV21">
        <v>0</v>
      </c>
      <c r="HW21">
        <v>0</v>
      </c>
      <c r="HX21">
        <v>0</v>
      </c>
      <c r="HY21">
        <v>0</v>
      </c>
      <c r="HZ21">
        <v>0</v>
      </c>
      <c r="IA21" t="s">
        <v>384</v>
      </c>
      <c r="IB21">
        <v>0</v>
      </c>
      <c r="IC21">
        <v>0</v>
      </c>
      <c r="ID21">
        <v>0</v>
      </c>
      <c r="IE21">
        <v>0</v>
      </c>
      <c r="IF21">
        <v>0</v>
      </c>
      <c r="IG21" t="s">
        <v>384</v>
      </c>
      <c r="IH21">
        <v>0</v>
      </c>
      <c r="II21">
        <v>0</v>
      </c>
      <c r="IJ21">
        <v>0</v>
      </c>
      <c r="IK21">
        <v>0</v>
      </c>
      <c r="IL21">
        <v>0</v>
      </c>
      <c r="IM21" t="s">
        <v>384</v>
      </c>
      <c r="IN21">
        <v>0</v>
      </c>
      <c r="IO21">
        <v>0</v>
      </c>
      <c r="IP21">
        <v>0</v>
      </c>
      <c r="IQ21">
        <v>0</v>
      </c>
      <c r="IR21">
        <v>0</v>
      </c>
      <c r="IS21" t="s">
        <v>384</v>
      </c>
      <c r="IT21">
        <v>0</v>
      </c>
      <c r="IU21">
        <v>0</v>
      </c>
      <c r="IV21">
        <v>0</v>
      </c>
      <c r="IW21">
        <v>0</v>
      </c>
      <c r="IX21">
        <v>0</v>
      </c>
      <c r="IY21">
        <v>0</v>
      </c>
      <c r="IZ21">
        <v>0</v>
      </c>
      <c r="JA21">
        <v>0</v>
      </c>
      <c r="JD21" t="s">
        <v>910</v>
      </c>
      <c r="JE21" t="s">
        <v>779</v>
      </c>
      <c r="JF21" t="s">
        <v>911</v>
      </c>
      <c r="JG21" t="s">
        <v>912</v>
      </c>
      <c r="JH21" t="s">
        <v>913</v>
      </c>
      <c r="JI21" t="s">
        <v>914</v>
      </c>
      <c r="JJ21">
        <v>0.5</v>
      </c>
      <c r="JK21">
        <v>0</v>
      </c>
      <c r="JL21" t="s">
        <v>391</v>
      </c>
      <c r="JM21">
        <v>0</v>
      </c>
      <c r="JN21">
        <v>0</v>
      </c>
      <c r="JO21">
        <v>0</v>
      </c>
      <c r="JP21">
        <v>0</v>
      </c>
      <c r="JQ21">
        <v>0</v>
      </c>
      <c r="JR21">
        <v>0</v>
      </c>
      <c r="JS21">
        <v>0</v>
      </c>
      <c r="JT21">
        <v>0</v>
      </c>
      <c r="JU21">
        <v>0</v>
      </c>
      <c r="JV21">
        <v>0</v>
      </c>
      <c r="JX21" t="s">
        <v>392</v>
      </c>
      <c r="JY21">
        <v>0</v>
      </c>
      <c r="JZ21">
        <v>0</v>
      </c>
      <c r="KA21">
        <v>1</v>
      </c>
      <c r="KB21">
        <v>0</v>
      </c>
      <c r="KC21">
        <v>0</v>
      </c>
      <c r="KD21">
        <v>1</v>
      </c>
      <c r="KE21">
        <v>0</v>
      </c>
      <c r="KF21">
        <v>0</v>
      </c>
      <c r="KG21">
        <v>1</v>
      </c>
      <c r="KH21">
        <v>0</v>
      </c>
      <c r="KI21">
        <v>0</v>
      </c>
      <c r="KJ21">
        <v>1</v>
      </c>
      <c r="KK21">
        <v>0</v>
      </c>
      <c r="KL21">
        <v>0</v>
      </c>
      <c r="KM21">
        <v>1</v>
      </c>
      <c r="KN21">
        <v>0</v>
      </c>
      <c r="KO21">
        <v>0</v>
      </c>
      <c r="KP21">
        <v>1</v>
      </c>
      <c r="KQ21">
        <v>0</v>
      </c>
      <c r="KR21">
        <v>0</v>
      </c>
      <c r="KS21">
        <v>1</v>
      </c>
      <c r="KT21">
        <v>0</v>
      </c>
      <c r="KU21">
        <v>0</v>
      </c>
      <c r="KV21">
        <v>1</v>
      </c>
      <c r="KW21">
        <v>0</v>
      </c>
      <c r="KX21">
        <v>0</v>
      </c>
      <c r="KY21">
        <v>1</v>
      </c>
      <c r="KZ21">
        <v>0</v>
      </c>
      <c r="LA21">
        <v>0</v>
      </c>
      <c r="LB21">
        <v>0</v>
      </c>
      <c r="LC21">
        <v>0</v>
      </c>
      <c r="LD21">
        <v>0</v>
      </c>
      <c r="LE21">
        <v>0</v>
      </c>
      <c r="LF21">
        <v>0</v>
      </c>
      <c r="LG21">
        <v>0</v>
      </c>
      <c r="LH21">
        <v>0</v>
      </c>
      <c r="LI21">
        <v>0</v>
      </c>
      <c r="LJ21">
        <v>0</v>
      </c>
      <c r="LK21">
        <v>0</v>
      </c>
      <c r="LN21" t="s">
        <v>393</v>
      </c>
      <c r="LO21" t="s">
        <v>394</v>
      </c>
      <c r="LP21" t="s">
        <v>395</v>
      </c>
      <c r="LQ21">
        <v>0.49630000000000002</v>
      </c>
      <c r="LR21">
        <v>15.3546</v>
      </c>
      <c r="LS21">
        <v>10.8573</v>
      </c>
      <c r="LT21">
        <v>957</v>
      </c>
      <c r="LU21">
        <v>475</v>
      </c>
      <c r="LV21">
        <v>102.0249</v>
      </c>
      <c r="LW21">
        <v>0.88490000000000002</v>
      </c>
      <c r="LX21">
        <v>0.57609999999999995</v>
      </c>
      <c r="LY21">
        <v>0.57609999999999995</v>
      </c>
      <c r="LZ21">
        <v>0.57609999999999995</v>
      </c>
      <c r="MA21">
        <v>0</v>
      </c>
      <c r="MB21">
        <v>545</v>
      </c>
      <c r="MC21">
        <v>1</v>
      </c>
      <c r="MD21" t="s">
        <v>396</v>
      </c>
      <c r="ME21" t="s">
        <v>517</v>
      </c>
    </row>
    <row r="22" spans="1:343" ht="16.95" customHeight="1" x14ac:dyDescent="0.3">
      <c r="A22" t="s">
        <v>915</v>
      </c>
      <c r="B22" t="s">
        <v>916</v>
      </c>
      <c r="C22" t="s">
        <v>345</v>
      </c>
      <c r="D22" t="s">
        <v>346</v>
      </c>
      <c r="E22" t="s">
        <v>347</v>
      </c>
      <c r="F22" t="s">
        <v>917</v>
      </c>
      <c r="G22" t="s">
        <v>918</v>
      </c>
      <c r="H22" t="s">
        <v>919</v>
      </c>
      <c r="I22" t="s">
        <v>351</v>
      </c>
      <c r="J22">
        <v>1449</v>
      </c>
      <c r="K22">
        <v>627</v>
      </c>
      <c r="L22">
        <v>0.43269999999999997</v>
      </c>
      <c r="M22">
        <v>99</v>
      </c>
      <c r="N22">
        <v>3</v>
      </c>
      <c r="O22">
        <v>1</v>
      </c>
      <c r="P22">
        <v>14.6</v>
      </c>
      <c r="Q22">
        <v>33</v>
      </c>
      <c r="R22">
        <v>19.3</v>
      </c>
      <c r="S22">
        <v>7.6</v>
      </c>
      <c r="T22">
        <v>8.8000000000000007</v>
      </c>
      <c r="U22">
        <v>2.6</v>
      </c>
      <c r="V22">
        <v>7.8</v>
      </c>
      <c r="W22">
        <v>15</v>
      </c>
      <c r="X22">
        <v>11</v>
      </c>
      <c r="Y22">
        <v>5</v>
      </c>
      <c r="Z22">
        <v>1</v>
      </c>
      <c r="AA22">
        <v>5</v>
      </c>
      <c r="AB22" t="s">
        <v>352</v>
      </c>
      <c r="AC22" t="b">
        <v>0</v>
      </c>
      <c r="AD22" t="s">
        <v>353</v>
      </c>
      <c r="AE22">
        <v>0.45290000000000002</v>
      </c>
      <c r="AF22" t="s">
        <v>354</v>
      </c>
      <c r="AG22">
        <v>0.27329999999999999</v>
      </c>
      <c r="AH22">
        <v>2.5600000000000001E-2</v>
      </c>
      <c r="AI22">
        <v>0.70809999999999995</v>
      </c>
      <c r="AJ22" t="s">
        <v>355</v>
      </c>
      <c r="AK22">
        <v>3.93</v>
      </c>
      <c r="AL22">
        <v>9</v>
      </c>
      <c r="AM22" t="s">
        <v>354</v>
      </c>
      <c r="AN22">
        <v>1</v>
      </c>
      <c r="AO22">
        <v>0.69</v>
      </c>
      <c r="AP22">
        <v>11</v>
      </c>
      <c r="AQ22">
        <v>7.59</v>
      </c>
      <c r="AR22">
        <v>11</v>
      </c>
      <c r="AS22">
        <v>1</v>
      </c>
      <c r="AT22" t="s">
        <v>357</v>
      </c>
      <c r="AU22">
        <v>26.3</v>
      </c>
      <c r="AV22">
        <v>26</v>
      </c>
      <c r="AW22" t="s">
        <v>356</v>
      </c>
      <c r="AX22">
        <v>7</v>
      </c>
      <c r="AY22">
        <v>4.83</v>
      </c>
      <c r="AZ22">
        <v>0</v>
      </c>
      <c r="BA22">
        <v>7</v>
      </c>
      <c r="BB22">
        <v>0</v>
      </c>
      <c r="BC22">
        <v>0</v>
      </c>
      <c r="BD22">
        <v>0</v>
      </c>
      <c r="BE22">
        <v>7</v>
      </c>
      <c r="BF22">
        <v>0</v>
      </c>
      <c r="BG22">
        <v>7</v>
      </c>
      <c r="BH22">
        <v>1</v>
      </c>
      <c r="BI22">
        <v>0.2</v>
      </c>
      <c r="BJ22" t="b">
        <v>0</v>
      </c>
      <c r="BK22" t="b">
        <v>0</v>
      </c>
      <c r="BL22">
        <v>3</v>
      </c>
      <c r="BM22">
        <v>3</v>
      </c>
      <c r="BN22">
        <v>2</v>
      </c>
      <c r="BO22">
        <v>1</v>
      </c>
      <c r="BP22">
        <v>0</v>
      </c>
      <c r="BQ22">
        <v>1</v>
      </c>
      <c r="BR22">
        <v>0</v>
      </c>
      <c r="BS22">
        <v>1449</v>
      </c>
      <c r="BT22">
        <v>627</v>
      </c>
      <c r="BU22">
        <v>0.43269999999999997</v>
      </c>
      <c r="BV22">
        <v>3</v>
      </c>
      <c r="BW22">
        <v>1</v>
      </c>
      <c r="BX22">
        <v>483</v>
      </c>
      <c r="BZ22" t="s">
        <v>920</v>
      </c>
      <c r="CA22" t="s">
        <v>921</v>
      </c>
      <c r="CB22" t="s">
        <v>922</v>
      </c>
      <c r="CC22" t="s">
        <v>923</v>
      </c>
      <c r="CD22">
        <v>0</v>
      </c>
      <c r="CE22">
        <v>0</v>
      </c>
      <c r="CF22">
        <v>0</v>
      </c>
      <c r="CG22">
        <v>0</v>
      </c>
      <c r="CH22">
        <v>4</v>
      </c>
      <c r="CI22" t="s">
        <v>924</v>
      </c>
      <c r="CJ22">
        <v>2</v>
      </c>
      <c r="CK22">
        <v>1.38</v>
      </c>
      <c r="CL22" t="s">
        <v>440</v>
      </c>
      <c r="CM22">
        <v>1</v>
      </c>
      <c r="CN22">
        <v>0</v>
      </c>
      <c r="CO22" t="b">
        <v>0</v>
      </c>
      <c r="CP22" t="b">
        <v>0</v>
      </c>
      <c r="CQ22" t="b">
        <v>1</v>
      </c>
      <c r="CR22" t="b">
        <v>0</v>
      </c>
      <c r="CS22" t="b">
        <v>0</v>
      </c>
      <c r="CT22" t="b">
        <v>0</v>
      </c>
      <c r="CU22" t="b">
        <v>0</v>
      </c>
      <c r="CV22">
        <v>0</v>
      </c>
      <c r="CW22">
        <v>0</v>
      </c>
      <c r="CX22">
        <v>0</v>
      </c>
      <c r="CY22">
        <v>0</v>
      </c>
      <c r="CZ22">
        <v>0</v>
      </c>
      <c r="DA22">
        <v>11</v>
      </c>
      <c r="DB22">
        <v>7.59</v>
      </c>
      <c r="DC22">
        <v>11</v>
      </c>
      <c r="DD22">
        <v>1</v>
      </c>
      <c r="DE22">
        <v>0.69</v>
      </c>
      <c r="DF22">
        <v>4</v>
      </c>
      <c r="DG22">
        <v>2.76</v>
      </c>
      <c r="DH22">
        <v>6</v>
      </c>
      <c r="DI22">
        <v>4.1399999999999997</v>
      </c>
      <c r="DJ22">
        <v>0.67</v>
      </c>
      <c r="DK22">
        <v>0</v>
      </c>
      <c r="DL22">
        <v>0</v>
      </c>
      <c r="DM22">
        <v>1</v>
      </c>
      <c r="DN22">
        <v>1</v>
      </c>
      <c r="DO22">
        <v>80</v>
      </c>
      <c r="DP22">
        <v>1</v>
      </c>
      <c r="DQ22">
        <v>0.69</v>
      </c>
      <c r="DR22" t="s">
        <v>925</v>
      </c>
      <c r="DS22" t="s">
        <v>926</v>
      </c>
      <c r="DT22" t="s">
        <v>927</v>
      </c>
      <c r="DU22" t="s">
        <v>925</v>
      </c>
      <c r="DV22" t="s">
        <v>928</v>
      </c>
      <c r="DW22">
        <v>0.71</v>
      </c>
      <c r="DX22">
        <v>0</v>
      </c>
      <c r="DY22">
        <v>2</v>
      </c>
      <c r="DZ22">
        <v>5</v>
      </c>
      <c r="EA22">
        <v>1</v>
      </c>
      <c r="EB22">
        <v>8.7100000000000009</v>
      </c>
      <c r="EC22" t="s">
        <v>369</v>
      </c>
      <c r="ED22" t="s">
        <v>369</v>
      </c>
      <c r="EE22">
        <v>10</v>
      </c>
      <c r="EF22" t="s">
        <v>356</v>
      </c>
      <c r="EG22">
        <v>0</v>
      </c>
      <c r="EH22">
        <v>2.83</v>
      </c>
      <c r="EI22">
        <v>0</v>
      </c>
      <c r="EJ22" t="s">
        <v>370</v>
      </c>
      <c r="EK22">
        <v>0.69</v>
      </c>
      <c r="EL22" t="s">
        <v>371</v>
      </c>
      <c r="EM22" t="s">
        <v>929</v>
      </c>
      <c r="EN22">
        <v>1.91</v>
      </c>
      <c r="EO22" t="s">
        <v>474</v>
      </c>
      <c r="EP22">
        <v>0</v>
      </c>
      <c r="EQ22">
        <v>2</v>
      </c>
      <c r="ER22">
        <v>73</v>
      </c>
      <c r="ES22" t="s">
        <v>475</v>
      </c>
      <c r="ET22">
        <v>0.46</v>
      </c>
      <c r="EU22">
        <v>0.23</v>
      </c>
      <c r="EV22">
        <v>4.37</v>
      </c>
      <c r="EW22">
        <v>0.69</v>
      </c>
      <c r="EX22">
        <v>2.5299999999999998</v>
      </c>
      <c r="EY22">
        <v>0.46</v>
      </c>
      <c r="EZ22">
        <v>0.92</v>
      </c>
      <c r="FA22">
        <v>1.84</v>
      </c>
      <c r="FB22">
        <v>1.84</v>
      </c>
      <c r="FC22">
        <v>5.75</v>
      </c>
      <c r="FD22" t="s">
        <v>375</v>
      </c>
      <c r="FE22">
        <v>103</v>
      </c>
      <c r="FF22" t="s">
        <v>930</v>
      </c>
      <c r="FG22" t="s">
        <v>931</v>
      </c>
      <c r="FH22" t="s">
        <v>932</v>
      </c>
      <c r="FI22" t="s">
        <v>933</v>
      </c>
      <c r="FJ22" t="s">
        <v>934</v>
      </c>
      <c r="FK22" t="s">
        <v>935</v>
      </c>
      <c r="FL22" t="s">
        <v>936</v>
      </c>
      <c r="FM22">
        <v>0</v>
      </c>
      <c r="FN22">
        <v>0.4869</v>
      </c>
      <c r="FO22">
        <v>0.77500000000000002</v>
      </c>
      <c r="FP22">
        <v>0.6079</v>
      </c>
      <c r="FQ22">
        <v>0.36</v>
      </c>
      <c r="FR22">
        <v>0</v>
      </c>
      <c r="FS22">
        <v>0.02</v>
      </c>
      <c r="FT22">
        <v>0</v>
      </c>
      <c r="FU22">
        <v>7.7000000000000002E-3</v>
      </c>
      <c r="FV22">
        <v>0.124</v>
      </c>
      <c r="FW22">
        <v>0</v>
      </c>
      <c r="FX22">
        <v>0</v>
      </c>
      <c r="FY22">
        <v>0.2601</v>
      </c>
      <c r="FZ22">
        <v>0</v>
      </c>
      <c r="GA22">
        <v>100</v>
      </c>
      <c r="GB22">
        <v>1</v>
      </c>
      <c r="GC22">
        <v>1</v>
      </c>
      <c r="GD22">
        <v>54</v>
      </c>
      <c r="GE22">
        <v>1</v>
      </c>
      <c r="GF22">
        <v>29</v>
      </c>
      <c r="GG22">
        <v>0</v>
      </c>
      <c r="GH22">
        <v>1</v>
      </c>
      <c r="GI22">
        <v>0</v>
      </c>
      <c r="GJ22">
        <v>0</v>
      </c>
      <c r="GK22">
        <v>0</v>
      </c>
      <c r="GL22">
        <v>0</v>
      </c>
      <c r="GM22">
        <v>0</v>
      </c>
      <c r="GN22">
        <v>0</v>
      </c>
      <c r="GO22">
        <v>0</v>
      </c>
      <c r="GP22">
        <v>9.0999999999999998E-2</v>
      </c>
      <c r="GQ22">
        <v>0</v>
      </c>
      <c r="GR22">
        <v>0</v>
      </c>
      <c r="GS22">
        <v>0</v>
      </c>
      <c r="GT22">
        <v>0</v>
      </c>
      <c r="GU22">
        <v>0</v>
      </c>
      <c r="GV22">
        <v>0</v>
      </c>
      <c r="GW22">
        <v>0</v>
      </c>
      <c r="GX22">
        <v>0</v>
      </c>
      <c r="GY22">
        <v>0</v>
      </c>
      <c r="GZ22">
        <v>0</v>
      </c>
      <c r="HA22">
        <v>0</v>
      </c>
      <c r="HB22">
        <v>0</v>
      </c>
      <c r="HC22" t="s">
        <v>383</v>
      </c>
      <c r="HD22">
        <v>0</v>
      </c>
      <c r="HE22">
        <v>0</v>
      </c>
      <c r="HF22">
        <v>0</v>
      </c>
      <c r="HG22">
        <v>0</v>
      </c>
      <c r="HH22">
        <v>0</v>
      </c>
      <c r="HI22" t="s">
        <v>383</v>
      </c>
      <c r="HJ22">
        <v>0</v>
      </c>
      <c r="HK22">
        <v>0</v>
      </c>
      <c r="HL22">
        <v>0</v>
      </c>
      <c r="HM22">
        <v>0</v>
      </c>
      <c r="HN22">
        <v>0</v>
      </c>
      <c r="HO22" t="s">
        <v>383</v>
      </c>
      <c r="HP22">
        <v>0</v>
      </c>
      <c r="HQ22">
        <v>0</v>
      </c>
      <c r="HR22">
        <v>0</v>
      </c>
      <c r="HS22">
        <v>0</v>
      </c>
      <c r="HT22">
        <v>0</v>
      </c>
      <c r="HU22" t="s">
        <v>383</v>
      </c>
      <c r="HV22">
        <v>0</v>
      </c>
      <c r="HW22">
        <v>0</v>
      </c>
      <c r="HX22">
        <v>0</v>
      </c>
      <c r="HY22">
        <v>0</v>
      </c>
      <c r="HZ22">
        <v>0</v>
      </c>
      <c r="IA22" t="s">
        <v>384</v>
      </c>
      <c r="IB22">
        <v>0</v>
      </c>
      <c r="IC22">
        <v>0</v>
      </c>
      <c r="ID22">
        <v>0</v>
      </c>
      <c r="IE22">
        <v>0</v>
      </c>
      <c r="IF22">
        <v>0</v>
      </c>
      <c r="IG22" t="s">
        <v>384</v>
      </c>
      <c r="IH22">
        <v>0</v>
      </c>
      <c r="II22">
        <v>0</v>
      </c>
      <c r="IJ22">
        <v>0</v>
      </c>
      <c r="IK22">
        <v>0</v>
      </c>
      <c r="IL22">
        <v>0</v>
      </c>
      <c r="IM22" t="s">
        <v>384</v>
      </c>
      <c r="IN22">
        <v>0</v>
      </c>
      <c r="IO22">
        <v>0</v>
      </c>
      <c r="IP22">
        <v>0</v>
      </c>
      <c r="IQ22">
        <v>0</v>
      </c>
      <c r="IR22">
        <v>0</v>
      </c>
      <c r="IS22" t="s">
        <v>384</v>
      </c>
      <c r="IT22">
        <v>0</v>
      </c>
      <c r="IU22">
        <v>0</v>
      </c>
      <c r="IV22">
        <v>0</v>
      </c>
      <c r="IW22">
        <v>0</v>
      </c>
      <c r="IX22">
        <v>0</v>
      </c>
      <c r="IY22">
        <v>0</v>
      </c>
      <c r="IZ22">
        <v>0</v>
      </c>
      <c r="JA22">
        <v>0</v>
      </c>
      <c r="JD22" t="s">
        <v>483</v>
      </c>
      <c r="JE22" t="s">
        <v>484</v>
      </c>
      <c r="JF22" t="s">
        <v>937</v>
      </c>
      <c r="JG22" t="s">
        <v>938</v>
      </c>
      <c r="JH22" t="s">
        <v>939</v>
      </c>
      <c r="JI22" t="s">
        <v>940</v>
      </c>
      <c r="JJ22">
        <v>0.38329999999999997</v>
      </c>
      <c r="JK22">
        <v>0</v>
      </c>
      <c r="JL22" t="s">
        <v>391</v>
      </c>
      <c r="JM22">
        <v>0</v>
      </c>
      <c r="JN22">
        <v>0</v>
      </c>
      <c r="JO22">
        <v>0</v>
      </c>
      <c r="JP22">
        <v>0</v>
      </c>
      <c r="JQ22">
        <v>0</v>
      </c>
      <c r="JR22">
        <v>0</v>
      </c>
      <c r="JS22">
        <v>0</v>
      </c>
      <c r="JT22">
        <v>0</v>
      </c>
      <c r="JU22">
        <v>0</v>
      </c>
      <c r="JV22">
        <v>0</v>
      </c>
      <c r="JX22" t="s">
        <v>392</v>
      </c>
      <c r="JY22">
        <v>0</v>
      </c>
      <c r="JZ22">
        <v>0</v>
      </c>
      <c r="KA22">
        <v>1</v>
      </c>
      <c r="KB22">
        <v>0</v>
      </c>
      <c r="KC22">
        <v>0</v>
      </c>
      <c r="KD22">
        <v>1</v>
      </c>
      <c r="KE22">
        <v>0</v>
      </c>
      <c r="KF22">
        <v>0</v>
      </c>
      <c r="KG22">
        <v>1</v>
      </c>
      <c r="KH22">
        <v>0</v>
      </c>
      <c r="KI22">
        <v>0</v>
      </c>
      <c r="KJ22">
        <v>1</v>
      </c>
      <c r="KK22">
        <v>0</v>
      </c>
      <c r="KL22">
        <v>0</v>
      </c>
      <c r="KM22">
        <v>1</v>
      </c>
      <c r="KN22">
        <v>0</v>
      </c>
      <c r="KO22">
        <v>0</v>
      </c>
      <c r="KP22">
        <v>1</v>
      </c>
      <c r="KQ22">
        <v>0</v>
      </c>
      <c r="KR22">
        <v>0</v>
      </c>
      <c r="KS22">
        <v>1</v>
      </c>
      <c r="KT22">
        <v>0</v>
      </c>
      <c r="KU22">
        <v>0</v>
      </c>
      <c r="KV22">
        <v>1</v>
      </c>
      <c r="KW22">
        <v>0</v>
      </c>
      <c r="KX22">
        <v>0</v>
      </c>
      <c r="KY22">
        <v>1</v>
      </c>
      <c r="KZ22">
        <v>0</v>
      </c>
      <c r="LA22">
        <v>0</v>
      </c>
      <c r="LB22">
        <v>0</v>
      </c>
      <c r="LC22">
        <v>0</v>
      </c>
      <c r="LD22">
        <v>0</v>
      </c>
      <c r="LE22">
        <v>0</v>
      </c>
      <c r="LF22">
        <v>0</v>
      </c>
      <c r="LG22">
        <v>0</v>
      </c>
      <c r="LH22">
        <v>0</v>
      </c>
      <c r="LI22">
        <v>0</v>
      </c>
      <c r="LJ22">
        <v>0</v>
      </c>
      <c r="LK22">
        <v>0</v>
      </c>
      <c r="LN22" t="s">
        <v>393</v>
      </c>
      <c r="LO22" t="s">
        <v>394</v>
      </c>
      <c r="LP22" t="s">
        <v>395</v>
      </c>
      <c r="LQ22">
        <v>0.437</v>
      </c>
      <c r="LR22">
        <v>16.137599999999999</v>
      </c>
      <c r="LS22">
        <v>11.411</v>
      </c>
      <c r="LT22">
        <v>1364</v>
      </c>
      <c r="LU22">
        <v>596</v>
      </c>
      <c r="LV22">
        <v>97.428600000000003</v>
      </c>
      <c r="LW22">
        <v>0.88890000000000002</v>
      </c>
      <c r="LX22">
        <v>0.50670000000000004</v>
      </c>
      <c r="LY22">
        <v>0.50670000000000004</v>
      </c>
      <c r="LZ22">
        <v>0.50670000000000004</v>
      </c>
      <c r="MA22">
        <v>0</v>
      </c>
      <c r="MB22">
        <v>680</v>
      </c>
      <c r="MC22">
        <v>1</v>
      </c>
      <c r="MD22" t="s">
        <v>396</v>
      </c>
      <c r="ME22" t="s">
        <v>397</v>
      </c>
    </row>
    <row r="23" spans="1:343" ht="16.95" customHeight="1" x14ac:dyDescent="0.3">
      <c r="A23" t="s">
        <v>941</v>
      </c>
      <c r="B23" t="s">
        <v>942</v>
      </c>
      <c r="C23" t="s">
        <v>345</v>
      </c>
      <c r="D23" t="s">
        <v>346</v>
      </c>
      <c r="E23" t="s">
        <v>347</v>
      </c>
      <c r="F23" t="s">
        <v>943</v>
      </c>
      <c r="G23" t="s">
        <v>944</v>
      </c>
      <c r="H23" t="s">
        <v>945</v>
      </c>
      <c r="I23" t="s">
        <v>351</v>
      </c>
      <c r="J23">
        <v>1072</v>
      </c>
      <c r="K23">
        <v>531</v>
      </c>
      <c r="L23">
        <v>0.49530000000000002</v>
      </c>
      <c r="M23">
        <v>70</v>
      </c>
      <c r="N23">
        <v>2</v>
      </c>
      <c r="O23">
        <v>1</v>
      </c>
      <c r="P23">
        <v>15.3</v>
      </c>
      <c r="Q23">
        <v>35</v>
      </c>
      <c r="R23">
        <v>22.1</v>
      </c>
      <c r="S23">
        <v>12.3</v>
      </c>
      <c r="T23">
        <v>7.4</v>
      </c>
      <c r="U23">
        <v>2.1</v>
      </c>
      <c r="V23">
        <v>4.3</v>
      </c>
      <c r="W23">
        <v>5</v>
      </c>
      <c r="X23">
        <v>3</v>
      </c>
      <c r="Y23">
        <v>6</v>
      </c>
      <c r="Z23">
        <v>0</v>
      </c>
      <c r="AA23">
        <v>6</v>
      </c>
      <c r="AB23" t="s">
        <v>493</v>
      </c>
      <c r="AC23" t="b">
        <v>0</v>
      </c>
      <c r="AD23" t="s">
        <v>353</v>
      </c>
      <c r="AE23">
        <v>0.46300000000000002</v>
      </c>
      <c r="AF23" t="s">
        <v>354</v>
      </c>
      <c r="AG23">
        <v>0.1754</v>
      </c>
      <c r="AH23">
        <v>3.7400000000000003E-2</v>
      </c>
      <c r="AI23">
        <v>0.79379999999999995</v>
      </c>
      <c r="AJ23" t="s">
        <v>355</v>
      </c>
      <c r="AK23">
        <v>3.7</v>
      </c>
      <c r="AL23">
        <v>10</v>
      </c>
      <c r="AM23" t="s">
        <v>354</v>
      </c>
      <c r="AN23">
        <v>0</v>
      </c>
      <c r="AO23">
        <v>0</v>
      </c>
      <c r="AP23">
        <v>4</v>
      </c>
      <c r="AQ23">
        <v>3.73</v>
      </c>
      <c r="AR23">
        <v>4</v>
      </c>
      <c r="AS23">
        <v>1</v>
      </c>
      <c r="AT23" t="s">
        <v>357</v>
      </c>
      <c r="AU23">
        <v>28.6</v>
      </c>
      <c r="AV23">
        <v>20</v>
      </c>
      <c r="AW23" t="s">
        <v>356</v>
      </c>
      <c r="AX23">
        <v>12</v>
      </c>
      <c r="AY23">
        <v>11.19</v>
      </c>
      <c r="AZ23">
        <v>0</v>
      </c>
      <c r="BA23">
        <v>12</v>
      </c>
      <c r="BB23">
        <v>0</v>
      </c>
      <c r="BC23">
        <v>0</v>
      </c>
      <c r="BD23">
        <v>0</v>
      </c>
      <c r="BE23">
        <v>12</v>
      </c>
      <c r="BF23">
        <v>0</v>
      </c>
      <c r="BG23">
        <v>12</v>
      </c>
      <c r="BH23">
        <v>0</v>
      </c>
      <c r="BI23">
        <v>0.16</v>
      </c>
      <c r="BJ23" t="b">
        <v>0</v>
      </c>
      <c r="BK23" t="b">
        <v>0</v>
      </c>
      <c r="BL23">
        <v>2</v>
      </c>
      <c r="BM23">
        <v>1</v>
      </c>
      <c r="BN23">
        <v>1</v>
      </c>
      <c r="BO23">
        <v>0</v>
      </c>
      <c r="BP23">
        <v>0</v>
      </c>
      <c r="BQ23">
        <v>1</v>
      </c>
      <c r="BR23">
        <v>0</v>
      </c>
      <c r="BS23">
        <v>1072</v>
      </c>
      <c r="BT23">
        <v>531</v>
      </c>
      <c r="BU23">
        <v>0.49530000000000002</v>
      </c>
      <c r="BV23">
        <v>3</v>
      </c>
      <c r="BW23">
        <v>1</v>
      </c>
      <c r="BX23">
        <v>357.3</v>
      </c>
      <c r="BZ23" t="s">
        <v>946</v>
      </c>
      <c r="CA23" t="s">
        <v>947</v>
      </c>
      <c r="CB23" t="s">
        <v>948</v>
      </c>
      <c r="CC23" t="s">
        <v>949</v>
      </c>
      <c r="CD23">
        <v>0</v>
      </c>
      <c r="CE23">
        <v>0</v>
      </c>
      <c r="CF23">
        <v>0</v>
      </c>
      <c r="CG23">
        <v>0</v>
      </c>
      <c r="CH23">
        <v>0</v>
      </c>
      <c r="CJ23">
        <v>2</v>
      </c>
      <c r="CK23">
        <v>1.86</v>
      </c>
      <c r="CL23" t="s">
        <v>440</v>
      </c>
      <c r="CM23">
        <v>1</v>
      </c>
      <c r="CN23">
        <v>0</v>
      </c>
      <c r="CO23" t="b">
        <v>0</v>
      </c>
      <c r="CP23" t="b">
        <v>0</v>
      </c>
      <c r="CQ23" t="b">
        <v>1</v>
      </c>
      <c r="CR23" t="b">
        <v>0</v>
      </c>
      <c r="CS23" t="b">
        <v>0</v>
      </c>
      <c r="CT23" t="b">
        <v>0</v>
      </c>
      <c r="CU23" t="b">
        <v>0</v>
      </c>
      <c r="CV23">
        <v>0</v>
      </c>
      <c r="CW23">
        <v>0</v>
      </c>
      <c r="CX23">
        <v>0</v>
      </c>
      <c r="CY23">
        <v>1</v>
      </c>
      <c r="CZ23">
        <v>0.93</v>
      </c>
      <c r="DA23">
        <v>4</v>
      </c>
      <c r="DB23">
        <v>3.73</v>
      </c>
      <c r="DC23">
        <v>4</v>
      </c>
      <c r="DD23">
        <v>1</v>
      </c>
      <c r="DE23">
        <v>0.93</v>
      </c>
      <c r="DF23">
        <v>0</v>
      </c>
      <c r="DG23">
        <v>0</v>
      </c>
      <c r="DH23">
        <v>5</v>
      </c>
      <c r="DI23">
        <v>4.66</v>
      </c>
      <c r="DJ23">
        <v>0</v>
      </c>
      <c r="DK23">
        <v>0</v>
      </c>
      <c r="DL23">
        <v>0</v>
      </c>
      <c r="DM23">
        <v>0</v>
      </c>
      <c r="DN23">
        <v>0</v>
      </c>
      <c r="DO23">
        <v>80</v>
      </c>
      <c r="DP23">
        <v>13</v>
      </c>
      <c r="DQ23">
        <v>12.12</v>
      </c>
      <c r="DR23" t="s">
        <v>950</v>
      </c>
      <c r="DS23" t="s">
        <v>951</v>
      </c>
      <c r="DT23" t="s">
        <v>952</v>
      </c>
      <c r="DU23" t="s">
        <v>365</v>
      </c>
      <c r="DV23" t="s">
        <v>953</v>
      </c>
      <c r="DW23">
        <v>0.71</v>
      </c>
      <c r="DX23">
        <v>0</v>
      </c>
      <c r="DY23">
        <v>2.17</v>
      </c>
      <c r="DZ23">
        <v>5</v>
      </c>
      <c r="EA23">
        <v>1</v>
      </c>
      <c r="EB23">
        <v>8.8800000000000008</v>
      </c>
      <c r="EC23" t="s">
        <v>369</v>
      </c>
      <c r="ED23" t="s">
        <v>413</v>
      </c>
      <c r="EE23">
        <v>7.69</v>
      </c>
      <c r="EF23" t="s">
        <v>559</v>
      </c>
      <c r="EG23">
        <v>0.09</v>
      </c>
      <c r="EH23">
        <v>2.0499999999999998</v>
      </c>
      <c r="EI23">
        <v>4.4999999999999998E-2</v>
      </c>
      <c r="EJ23" t="s">
        <v>370</v>
      </c>
      <c r="EK23">
        <v>2.0499999999999998</v>
      </c>
      <c r="EL23" t="s">
        <v>472</v>
      </c>
      <c r="EM23" t="s">
        <v>954</v>
      </c>
      <c r="EN23">
        <v>3.17</v>
      </c>
      <c r="EO23" t="s">
        <v>641</v>
      </c>
      <c r="EP23">
        <v>0</v>
      </c>
      <c r="EQ23">
        <v>0</v>
      </c>
      <c r="ER23">
        <v>51.5</v>
      </c>
      <c r="ES23" t="s">
        <v>374</v>
      </c>
      <c r="ET23">
        <v>1.86</v>
      </c>
      <c r="EU23">
        <v>7.46</v>
      </c>
      <c r="EV23">
        <v>2.17</v>
      </c>
      <c r="EW23">
        <v>0.62</v>
      </c>
      <c r="EX23">
        <v>1.24</v>
      </c>
      <c r="EY23">
        <v>4.66</v>
      </c>
      <c r="EZ23">
        <v>0.93</v>
      </c>
      <c r="FA23">
        <v>3.11</v>
      </c>
      <c r="FB23">
        <v>5.9</v>
      </c>
      <c r="FC23">
        <v>3.73</v>
      </c>
      <c r="FD23" t="s">
        <v>375</v>
      </c>
      <c r="FE23">
        <v>101</v>
      </c>
      <c r="FF23" t="s">
        <v>955</v>
      </c>
      <c r="FG23" t="s">
        <v>956</v>
      </c>
      <c r="FH23" t="s">
        <v>957</v>
      </c>
      <c r="FI23" t="s">
        <v>958</v>
      </c>
      <c r="FJ23" t="s">
        <v>959</v>
      </c>
      <c r="FK23" t="s">
        <v>960</v>
      </c>
      <c r="FL23" t="s">
        <v>961</v>
      </c>
      <c r="FM23">
        <v>0</v>
      </c>
      <c r="FN23">
        <v>0.5121</v>
      </c>
      <c r="FO23">
        <v>0.77500000000000002</v>
      </c>
      <c r="FP23">
        <v>0.62250000000000005</v>
      </c>
      <c r="FQ23">
        <v>0.37140000000000001</v>
      </c>
      <c r="FR23">
        <v>0</v>
      </c>
      <c r="FS23">
        <v>0</v>
      </c>
      <c r="FT23">
        <v>0</v>
      </c>
      <c r="FU23">
        <v>7.1000000000000004E-3</v>
      </c>
      <c r="FV23">
        <v>0.1229</v>
      </c>
      <c r="FW23">
        <v>3.04E-2</v>
      </c>
      <c r="FX23">
        <v>0</v>
      </c>
      <c r="FY23">
        <v>0.25950000000000001</v>
      </c>
      <c r="FZ23">
        <v>2.7E-2</v>
      </c>
      <c r="GA23">
        <v>70</v>
      </c>
      <c r="GB23">
        <v>1</v>
      </c>
      <c r="GC23">
        <v>1</v>
      </c>
      <c r="GD23">
        <v>26</v>
      </c>
      <c r="GE23">
        <v>1</v>
      </c>
      <c r="GF23">
        <v>8</v>
      </c>
      <c r="GG23">
        <v>0</v>
      </c>
      <c r="GH23">
        <v>0</v>
      </c>
      <c r="GI23">
        <v>0</v>
      </c>
      <c r="GJ23">
        <v>0</v>
      </c>
      <c r="GK23">
        <v>0.1217</v>
      </c>
      <c r="GL23">
        <v>0</v>
      </c>
      <c r="GM23">
        <v>0</v>
      </c>
      <c r="GN23">
        <v>0</v>
      </c>
      <c r="GO23">
        <v>0</v>
      </c>
      <c r="GP23">
        <v>0.1217</v>
      </c>
      <c r="GQ23">
        <v>0</v>
      </c>
      <c r="GR23">
        <v>0</v>
      </c>
      <c r="GS23">
        <v>0</v>
      </c>
      <c r="GT23">
        <v>0</v>
      </c>
      <c r="GU23">
        <v>0.1217</v>
      </c>
      <c r="GV23">
        <v>0</v>
      </c>
      <c r="GW23">
        <v>0</v>
      </c>
      <c r="GX23">
        <v>0</v>
      </c>
      <c r="GY23">
        <v>0.1217</v>
      </c>
      <c r="GZ23">
        <v>0</v>
      </c>
      <c r="HA23">
        <v>0</v>
      </c>
      <c r="HB23">
        <v>0</v>
      </c>
      <c r="HC23" t="s">
        <v>383</v>
      </c>
      <c r="HD23">
        <v>0</v>
      </c>
      <c r="HE23">
        <v>0</v>
      </c>
      <c r="HF23">
        <v>0</v>
      </c>
      <c r="HG23">
        <v>0</v>
      </c>
      <c r="HH23">
        <v>0</v>
      </c>
      <c r="HI23" t="s">
        <v>383</v>
      </c>
      <c r="HJ23">
        <v>0</v>
      </c>
      <c r="HK23">
        <v>0</v>
      </c>
      <c r="HL23">
        <v>0</v>
      </c>
      <c r="HM23">
        <v>0</v>
      </c>
      <c r="HN23">
        <v>0</v>
      </c>
      <c r="HO23" t="s">
        <v>383</v>
      </c>
      <c r="HP23">
        <v>0</v>
      </c>
      <c r="HQ23">
        <v>0</v>
      </c>
      <c r="HR23">
        <v>0</v>
      </c>
      <c r="HS23">
        <v>0</v>
      </c>
      <c r="HT23">
        <v>0</v>
      </c>
      <c r="HU23" t="s">
        <v>383</v>
      </c>
      <c r="HV23">
        <v>0</v>
      </c>
      <c r="HW23">
        <v>0</v>
      </c>
      <c r="HX23">
        <v>0</v>
      </c>
      <c r="HY23">
        <v>0</v>
      </c>
      <c r="HZ23">
        <v>0</v>
      </c>
      <c r="IA23" t="s">
        <v>384</v>
      </c>
      <c r="IB23">
        <v>0</v>
      </c>
      <c r="IC23">
        <v>0</v>
      </c>
      <c r="ID23">
        <v>0</v>
      </c>
      <c r="IE23">
        <v>0</v>
      </c>
      <c r="IF23">
        <v>0</v>
      </c>
      <c r="IG23" t="s">
        <v>384</v>
      </c>
      <c r="IH23">
        <v>0</v>
      </c>
      <c r="II23">
        <v>0</v>
      </c>
      <c r="IJ23">
        <v>0</v>
      </c>
      <c r="IK23">
        <v>0</v>
      </c>
      <c r="IL23">
        <v>0</v>
      </c>
      <c r="IM23" t="s">
        <v>384</v>
      </c>
      <c r="IN23">
        <v>0</v>
      </c>
      <c r="IO23">
        <v>0</v>
      </c>
      <c r="IP23">
        <v>0</v>
      </c>
      <c r="IQ23">
        <v>0</v>
      </c>
      <c r="IR23">
        <v>0</v>
      </c>
      <c r="IS23" t="s">
        <v>384</v>
      </c>
      <c r="IT23">
        <v>0</v>
      </c>
      <c r="IU23">
        <v>0</v>
      </c>
      <c r="IV23">
        <v>0</v>
      </c>
      <c r="IW23">
        <v>0</v>
      </c>
      <c r="IX23">
        <v>0</v>
      </c>
      <c r="IY23">
        <v>0</v>
      </c>
      <c r="IZ23">
        <v>0</v>
      </c>
      <c r="JA23">
        <v>0</v>
      </c>
      <c r="JD23" t="s">
        <v>962</v>
      </c>
      <c r="JE23" t="s">
        <v>484</v>
      </c>
      <c r="JF23" t="s">
        <v>963</v>
      </c>
      <c r="JG23" t="s">
        <v>964</v>
      </c>
      <c r="JH23" t="s">
        <v>965</v>
      </c>
      <c r="JI23" t="s">
        <v>966</v>
      </c>
      <c r="JJ23">
        <v>0.45</v>
      </c>
      <c r="JK23">
        <v>0</v>
      </c>
      <c r="JL23" t="s">
        <v>391</v>
      </c>
      <c r="JM23">
        <v>0</v>
      </c>
      <c r="JN23">
        <v>0</v>
      </c>
      <c r="JO23">
        <v>0</v>
      </c>
      <c r="JP23">
        <v>0</v>
      </c>
      <c r="JQ23">
        <v>0</v>
      </c>
      <c r="JR23">
        <v>0</v>
      </c>
      <c r="JS23">
        <v>0</v>
      </c>
      <c r="JT23">
        <v>0</v>
      </c>
      <c r="JU23">
        <v>0</v>
      </c>
      <c r="JV23">
        <v>0</v>
      </c>
      <c r="JX23" t="s">
        <v>392</v>
      </c>
      <c r="JY23">
        <v>0</v>
      </c>
      <c r="JZ23">
        <v>0</v>
      </c>
      <c r="KA23">
        <v>1</v>
      </c>
      <c r="KB23">
        <v>0</v>
      </c>
      <c r="KC23">
        <v>0</v>
      </c>
      <c r="KD23">
        <v>1</v>
      </c>
      <c r="KE23">
        <v>0</v>
      </c>
      <c r="KF23">
        <v>0</v>
      </c>
      <c r="KG23">
        <v>1</v>
      </c>
      <c r="KH23">
        <v>0</v>
      </c>
      <c r="KI23">
        <v>0</v>
      </c>
      <c r="KJ23">
        <v>1</v>
      </c>
      <c r="KK23">
        <v>0</v>
      </c>
      <c r="KL23">
        <v>0</v>
      </c>
      <c r="KM23">
        <v>1</v>
      </c>
      <c r="KN23">
        <v>0</v>
      </c>
      <c r="KO23">
        <v>0</v>
      </c>
      <c r="KP23">
        <v>1</v>
      </c>
      <c r="KQ23">
        <v>0</v>
      </c>
      <c r="KR23">
        <v>0</v>
      </c>
      <c r="KS23">
        <v>1</v>
      </c>
      <c r="KT23">
        <v>0</v>
      </c>
      <c r="KU23">
        <v>0</v>
      </c>
      <c r="KV23">
        <v>1</v>
      </c>
      <c r="KW23">
        <v>0</v>
      </c>
      <c r="KX23">
        <v>0</v>
      </c>
      <c r="KY23">
        <v>1</v>
      </c>
      <c r="KZ23">
        <v>0</v>
      </c>
      <c r="LA23">
        <v>0</v>
      </c>
      <c r="LB23">
        <v>0</v>
      </c>
      <c r="LC23">
        <v>0</v>
      </c>
      <c r="LD23">
        <v>0</v>
      </c>
      <c r="LE23">
        <v>0</v>
      </c>
      <c r="LF23">
        <v>0</v>
      </c>
      <c r="LG23">
        <v>0</v>
      </c>
      <c r="LH23">
        <v>0</v>
      </c>
      <c r="LI23">
        <v>0</v>
      </c>
      <c r="LJ23">
        <v>0</v>
      </c>
      <c r="LK23">
        <v>0</v>
      </c>
      <c r="LN23" t="s">
        <v>393</v>
      </c>
      <c r="LO23" t="s">
        <v>394</v>
      </c>
      <c r="LP23" t="s">
        <v>395</v>
      </c>
      <c r="LQ23">
        <v>0.50149999999999995</v>
      </c>
      <c r="LR23">
        <v>15.803599999999999</v>
      </c>
      <c r="LS23">
        <v>11.174799999999999</v>
      </c>
      <c r="LT23">
        <v>993</v>
      </c>
      <c r="LU23">
        <v>498</v>
      </c>
      <c r="LV23">
        <v>104.90170000000001</v>
      </c>
      <c r="LW23">
        <v>0.89780000000000004</v>
      </c>
      <c r="LX23">
        <v>0.60899999999999999</v>
      </c>
      <c r="LY23">
        <v>0.60899999999999999</v>
      </c>
      <c r="LZ23">
        <v>0.60899999999999999</v>
      </c>
      <c r="MA23">
        <v>0</v>
      </c>
      <c r="MB23">
        <v>598</v>
      </c>
      <c r="MC23">
        <v>1</v>
      </c>
      <c r="MD23" t="s">
        <v>396</v>
      </c>
      <c r="ME23" t="s">
        <v>517</v>
      </c>
    </row>
    <row r="24" spans="1:343" ht="16.95" customHeight="1" x14ac:dyDescent="0.3">
      <c r="A24" t="s">
        <v>967</v>
      </c>
      <c r="B24" t="s">
        <v>968</v>
      </c>
      <c r="C24" t="s">
        <v>345</v>
      </c>
      <c r="D24" t="s">
        <v>346</v>
      </c>
      <c r="E24" t="s">
        <v>347</v>
      </c>
      <c r="F24" t="s">
        <v>969</v>
      </c>
      <c r="G24" t="s">
        <v>970</v>
      </c>
      <c r="H24" t="s">
        <v>971</v>
      </c>
      <c r="I24" t="s">
        <v>351</v>
      </c>
      <c r="J24">
        <v>441</v>
      </c>
      <c r="K24">
        <v>211</v>
      </c>
      <c r="L24">
        <v>0.47849999999999998</v>
      </c>
      <c r="M24">
        <v>11</v>
      </c>
      <c r="N24">
        <v>3</v>
      </c>
      <c r="O24">
        <v>1</v>
      </c>
      <c r="P24">
        <v>40.1</v>
      </c>
      <c r="Q24">
        <v>3.7</v>
      </c>
      <c r="R24">
        <v>19.7</v>
      </c>
      <c r="S24">
        <v>5.4</v>
      </c>
      <c r="T24">
        <v>4.0999999999999996</v>
      </c>
      <c r="U24">
        <v>3</v>
      </c>
      <c r="V24">
        <v>3.4</v>
      </c>
      <c r="W24">
        <v>1</v>
      </c>
      <c r="X24">
        <v>3.3</v>
      </c>
      <c r="Y24">
        <v>1</v>
      </c>
      <c r="Z24">
        <v>1</v>
      </c>
      <c r="AA24">
        <v>1</v>
      </c>
      <c r="AB24" t="s">
        <v>352</v>
      </c>
      <c r="AC24" t="b">
        <v>0</v>
      </c>
      <c r="AD24" t="s">
        <v>353</v>
      </c>
      <c r="AE24">
        <v>0.53249999999999997</v>
      </c>
      <c r="AF24" t="s">
        <v>354</v>
      </c>
      <c r="AG24">
        <v>0.10879999999999999</v>
      </c>
      <c r="AH24">
        <v>3.8699999999999998E-2</v>
      </c>
      <c r="AI24">
        <v>0.85670000000000002</v>
      </c>
      <c r="AJ24" t="s">
        <v>355</v>
      </c>
      <c r="AK24">
        <v>5.27</v>
      </c>
      <c r="AL24">
        <v>14</v>
      </c>
      <c r="AM24" t="s">
        <v>356</v>
      </c>
      <c r="AN24">
        <v>0</v>
      </c>
      <c r="AO24">
        <v>0</v>
      </c>
      <c r="AP24">
        <v>5</v>
      </c>
      <c r="AQ24">
        <v>11.34</v>
      </c>
      <c r="AR24">
        <v>5</v>
      </c>
      <c r="AS24">
        <v>0</v>
      </c>
      <c r="AT24" t="s">
        <v>357</v>
      </c>
      <c r="AU24">
        <v>45.5</v>
      </c>
      <c r="AV24">
        <v>5</v>
      </c>
      <c r="AW24" t="s">
        <v>356</v>
      </c>
      <c r="AX24">
        <v>5</v>
      </c>
      <c r="AY24">
        <v>11.34</v>
      </c>
      <c r="AZ24">
        <v>0</v>
      </c>
      <c r="BA24">
        <v>4</v>
      </c>
      <c r="BB24">
        <v>0</v>
      </c>
      <c r="BC24">
        <v>1</v>
      </c>
      <c r="BD24">
        <v>0</v>
      </c>
      <c r="BE24">
        <v>4</v>
      </c>
      <c r="BF24">
        <v>0</v>
      </c>
      <c r="BG24">
        <v>4</v>
      </c>
      <c r="BH24">
        <v>0</v>
      </c>
      <c r="BI24">
        <v>0.4</v>
      </c>
      <c r="BJ24" t="b">
        <v>0</v>
      </c>
      <c r="BK24" t="b">
        <v>0</v>
      </c>
      <c r="BL24">
        <v>3</v>
      </c>
      <c r="BM24">
        <v>3</v>
      </c>
      <c r="BN24">
        <v>2</v>
      </c>
      <c r="BO24">
        <v>1</v>
      </c>
      <c r="BP24">
        <v>0</v>
      </c>
      <c r="BQ24">
        <v>1</v>
      </c>
      <c r="BR24">
        <v>0</v>
      </c>
      <c r="BS24">
        <v>441</v>
      </c>
      <c r="BT24">
        <v>211</v>
      </c>
      <c r="BU24">
        <v>0.47849999999999998</v>
      </c>
      <c r="BV24">
        <v>3</v>
      </c>
      <c r="BW24">
        <v>1</v>
      </c>
      <c r="BX24">
        <v>147</v>
      </c>
      <c r="BZ24" t="s">
        <v>972</v>
      </c>
      <c r="CA24" t="s">
        <v>973</v>
      </c>
      <c r="CB24" t="s">
        <v>974</v>
      </c>
      <c r="CC24" t="s">
        <v>975</v>
      </c>
      <c r="CD24">
        <v>0</v>
      </c>
      <c r="CE24">
        <v>0</v>
      </c>
      <c r="CF24">
        <v>0</v>
      </c>
      <c r="CG24">
        <v>0</v>
      </c>
      <c r="CH24">
        <v>0</v>
      </c>
      <c r="CJ24">
        <v>2</v>
      </c>
      <c r="CK24">
        <v>4.5199999999999996</v>
      </c>
      <c r="CL24" t="s">
        <v>440</v>
      </c>
      <c r="CM24">
        <v>1</v>
      </c>
      <c r="CN24">
        <v>0</v>
      </c>
      <c r="CO24" t="b">
        <v>0</v>
      </c>
      <c r="CP24" t="b">
        <v>0</v>
      </c>
      <c r="CQ24" t="b">
        <v>1</v>
      </c>
      <c r="CR24" t="b">
        <v>0</v>
      </c>
      <c r="CS24" t="b">
        <v>0</v>
      </c>
      <c r="CT24" t="b">
        <v>0</v>
      </c>
      <c r="CU24" t="b">
        <v>0</v>
      </c>
      <c r="CV24">
        <v>0</v>
      </c>
      <c r="CW24">
        <v>0</v>
      </c>
      <c r="CX24">
        <v>0</v>
      </c>
      <c r="CY24">
        <v>0</v>
      </c>
      <c r="CZ24">
        <v>0</v>
      </c>
      <c r="DA24">
        <v>5</v>
      </c>
      <c r="DB24">
        <v>11.31</v>
      </c>
      <c r="DC24">
        <v>5</v>
      </c>
      <c r="DD24">
        <v>0</v>
      </c>
      <c r="DE24">
        <v>0</v>
      </c>
      <c r="DF24">
        <v>0</v>
      </c>
      <c r="DG24">
        <v>0</v>
      </c>
      <c r="DH24">
        <v>3</v>
      </c>
      <c r="DI24">
        <v>6.79</v>
      </c>
      <c r="DJ24">
        <v>0</v>
      </c>
      <c r="DK24">
        <v>0</v>
      </c>
      <c r="DL24">
        <v>0</v>
      </c>
      <c r="DM24">
        <v>0</v>
      </c>
      <c r="DN24">
        <v>0</v>
      </c>
      <c r="DO24">
        <v>97</v>
      </c>
      <c r="DP24">
        <v>2</v>
      </c>
      <c r="DQ24">
        <v>4.5199999999999996</v>
      </c>
      <c r="DR24" t="s">
        <v>976</v>
      </c>
      <c r="DS24" t="s">
        <v>977</v>
      </c>
      <c r="DT24" t="s">
        <v>978</v>
      </c>
      <c r="DU24" t="s">
        <v>976</v>
      </c>
      <c r="DV24" t="s">
        <v>977</v>
      </c>
      <c r="DW24">
        <v>0.71</v>
      </c>
      <c r="DX24">
        <v>0</v>
      </c>
      <c r="DY24">
        <v>2</v>
      </c>
      <c r="DZ24">
        <v>5</v>
      </c>
      <c r="EA24">
        <v>0</v>
      </c>
      <c r="EB24">
        <v>7.71</v>
      </c>
      <c r="EC24" t="s">
        <v>369</v>
      </c>
      <c r="ED24" t="s">
        <v>413</v>
      </c>
      <c r="EE24">
        <v>9.9499999999999993</v>
      </c>
      <c r="EF24" t="s">
        <v>356</v>
      </c>
      <c r="EG24">
        <v>0</v>
      </c>
      <c r="EH24">
        <v>3.17</v>
      </c>
      <c r="EI24">
        <v>0</v>
      </c>
      <c r="EJ24" t="s">
        <v>370</v>
      </c>
      <c r="EK24">
        <v>0.45</v>
      </c>
      <c r="EL24" t="s">
        <v>371</v>
      </c>
      <c r="EM24" t="s">
        <v>979</v>
      </c>
      <c r="EN24">
        <v>2.71</v>
      </c>
      <c r="EO24" t="s">
        <v>474</v>
      </c>
      <c r="EP24">
        <v>0</v>
      </c>
      <c r="EQ24">
        <v>0</v>
      </c>
      <c r="ER24">
        <v>64.8</v>
      </c>
      <c r="ES24" t="s">
        <v>475</v>
      </c>
      <c r="ET24">
        <v>0</v>
      </c>
      <c r="EU24">
        <v>0.75</v>
      </c>
      <c r="EV24">
        <v>3.02</v>
      </c>
      <c r="EW24">
        <v>2.2599999999999998</v>
      </c>
      <c r="EX24">
        <v>1.51</v>
      </c>
      <c r="EY24">
        <v>3.02</v>
      </c>
      <c r="EZ24">
        <v>1.51</v>
      </c>
      <c r="FA24">
        <v>5.28</v>
      </c>
      <c r="FB24">
        <v>3.77</v>
      </c>
      <c r="FC24">
        <v>6.03</v>
      </c>
      <c r="FD24" t="s">
        <v>375</v>
      </c>
      <c r="FE24">
        <v>97</v>
      </c>
      <c r="FF24" t="s">
        <v>980</v>
      </c>
      <c r="FG24" t="s">
        <v>981</v>
      </c>
      <c r="FI24" t="s">
        <v>982</v>
      </c>
      <c r="FJ24" t="s">
        <v>983</v>
      </c>
      <c r="FK24" t="s">
        <v>984</v>
      </c>
      <c r="FL24" t="s">
        <v>985</v>
      </c>
      <c r="FM24">
        <v>0</v>
      </c>
      <c r="FN24">
        <v>0.57230000000000003</v>
      </c>
      <c r="FO24">
        <v>0.77500000000000002</v>
      </c>
      <c r="FP24">
        <v>0.65739999999999998</v>
      </c>
      <c r="FQ24">
        <v>0.63639999999999997</v>
      </c>
      <c r="FR24">
        <v>0</v>
      </c>
      <c r="FS24">
        <v>0</v>
      </c>
      <c r="FT24">
        <v>0</v>
      </c>
      <c r="FU24">
        <v>0</v>
      </c>
      <c r="FV24">
        <v>0.2</v>
      </c>
      <c r="FW24">
        <v>0</v>
      </c>
      <c r="FX24">
        <v>0</v>
      </c>
      <c r="FY24">
        <v>0.25</v>
      </c>
      <c r="FZ24">
        <v>0</v>
      </c>
      <c r="GA24">
        <v>11</v>
      </c>
      <c r="GB24">
        <v>1</v>
      </c>
      <c r="GC24">
        <v>1</v>
      </c>
      <c r="GD24">
        <v>7</v>
      </c>
      <c r="GE24">
        <v>0</v>
      </c>
      <c r="GF24">
        <v>2</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t="s">
        <v>383</v>
      </c>
      <c r="HD24">
        <v>0</v>
      </c>
      <c r="HE24">
        <v>0</v>
      </c>
      <c r="HF24">
        <v>0</v>
      </c>
      <c r="HG24">
        <v>0</v>
      </c>
      <c r="HH24">
        <v>0</v>
      </c>
      <c r="HI24" t="s">
        <v>383</v>
      </c>
      <c r="HJ24">
        <v>0</v>
      </c>
      <c r="HK24">
        <v>0</v>
      </c>
      <c r="HL24">
        <v>0</v>
      </c>
      <c r="HM24">
        <v>0</v>
      </c>
      <c r="HN24">
        <v>0</v>
      </c>
      <c r="HO24" t="s">
        <v>383</v>
      </c>
      <c r="HP24">
        <v>0</v>
      </c>
      <c r="HQ24">
        <v>0</v>
      </c>
      <c r="HR24">
        <v>0</v>
      </c>
      <c r="HS24">
        <v>0</v>
      </c>
      <c r="HT24">
        <v>0</v>
      </c>
      <c r="HU24" t="s">
        <v>383</v>
      </c>
      <c r="HV24">
        <v>0</v>
      </c>
      <c r="HW24">
        <v>0</v>
      </c>
      <c r="HX24">
        <v>0</v>
      </c>
      <c r="HY24">
        <v>0</v>
      </c>
      <c r="HZ24">
        <v>0</v>
      </c>
      <c r="IA24" t="s">
        <v>384</v>
      </c>
      <c r="IB24">
        <v>0</v>
      </c>
      <c r="IC24">
        <v>0</v>
      </c>
      <c r="ID24">
        <v>0</v>
      </c>
      <c r="IE24">
        <v>0</v>
      </c>
      <c r="IF24">
        <v>0</v>
      </c>
      <c r="IG24" t="s">
        <v>384</v>
      </c>
      <c r="IH24">
        <v>0</v>
      </c>
      <c r="II24">
        <v>0</v>
      </c>
      <c r="IJ24">
        <v>0</v>
      </c>
      <c r="IK24">
        <v>0</v>
      </c>
      <c r="IL24">
        <v>0</v>
      </c>
      <c r="IM24" t="s">
        <v>384</v>
      </c>
      <c r="IN24">
        <v>0</v>
      </c>
      <c r="IO24">
        <v>0</v>
      </c>
      <c r="IP24">
        <v>0</v>
      </c>
      <c r="IQ24">
        <v>0</v>
      </c>
      <c r="IR24">
        <v>0</v>
      </c>
      <c r="IS24" t="s">
        <v>384</v>
      </c>
      <c r="IT24">
        <v>0</v>
      </c>
      <c r="IU24">
        <v>0</v>
      </c>
      <c r="IV24">
        <v>0</v>
      </c>
      <c r="IW24">
        <v>0</v>
      </c>
      <c r="IX24">
        <v>0</v>
      </c>
      <c r="IY24">
        <v>0</v>
      </c>
      <c r="IZ24">
        <v>0</v>
      </c>
      <c r="JA24">
        <v>0</v>
      </c>
      <c r="JD24" t="s">
        <v>483</v>
      </c>
      <c r="JE24" t="s">
        <v>386</v>
      </c>
      <c r="JF24" t="s">
        <v>986</v>
      </c>
      <c r="JG24" t="s">
        <v>987</v>
      </c>
      <c r="JH24" t="s">
        <v>978</v>
      </c>
      <c r="JI24" t="s">
        <v>988</v>
      </c>
      <c r="JJ24">
        <v>0.38329999999999997</v>
      </c>
      <c r="JK24">
        <v>0</v>
      </c>
      <c r="JL24" t="s">
        <v>391</v>
      </c>
      <c r="JM24">
        <v>0</v>
      </c>
      <c r="JN24">
        <v>0</v>
      </c>
      <c r="JO24">
        <v>0</v>
      </c>
      <c r="JP24">
        <v>0</v>
      </c>
      <c r="JQ24">
        <v>0</v>
      </c>
      <c r="JR24">
        <v>0</v>
      </c>
      <c r="JS24">
        <v>0</v>
      </c>
      <c r="JT24">
        <v>0</v>
      </c>
      <c r="JU24">
        <v>0</v>
      </c>
      <c r="JV24">
        <v>0</v>
      </c>
      <c r="JX24" t="s">
        <v>392</v>
      </c>
      <c r="JY24">
        <v>0</v>
      </c>
      <c r="JZ24">
        <v>0</v>
      </c>
      <c r="KA24">
        <v>1</v>
      </c>
      <c r="KB24">
        <v>0</v>
      </c>
      <c r="KC24">
        <v>0</v>
      </c>
      <c r="KD24">
        <v>1</v>
      </c>
      <c r="KE24">
        <v>0</v>
      </c>
      <c r="KF24">
        <v>0</v>
      </c>
      <c r="KG24">
        <v>1</v>
      </c>
      <c r="KH24">
        <v>0</v>
      </c>
      <c r="KI24">
        <v>0</v>
      </c>
      <c r="KJ24">
        <v>1</v>
      </c>
      <c r="KK24">
        <v>0</v>
      </c>
      <c r="KL24">
        <v>0</v>
      </c>
      <c r="KM24">
        <v>1</v>
      </c>
      <c r="KN24">
        <v>0</v>
      </c>
      <c r="KO24">
        <v>0</v>
      </c>
      <c r="KP24">
        <v>1</v>
      </c>
      <c r="KQ24">
        <v>0</v>
      </c>
      <c r="KR24">
        <v>0</v>
      </c>
      <c r="KS24">
        <v>1</v>
      </c>
      <c r="KT24">
        <v>0</v>
      </c>
      <c r="KU24">
        <v>0</v>
      </c>
      <c r="KV24">
        <v>1</v>
      </c>
      <c r="KW24">
        <v>0</v>
      </c>
      <c r="KX24">
        <v>0</v>
      </c>
      <c r="KY24">
        <v>1</v>
      </c>
      <c r="KZ24">
        <v>0</v>
      </c>
      <c r="LA24">
        <v>0</v>
      </c>
      <c r="LB24">
        <v>0</v>
      </c>
      <c r="LC24">
        <v>0</v>
      </c>
      <c r="LD24">
        <v>0</v>
      </c>
      <c r="LE24">
        <v>0</v>
      </c>
      <c r="LF24">
        <v>0</v>
      </c>
      <c r="LG24">
        <v>0</v>
      </c>
      <c r="LH24">
        <v>0</v>
      </c>
      <c r="LI24">
        <v>0</v>
      </c>
      <c r="LJ24">
        <v>0</v>
      </c>
      <c r="LK24">
        <v>0</v>
      </c>
      <c r="LN24" t="s">
        <v>393</v>
      </c>
      <c r="LO24" t="s">
        <v>394</v>
      </c>
      <c r="LP24" t="s">
        <v>395</v>
      </c>
      <c r="LQ24">
        <v>0.62180000000000002</v>
      </c>
      <c r="LR24">
        <v>10.9831</v>
      </c>
      <c r="LS24">
        <v>7.7662000000000004</v>
      </c>
      <c r="LT24">
        <v>312</v>
      </c>
      <c r="LU24">
        <v>194</v>
      </c>
      <c r="LV24">
        <v>78</v>
      </c>
      <c r="LW24">
        <v>0.90080000000000005</v>
      </c>
      <c r="LX24">
        <v>0.50960000000000005</v>
      </c>
      <c r="LY24">
        <v>0.50960000000000005</v>
      </c>
      <c r="LZ24">
        <v>0.50960000000000005</v>
      </c>
      <c r="MA24">
        <v>0</v>
      </c>
      <c r="MB24">
        <v>159</v>
      </c>
      <c r="MC24">
        <v>1</v>
      </c>
      <c r="MD24" t="s">
        <v>396</v>
      </c>
      <c r="ME24" t="s">
        <v>397</v>
      </c>
    </row>
    <row r="25" spans="1:343" ht="16.95" customHeight="1" x14ac:dyDescent="0.3">
      <c r="A25" t="s">
        <v>989</v>
      </c>
      <c r="B25" t="s">
        <v>990</v>
      </c>
      <c r="C25" t="s">
        <v>345</v>
      </c>
      <c r="D25" t="s">
        <v>346</v>
      </c>
      <c r="E25" t="s">
        <v>347</v>
      </c>
      <c r="F25" t="s">
        <v>991</v>
      </c>
      <c r="G25" t="s">
        <v>992</v>
      </c>
      <c r="H25" t="s">
        <v>993</v>
      </c>
      <c r="I25" t="s">
        <v>351</v>
      </c>
      <c r="J25">
        <v>847</v>
      </c>
      <c r="K25">
        <v>355</v>
      </c>
      <c r="L25">
        <v>0.41909999999999997</v>
      </c>
      <c r="M25">
        <v>42</v>
      </c>
      <c r="N25">
        <v>3</v>
      </c>
      <c r="O25">
        <v>1</v>
      </c>
      <c r="P25">
        <v>20.2</v>
      </c>
      <c r="Q25">
        <v>14</v>
      </c>
      <c r="R25">
        <v>17</v>
      </c>
      <c r="S25">
        <v>7.6</v>
      </c>
      <c r="T25">
        <v>7.5</v>
      </c>
      <c r="U25">
        <v>2.5</v>
      </c>
      <c r="V25">
        <v>6.7</v>
      </c>
      <c r="W25">
        <v>8</v>
      </c>
      <c r="X25">
        <v>9.8000000000000007</v>
      </c>
      <c r="Y25">
        <v>1</v>
      </c>
      <c r="Z25">
        <v>3</v>
      </c>
      <c r="AA25">
        <v>0.33</v>
      </c>
      <c r="AB25" t="s">
        <v>352</v>
      </c>
      <c r="AC25" t="b">
        <v>0</v>
      </c>
      <c r="AD25" t="s">
        <v>353</v>
      </c>
      <c r="AE25">
        <v>0.45190000000000002</v>
      </c>
      <c r="AF25" t="s">
        <v>354</v>
      </c>
      <c r="AG25">
        <v>0.27629999999999999</v>
      </c>
      <c r="AH25">
        <v>5.8000000000000003E-2</v>
      </c>
      <c r="AI25">
        <v>0.68169999999999997</v>
      </c>
      <c r="AJ25" t="s">
        <v>355</v>
      </c>
      <c r="AK25">
        <v>5.67</v>
      </c>
      <c r="AL25">
        <v>11</v>
      </c>
      <c r="AM25" t="s">
        <v>356</v>
      </c>
      <c r="AN25">
        <v>1</v>
      </c>
      <c r="AO25">
        <v>1.18</v>
      </c>
      <c r="AP25">
        <v>8</v>
      </c>
      <c r="AQ25">
        <v>9.4499999999999993</v>
      </c>
      <c r="AR25">
        <v>8</v>
      </c>
      <c r="AS25">
        <v>0</v>
      </c>
      <c r="AT25" t="s">
        <v>357</v>
      </c>
      <c r="AU25">
        <v>38.1</v>
      </c>
      <c r="AV25">
        <v>16</v>
      </c>
      <c r="AW25" t="s">
        <v>356</v>
      </c>
      <c r="AX25">
        <v>8</v>
      </c>
      <c r="AY25">
        <v>9.4499999999999993</v>
      </c>
      <c r="AZ25">
        <v>0</v>
      </c>
      <c r="BA25">
        <v>6</v>
      </c>
      <c r="BB25">
        <v>0</v>
      </c>
      <c r="BC25">
        <v>2</v>
      </c>
      <c r="BD25">
        <v>0</v>
      </c>
      <c r="BE25">
        <v>6</v>
      </c>
      <c r="BF25">
        <v>0</v>
      </c>
      <c r="BG25">
        <v>6</v>
      </c>
      <c r="BH25">
        <v>0</v>
      </c>
      <c r="BI25">
        <v>0.77</v>
      </c>
      <c r="BJ25" t="b">
        <v>0</v>
      </c>
      <c r="BK25" t="b">
        <v>0</v>
      </c>
      <c r="BL25">
        <v>3</v>
      </c>
      <c r="BM25">
        <v>3</v>
      </c>
      <c r="BN25">
        <v>2</v>
      </c>
      <c r="BO25">
        <v>1</v>
      </c>
      <c r="BP25">
        <v>0</v>
      </c>
      <c r="BQ25">
        <v>1</v>
      </c>
      <c r="BR25">
        <v>0</v>
      </c>
      <c r="BS25">
        <v>847</v>
      </c>
      <c r="BT25">
        <v>355</v>
      </c>
      <c r="BU25">
        <v>0.41909999999999997</v>
      </c>
      <c r="BV25">
        <v>3</v>
      </c>
      <c r="BW25">
        <v>1</v>
      </c>
      <c r="BX25">
        <v>282.3</v>
      </c>
      <c r="BZ25" t="s">
        <v>994</v>
      </c>
      <c r="CA25" t="s">
        <v>995</v>
      </c>
      <c r="CB25" t="s">
        <v>996</v>
      </c>
      <c r="CC25" t="s">
        <v>997</v>
      </c>
      <c r="CD25">
        <v>0</v>
      </c>
      <c r="CE25">
        <v>0</v>
      </c>
      <c r="CF25">
        <v>0</v>
      </c>
      <c r="CG25">
        <v>0</v>
      </c>
      <c r="CH25">
        <v>0</v>
      </c>
      <c r="CJ25">
        <v>4</v>
      </c>
      <c r="CK25">
        <v>4.72</v>
      </c>
      <c r="CL25" t="s">
        <v>363</v>
      </c>
      <c r="CM25">
        <v>1</v>
      </c>
      <c r="CN25">
        <v>0</v>
      </c>
      <c r="CO25" t="b">
        <v>0</v>
      </c>
      <c r="CP25" t="b">
        <v>1</v>
      </c>
      <c r="CQ25" t="b">
        <v>1</v>
      </c>
      <c r="CR25" t="b">
        <v>0</v>
      </c>
      <c r="CS25" t="b">
        <v>1</v>
      </c>
      <c r="CT25" t="b">
        <v>0</v>
      </c>
      <c r="CU25" t="b">
        <v>0</v>
      </c>
      <c r="CV25">
        <v>0</v>
      </c>
      <c r="CW25">
        <v>0</v>
      </c>
      <c r="CX25">
        <v>0</v>
      </c>
      <c r="CY25">
        <v>2</v>
      </c>
      <c r="CZ25">
        <v>2.36</v>
      </c>
      <c r="DA25">
        <v>8</v>
      </c>
      <c r="DB25">
        <v>9.43</v>
      </c>
      <c r="DC25">
        <v>4</v>
      </c>
      <c r="DD25">
        <v>0</v>
      </c>
      <c r="DE25">
        <v>0</v>
      </c>
      <c r="DF25">
        <v>2</v>
      </c>
      <c r="DG25">
        <v>2.36</v>
      </c>
      <c r="DH25">
        <v>0</v>
      </c>
      <c r="DI25">
        <v>0</v>
      </c>
      <c r="DJ25">
        <v>2</v>
      </c>
      <c r="DK25">
        <v>0</v>
      </c>
      <c r="DL25">
        <v>0</v>
      </c>
      <c r="DM25">
        <v>0</v>
      </c>
      <c r="DN25">
        <v>0</v>
      </c>
      <c r="DO25">
        <v>42</v>
      </c>
      <c r="DP25">
        <v>1</v>
      </c>
      <c r="DQ25">
        <v>1.18</v>
      </c>
      <c r="DR25" t="s">
        <v>998</v>
      </c>
      <c r="DS25" t="s">
        <v>999</v>
      </c>
      <c r="DT25" t="s">
        <v>1000</v>
      </c>
      <c r="DU25" t="s">
        <v>1001</v>
      </c>
      <c r="DV25" t="s">
        <v>1002</v>
      </c>
      <c r="DW25">
        <v>2.14</v>
      </c>
      <c r="DX25">
        <v>0</v>
      </c>
      <c r="DY25">
        <v>2.33</v>
      </c>
      <c r="DZ25">
        <v>5</v>
      </c>
      <c r="EA25">
        <v>0</v>
      </c>
      <c r="EB25">
        <v>9.4700000000000006</v>
      </c>
      <c r="EC25" t="s">
        <v>369</v>
      </c>
      <c r="ED25" t="s">
        <v>413</v>
      </c>
      <c r="EE25">
        <v>3.36</v>
      </c>
      <c r="EF25" t="s">
        <v>414</v>
      </c>
      <c r="EG25">
        <v>0.71</v>
      </c>
      <c r="EH25">
        <v>2.2400000000000002</v>
      </c>
      <c r="EI25">
        <v>0.316</v>
      </c>
      <c r="EJ25" t="s">
        <v>370</v>
      </c>
      <c r="EK25">
        <v>3.77</v>
      </c>
      <c r="EL25" t="s">
        <v>371</v>
      </c>
      <c r="EM25" t="s">
        <v>1003</v>
      </c>
      <c r="EN25">
        <v>1.65</v>
      </c>
      <c r="EO25" t="s">
        <v>1004</v>
      </c>
      <c r="EP25">
        <v>0</v>
      </c>
      <c r="EQ25">
        <v>2</v>
      </c>
      <c r="ER25">
        <v>33.799999999999997</v>
      </c>
      <c r="ES25" t="s">
        <v>418</v>
      </c>
      <c r="ET25">
        <v>0</v>
      </c>
      <c r="EU25">
        <v>2.36</v>
      </c>
      <c r="EV25">
        <v>1.57</v>
      </c>
      <c r="EW25">
        <v>1.57</v>
      </c>
      <c r="EX25">
        <v>2.36</v>
      </c>
      <c r="EY25">
        <v>1.97</v>
      </c>
      <c r="EZ25">
        <v>0.79</v>
      </c>
      <c r="FA25">
        <v>3.93</v>
      </c>
      <c r="FB25">
        <v>1.97</v>
      </c>
      <c r="FC25">
        <v>0</v>
      </c>
      <c r="FD25" t="s">
        <v>375</v>
      </c>
      <c r="FE25">
        <v>75</v>
      </c>
      <c r="FF25" t="s">
        <v>1005</v>
      </c>
      <c r="FG25" t="s">
        <v>1006</v>
      </c>
      <c r="FH25" t="s">
        <v>1007</v>
      </c>
      <c r="FI25" t="s">
        <v>1008</v>
      </c>
      <c r="FJ25" t="s">
        <v>1009</v>
      </c>
      <c r="FK25" t="s">
        <v>1010</v>
      </c>
      <c r="FL25" t="s">
        <v>1011</v>
      </c>
      <c r="FM25">
        <v>0</v>
      </c>
      <c r="FN25">
        <v>0.57179999999999997</v>
      </c>
      <c r="FO25">
        <v>0.77500000000000002</v>
      </c>
      <c r="FP25">
        <v>0.65720000000000001</v>
      </c>
      <c r="FQ25">
        <v>0.57140000000000002</v>
      </c>
      <c r="FR25">
        <v>0</v>
      </c>
      <c r="FS25">
        <v>2.3800000000000002E-2</v>
      </c>
      <c r="FT25">
        <v>0</v>
      </c>
      <c r="FU25">
        <v>0</v>
      </c>
      <c r="FV25">
        <v>0.2</v>
      </c>
      <c r="FW25">
        <v>0</v>
      </c>
      <c r="FX25">
        <v>0</v>
      </c>
      <c r="FY25">
        <v>0.3422</v>
      </c>
      <c r="FZ25">
        <v>1.72E-2</v>
      </c>
      <c r="GA25">
        <v>42</v>
      </c>
      <c r="GB25">
        <v>1</v>
      </c>
      <c r="GC25">
        <v>1</v>
      </c>
      <c r="GD25">
        <v>31</v>
      </c>
      <c r="GE25">
        <v>0</v>
      </c>
      <c r="GF25">
        <v>9</v>
      </c>
      <c r="GG25">
        <v>0</v>
      </c>
      <c r="GH25">
        <v>0</v>
      </c>
      <c r="GI25">
        <v>0</v>
      </c>
      <c r="GJ25">
        <v>0</v>
      </c>
      <c r="GK25">
        <v>0</v>
      </c>
      <c r="GL25">
        <v>0</v>
      </c>
      <c r="GM25">
        <v>0</v>
      </c>
      <c r="GN25">
        <v>0</v>
      </c>
      <c r="GO25">
        <v>0</v>
      </c>
      <c r="GP25">
        <v>0.93020000000000003</v>
      </c>
      <c r="GQ25">
        <v>0</v>
      </c>
      <c r="GR25">
        <v>0</v>
      </c>
      <c r="GS25">
        <v>0</v>
      </c>
      <c r="GT25">
        <v>0</v>
      </c>
      <c r="GU25">
        <v>0</v>
      </c>
      <c r="GV25">
        <v>0</v>
      </c>
      <c r="GW25">
        <v>0.155</v>
      </c>
      <c r="GX25">
        <v>0</v>
      </c>
      <c r="GY25">
        <v>0</v>
      </c>
      <c r="GZ25">
        <v>0</v>
      </c>
      <c r="HA25">
        <v>0</v>
      </c>
      <c r="HB25">
        <v>0</v>
      </c>
      <c r="HC25" t="s">
        <v>383</v>
      </c>
      <c r="HD25">
        <v>0</v>
      </c>
      <c r="HE25">
        <v>0</v>
      </c>
      <c r="HF25">
        <v>0</v>
      </c>
      <c r="HG25">
        <v>0</v>
      </c>
      <c r="HH25">
        <v>0</v>
      </c>
      <c r="HI25" t="s">
        <v>383</v>
      </c>
      <c r="HJ25">
        <v>0</v>
      </c>
      <c r="HK25">
        <v>0</v>
      </c>
      <c r="HL25">
        <v>0</v>
      </c>
      <c r="HM25">
        <v>0</v>
      </c>
      <c r="HN25">
        <v>0</v>
      </c>
      <c r="HO25" t="s">
        <v>383</v>
      </c>
      <c r="HP25">
        <v>0</v>
      </c>
      <c r="HQ25">
        <v>0</v>
      </c>
      <c r="HR25">
        <v>0</v>
      </c>
      <c r="HS25">
        <v>0</v>
      </c>
      <c r="HT25">
        <v>0</v>
      </c>
      <c r="HU25" t="s">
        <v>383</v>
      </c>
      <c r="HV25">
        <v>0</v>
      </c>
      <c r="HW25">
        <v>0</v>
      </c>
      <c r="HX25">
        <v>0</v>
      </c>
      <c r="HY25">
        <v>0</v>
      </c>
      <c r="HZ25">
        <v>0</v>
      </c>
      <c r="IA25" t="s">
        <v>384</v>
      </c>
      <c r="IB25">
        <v>0</v>
      </c>
      <c r="IC25">
        <v>0</v>
      </c>
      <c r="ID25">
        <v>0</v>
      </c>
      <c r="IE25">
        <v>0</v>
      </c>
      <c r="IF25">
        <v>0</v>
      </c>
      <c r="IG25" t="s">
        <v>384</v>
      </c>
      <c r="IH25">
        <v>0</v>
      </c>
      <c r="II25">
        <v>0</v>
      </c>
      <c r="IJ25">
        <v>0</v>
      </c>
      <c r="IK25">
        <v>0</v>
      </c>
      <c r="IL25">
        <v>0</v>
      </c>
      <c r="IM25" t="s">
        <v>384</v>
      </c>
      <c r="IN25">
        <v>0</v>
      </c>
      <c r="IO25">
        <v>0</v>
      </c>
      <c r="IP25">
        <v>0</v>
      </c>
      <c r="IQ25">
        <v>0</v>
      </c>
      <c r="IR25">
        <v>0</v>
      </c>
      <c r="IS25" t="s">
        <v>384</v>
      </c>
      <c r="IT25">
        <v>0</v>
      </c>
      <c r="IU25">
        <v>0</v>
      </c>
      <c r="IV25">
        <v>0</v>
      </c>
      <c r="IW25">
        <v>0</v>
      </c>
      <c r="IX25">
        <v>0</v>
      </c>
      <c r="IY25">
        <v>0</v>
      </c>
      <c r="IZ25">
        <v>0</v>
      </c>
      <c r="JA25">
        <v>0</v>
      </c>
      <c r="JD25" t="s">
        <v>1012</v>
      </c>
      <c r="JE25" t="s">
        <v>386</v>
      </c>
      <c r="JF25" t="s">
        <v>1013</v>
      </c>
      <c r="JG25" t="s">
        <v>1014</v>
      </c>
      <c r="JH25" t="s">
        <v>1000</v>
      </c>
      <c r="JI25" t="s">
        <v>1015</v>
      </c>
      <c r="JJ25">
        <v>0.36670000000000003</v>
      </c>
      <c r="JK25">
        <v>0</v>
      </c>
      <c r="JL25" t="s">
        <v>391</v>
      </c>
      <c r="JM25">
        <v>0</v>
      </c>
      <c r="JN25">
        <v>0</v>
      </c>
      <c r="JO25">
        <v>0</v>
      </c>
      <c r="JP25">
        <v>0</v>
      </c>
      <c r="JQ25">
        <v>0</v>
      </c>
      <c r="JR25">
        <v>0</v>
      </c>
      <c r="JS25">
        <v>0</v>
      </c>
      <c r="JT25">
        <v>0</v>
      </c>
      <c r="JU25">
        <v>0</v>
      </c>
      <c r="JV25">
        <v>0</v>
      </c>
      <c r="JX25" t="s">
        <v>392</v>
      </c>
      <c r="JY25">
        <v>0</v>
      </c>
      <c r="JZ25">
        <v>0</v>
      </c>
      <c r="KA25">
        <v>1</v>
      </c>
      <c r="KB25">
        <v>0</v>
      </c>
      <c r="KC25">
        <v>0</v>
      </c>
      <c r="KD25">
        <v>1</v>
      </c>
      <c r="KE25">
        <v>0</v>
      </c>
      <c r="KF25">
        <v>0</v>
      </c>
      <c r="KG25">
        <v>1</v>
      </c>
      <c r="KH25">
        <v>0</v>
      </c>
      <c r="KI25">
        <v>0</v>
      </c>
      <c r="KJ25">
        <v>1</v>
      </c>
      <c r="KK25">
        <v>0</v>
      </c>
      <c r="KL25">
        <v>0</v>
      </c>
      <c r="KM25">
        <v>1</v>
      </c>
      <c r="KN25">
        <v>0</v>
      </c>
      <c r="KO25">
        <v>0</v>
      </c>
      <c r="KP25">
        <v>1</v>
      </c>
      <c r="KQ25">
        <v>0</v>
      </c>
      <c r="KR25">
        <v>0</v>
      </c>
      <c r="KS25">
        <v>1</v>
      </c>
      <c r="KT25">
        <v>0</v>
      </c>
      <c r="KU25">
        <v>0</v>
      </c>
      <c r="KV25">
        <v>1</v>
      </c>
      <c r="KW25">
        <v>0</v>
      </c>
      <c r="KX25">
        <v>0</v>
      </c>
      <c r="KY25">
        <v>1</v>
      </c>
      <c r="KZ25">
        <v>0</v>
      </c>
      <c r="LA25">
        <v>0</v>
      </c>
      <c r="LB25">
        <v>0</v>
      </c>
      <c r="LC25">
        <v>0</v>
      </c>
      <c r="LD25">
        <v>0</v>
      </c>
      <c r="LE25">
        <v>0</v>
      </c>
      <c r="LF25">
        <v>0</v>
      </c>
      <c r="LG25">
        <v>0</v>
      </c>
      <c r="LH25">
        <v>0</v>
      </c>
      <c r="LI25">
        <v>0</v>
      </c>
      <c r="LJ25">
        <v>0</v>
      </c>
      <c r="LK25">
        <v>0</v>
      </c>
      <c r="LN25" t="s">
        <v>393</v>
      </c>
      <c r="LO25" t="s">
        <v>394</v>
      </c>
      <c r="LP25" t="s">
        <v>395</v>
      </c>
      <c r="LQ25">
        <v>0.42370000000000002</v>
      </c>
      <c r="LR25">
        <v>11.931699999999999</v>
      </c>
      <c r="LS25">
        <v>8.4369999999999994</v>
      </c>
      <c r="LT25">
        <v>793</v>
      </c>
      <c r="LU25">
        <v>336</v>
      </c>
      <c r="LV25">
        <v>55.281199999999998</v>
      </c>
      <c r="LW25">
        <v>0.85880000000000001</v>
      </c>
      <c r="LX25">
        <v>0.4723</v>
      </c>
      <c r="LY25">
        <v>0.4723</v>
      </c>
      <c r="LZ25">
        <v>0.4723</v>
      </c>
      <c r="MA25">
        <v>0</v>
      </c>
      <c r="MB25">
        <v>375</v>
      </c>
      <c r="MC25">
        <v>1</v>
      </c>
      <c r="MD25" t="s">
        <v>396</v>
      </c>
      <c r="ME25" t="s">
        <v>397</v>
      </c>
    </row>
    <row r="26" spans="1:343" ht="16.95" customHeight="1" x14ac:dyDescent="0.3">
      <c r="A26" t="s">
        <v>1016</v>
      </c>
      <c r="B26" t="s">
        <v>1017</v>
      </c>
      <c r="C26" t="s">
        <v>345</v>
      </c>
      <c r="D26" t="s">
        <v>346</v>
      </c>
      <c r="E26" t="s">
        <v>347</v>
      </c>
      <c r="F26" t="s">
        <v>1018</v>
      </c>
      <c r="G26" t="s">
        <v>1019</v>
      </c>
      <c r="H26" t="s">
        <v>1020</v>
      </c>
      <c r="I26" t="s">
        <v>351</v>
      </c>
      <c r="J26">
        <v>807</v>
      </c>
      <c r="K26">
        <v>353</v>
      </c>
      <c r="L26">
        <v>0.43740000000000001</v>
      </c>
      <c r="M26">
        <v>39</v>
      </c>
      <c r="N26">
        <v>3</v>
      </c>
      <c r="O26">
        <v>1</v>
      </c>
      <c r="P26">
        <v>20.7</v>
      </c>
      <c r="Q26">
        <v>13</v>
      </c>
      <c r="R26">
        <v>18.7</v>
      </c>
      <c r="S26">
        <v>7.3</v>
      </c>
      <c r="T26">
        <v>7.4</v>
      </c>
      <c r="U26">
        <v>2.5</v>
      </c>
      <c r="V26">
        <v>7</v>
      </c>
      <c r="W26">
        <v>1</v>
      </c>
      <c r="X26">
        <v>1.4</v>
      </c>
      <c r="Y26">
        <v>1</v>
      </c>
      <c r="Z26">
        <v>4</v>
      </c>
      <c r="AA26">
        <v>0.25</v>
      </c>
      <c r="AB26" t="s">
        <v>352</v>
      </c>
      <c r="AC26" t="b">
        <v>0</v>
      </c>
      <c r="AD26" t="s">
        <v>353</v>
      </c>
      <c r="AE26">
        <v>0.46739999999999998</v>
      </c>
      <c r="AF26" t="s">
        <v>354</v>
      </c>
      <c r="AG26">
        <v>0.24779999999999999</v>
      </c>
      <c r="AH26">
        <v>4.5999999999999999E-2</v>
      </c>
      <c r="AI26">
        <v>0.71760000000000002</v>
      </c>
      <c r="AJ26" t="s">
        <v>355</v>
      </c>
      <c r="AK26">
        <v>4.7300000000000004</v>
      </c>
      <c r="AL26">
        <v>9</v>
      </c>
      <c r="AM26" t="s">
        <v>356</v>
      </c>
      <c r="AN26">
        <v>0</v>
      </c>
      <c r="AO26">
        <v>0</v>
      </c>
      <c r="AP26">
        <v>5</v>
      </c>
      <c r="AQ26">
        <v>6.2</v>
      </c>
      <c r="AR26">
        <v>5</v>
      </c>
      <c r="AS26">
        <v>0</v>
      </c>
      <c r="AT26" t="s">
        <v>357</v>
      </c>
      <c r="AU26">
        <v>15.4</v>
      </c>
      <c r="AV26">
        <v>6</v>
      </c>
      <c r="AW26" t="s">
        <v>354</v>
      </c>
      <c r="AX26">
        <v>10</v>
      </c>
      <c r="AY26">
        <v>12.39</v>
      </c>
      <c r="AZ26">
        <v>0</v>
      </c>
      <c r="BA26">
        <v>6</v>
      </c>
      <c r="BB26">
        <v>2</v>
      </c>
      <c r="BC26">
        <v>2</v>
      </c>
      <c r="BD26">
        <v>0</v>
      </c>
      <c r="BE26">
        <v>8</v>
      </c>
      <c r="BF26">
        <v>0</v>
      </c>
      <c r="BG26">
        <v>8</v>
      </c>
      <c r="BH26">
        <v>0</v>
      </c>
      <c r="BI26">
        <v>0.5</v>
      </c>
      <c r="BJ26" t="b">
        <v>0</v>
      </c>
      <c r="BK26" t="b">
        <v>0</v>
      </c>
      <c r="BL26">
        <v>3</v>
      </c>
      <c r="BM26">
        <v>3</v>
      </c>
      <c r="BN26">
        <v>2</v>
      </c>
      <c r="BO26">
        <v>1</v>
      </c>
      <c r="BP26">
        <v>0</v>
      </c>
      <c r="BQ26">
        <v>1</v>
      </c>
      <c r="BR26">
        <v>0</v>
      </c>
      <c r="BS26">
        <v>807</v>
      </c>
      <c r="BT26">
        <v>353</v>
      </c>
      <c r="BU26">
        <v>0.43740000000000001</v>
      </c>
      <c r="BV26">
        <v>3</v>
      </c>
      <c r="BW26">
        <v>1</v>
      </c>
      <c r="BX26">
        <v>269</v>
      </c>
      <c r="BZ26" t="s">
        <v>1021</v>
      </c>
      <c r="CA26" t="s">
        <v>1022</v>
      </c>
      <c r="CB26" t="s">
        <v>1023</v>
      </c>
      <c r="CC26" t="s">
        <v>1024</v>
      </c>
      <c r="CD26">
        <v>0</v>
      </c>
      <c r="CE26">
        <v>0</v>
      </c>
      <c r="CF26">
        <v>0</v>
      </c>
      <c r="CG26">
        <v>0</v>
      </c>
      <c r="CH26">
        <v>0</v>
      </c>
      <c r="CJ26">
        <v>2</v>
      </c>
      <c r="CK26">
        <v>2.48</v>
      </c>
      <c r="CL26" t="s">
        <v>407</v>
      </c>
      <c r="CM26">
        <v>1</v>
      </c>
      <c r="CN26">
        <v>0</v>
      </c>
      <c r="CO26" t="b">
        <v>0</v>
      </c>
      <c r="CP26" t="b">
        <v>0</v>
      </c>
      <c r="CQ26" t="b">
        <v>1</v>
      </c>
      <c r="CR26" t="b">
        <v>0</v>
      </c>
      <c r="CS26" t="b">
        <v>1</v>
      </c>
      <c r="CT26" t="b">
        <v>0</v>
      </c>
      <c r="CU26" t="b">
        <v>0</v>
      </c>
      <c r="CV26">
        <v>0</v>
      </c>
      <c r="CW26">
        <v>0</v>
      </c>
      <c r="CX26">
        <v>0</v>
      </c>
      <c r="CY26">
        <v>1</v>
      </c>
      <c r="CZ26">
        <v>1.24</v>
      </c>
      <c r="DA26">
        <v>5</v>
      </c>
      <c r="DB26">
        <v>6.19</v>
      </c>
      <c r="DC26">
        <v>5</v>
      </c>
      <c r="DD26">
        <v>0</v>
      </c>
      <c r="DE26">
        <v>0</v>
      </c>
      <c r="DF26">
        <v>2</v>
      </c>
      <c r="DG26">
        <v>2.48</v>
      </c>
      <c r="DH26">
        <v>2</v>
      </c>
      <c r="DI26">
        <v>2.48</v>
      </c>
      <c r="DJ26">
        <v>1</v>
      </c>
      <c r="DK26">
        <v>0</v>
      </c>
      <c r="DL26">
        <v>0</v>
      </c>
      <c r="DM26">
        <v>0</v>
      </c>
      <c r="DN26">
        <v>0</v>
      </c>
      <c r="DO26">
        <v>57</v>
      </c>
      <c r="DP26">
        <v>6</v>
      </c>
      <c r="DQ26">
        <v>7.43</v>
      </c>
      <c r="DR26" t="s">
        <v>1025</v>
      </c>
      <c r="DS26" t="s">
        <v>1026</v>
      </c>
      <c r="DT26" t="s">
        <v>1027</v>
      </c>
      <c r="DU26" t="s">
        <v>1001</v>
      </c>
      <c r="DV26" t="s">
        <v>1028</v>
      </c>
      <c r="DW26">
        <v>1.43</v>
      </c>
      <c r="DX26">
        <v>0</v>
      </c>
      <c r="DY26">
        <v>2.17</v>
      </c>
      <c r="DZ26">
        <v>5</v>
      </c>
      <c r="EA26">
        <v>0</v>
      </c>
      <c r="EB26">
        <v>8.6</v>
      </c>
      <c r="EC26" t="s">
        <v>369</v>
      </c>
      <c r="ED26" t="s">
        <v>413</v>
      </c>
      <c r="EE26">
        <v>2.35</v>
      </c>
      <c r="EF26" t="s">
        <v>414</v>
      </c>
      <c r="EG26">
        <v>0.87</v>
      </c>
      <c r="EH26">
        <v>1.98</v>
      </c>
      <c r="EI26">
        <v>0.438</v>
      </c>
      <c r="EJ26" t="s">
        <v>370</v>
      </c>
      <c r="EK26">
        <v>1.98</v>
      </c>
      <c r="EL26" t="s">
        <v>371</v>
      </c>
      <c r="EM26" t="s">
        <v>1029</v>
      </c>
      <c r="EN26">
        <v>0.83</v>
      </c>
      <c r="EO26" t="s">
        <v>373</v>
      </c>
      <c r="EP26">
        <v>0</v>
      </c>
      <c r="EQ26">
        <v>3</v>
      </c>
      <c r="ER26">
        <v>24.8</v>
      </c>
      <c r="ES26" t="s">
        <v>418</v>
      </c>
      <c r="ET26">
        <v>0</v>
      </c>
      <c r="EU26">
        <v>1.24</v>
      </c>
      <c r="EV26">
        <v>1.65</v>
      </c>
      <c r="EW26">
        <v>0.83</v>
      </c>
      <c r="EX26">
        <v>0.83</v>
      </c>
      <c r="EY26">
        <v>0</v>
      </c>
      <c r="EZ26">
        <v>1.24</v>
      </c>
      <c r="FA26">
        <v>1.24</v>
      </c>
      <c r="FB26">
        <v>1.24</v>
      </c>
      <c r="FC26">
        <v>0</v>
      </c>
      <c r="FD26" t="s">
        <v>375</v>
      </c>
      <c r="FE26">
        <v>88</v>
      </c>
      <c r="FF26" t="s">
        <v>1030</v>
      </c>
      <c r="FG26" t="s">
        <v>1031</v>
      </c>
      <c r="FH26" t="s">
        <v>1032</v>
      </c>
      <c r="FI26" t="s">
        <v>1033</v>
      </c>
      <c r="FJ26" t="s">
        <v>1034</v>
      </c>
      <c r="FK26" t="s">
        <v>1035</v>
      </c>
      <c r="FL26" t="s">
        <v>1036</v>
      </c>
      <c r="FM26">
        <v>0</v>
      </c>
      <c r="FN26">
        <v>0.60619999999999996</v>
      </c>
      <c r="FO26">
        <v>0.77500000000000002</v>
      </c>
      <c r="FP26">
        <v>0.67710000000000004</v>
      </c>
      <c r="FQ26">
        <v>0.72499999999999998</v>
      </c>
      <c r="FR26">
        <v>0</v>
      </c>
      <c r="FS26">
        <v>2.5000000000000001E-2</v>
      </c>
      <c r="FT26">
        <v>0</v>
      </c>
      <c r="FU26">
        <v>0</v>
      </c>
      <c r="FV26">
        <v>0.16500000000000001</v>
      </c>
      <c r="FW26">
        <v>0</v>
      </c>
      <c r="FX26">
        <v>5.5100000000000003E-2</v>
      </c>
      <c r="FY26">
        <v>0.36659999999999998</v>
      </c>
      <c r="FZ26">
        <v>1.84E-2</v>
      </c>
      <c r="GA26">
        <v>40</v>
      </c>
      <c r="GB26">
        <v>1</v>
      </c>
      <c r="GC26">
        <v>1</v>
      </c>
      <c r="GD26">
        <v>27</v>
      </c>
      <c r="GE26">
        <v>1</v>
      </c>
      <c r="GF26">
        <v>7</v>
      </c>
      <c r="GG26">
        <v>0</v>
      </c>
      <c r="GH26">
        <v>0</v>
      </c>
      <c r="GI26">
        <v>0</v>
      </c>
      <c r="GJ26">
        <v>0</v>
      </c>
      <c r="GK26">
        <v>0</v>
      </c>
      <c r="GL26">
        <v>0</v>
      </c>
      <c r="GM26">
        <v>0</v>
      </c>
      <c r="GN26">
        <v>0</v>
      </c>
      <c r="GO26">
        <v>0</v>
      </c>
      <c r="GP26">
        <v>0.99170000000000003</v>
      </c>
      <c r="GQ26">
        <v>0</v>
      </c>
      <c r="GR26">
        <v>0</v>
      </c>
      <c r="GS26">
        <v>0.1653</v>
      </c>
      <c r="GT26">
        <v>0</v>
      </c>
      <c r="GU26">
        <v>0</v>
      </c>
      <c r="GV26">
        <v>0.1653</v>
      </c>
      <c r="GW26">
        <v>0</v>
      </c>
      <c r="GX26">
        <v>0</v>
      </c>
      <c r="GY26">
        <v>0</v>
      </c>
      <c r="GZ26">
        <v>0</v>
      </c>
      <c r="HA26">
        <v>0</v>
      </c>
      <c r="HB26">
        <v>0</v>
      </c>
      <c r="HC26" t="s">
        <v>383</v>
      </c>
      <c r="HD26">
        <v>0</v>
      </c>
      <c r="HE26">
        <v>0</v>
      </c>
      <c r="HF26">
        <v>0</v>
      </c>
      <c r="HG26">
        <v>0</v>
      </c>
      <c r="HH26">
        <v>0</v>
      </c>
      <c r="HI26" t="s">
        <v>383</v>
      </c>
      <c r="HJ26">
        <v>0</v>
      </c>
      <c r="HK26">
        <v>0</v>
      </c>
      <c r="HL26">
        <v>0</v>
      </c>
      <c r="HM26">
        <v>0</v>
      </c>
      <c r="HN26">
        <v>0</v>
      </c>
      <c r="HO26" t="s">
        <v>383</v>
      </c>
      <c r="HP26">
        <v>0</v>
      </c>
      <c r="HQ26">
        <v>0</v>
      </c>
      <c r="HR26">
        <v>0</v>
      </c>
      <c r="HS26">
        <v>0</v>
      </c>
      <c r="HT26">
        <v>0</v>
      </c>
      <c r="HU26" t="s">
        <v>383</v>
      </c>
      <c r="HV26">
        <v>0</v>
      </c>
      <c r="HW26">
        <v>0</v>
      </c>
      <c r="HX26">
        <v>0</v>
      </c>
      <c r="HY26">
        <v>0</v>
      </c>
      <c r="HZ26">
        <v>0</v>
      </c>
      <c r="IA26" t="s">
        <v>384</v>
      </c>
      <c r="IB26">
        <v>0</v>
      </c>
      <c r="IC26">
        <v>0</v>
      </c>
      <c r="ID26">
        <v>0</v>
      </c>
      <c r="IE26">
        <v>0</v>
      </c>
      <c r="IF26">
        <v>0</v>
      </c>
      <c r="IG26" t="s">
        <v>384</v>
      </c>
      <c r="IH26">
        <v>0</v>
      </c>
      <c r="II26">
        <v>0</v>
      </c>
      <c r="IJ26">
        <v>0</v>
      </c>
      <c r="IK26">
        <v>0</v>
      </c>
      <c r="IL26">
        <v>0</v>
      </c>
      <c r="IM26" t="s">
        <v>384</v>
      </c>
      <c r="IN26">
        <v>0</v>
      </c>
      <c r="IO26">
        <v>0</v>
      </c>
      <c r="IP26">
        <v>0</v>
      </c>
      <c r="IQ26">
        <v>0</v>
      </c>
      <c r="IR26">
        <v>0</v>
      </c>
      <c r="IS26" t="s">
        <v>384</v>
      </c>
      <c r="IT26">
        <v>0</v>
      </c>
      <c r="IU26">
        <v>0</v>
      </c>
      <c r="IV26">
        <v>0</v>
      </c>
      <c r="IW26">
        <v>0</v>
      </c>
      <c r="IX26">
        <v>0</v>
      </c>
      <c r="IY26">
        <v>0</v>
      </c>
      <c r="IZ26">
        <v>0</v>
      </c>
      <c r="JA26">
        <v>0</v>
      </c>
      <c r="JD26" t="s">
        <v>1037</v>
      </c>
      <c r="JE26" t="s">
        <v>386</v>
      </c>
      <c r="JF26" t="s">
        <v>1026</v>
      </c>
      <c r="JG26" t="s">
        <v>1038</v>
      </c>
      <c r="JH26" t="s">
        <v>1039</v>
      </c>
      <c r="JI26" t="s">
        <v>1040</v>
      </c>
      <c r="JJ26">
        <v>0.61670000000000003</v>
      </c>
      <c r="JK26">
        <v>0</v>
      </c>
      <c r="JL26" t="s">
        <v>391</v>
      </c>
      <c r="JM26">
        <v>0</v>
      </c>
      <c r="JN26">
        <v>0</v>
      </c>
      <c r="JO26">
        <v>0</v>
      </c>
      <c r="JP26">
        <v>0</v>
      </c>
      <c r="JQ26">
        <v>0</v>
      </c>
      <c r="JR26">
        <v>0</v>
      </c>
      <c r="JS26">
        <v>0</v>
      </c>
      <c r="JT26">
        <v>0</v>
      </c>
      <c r="JU26">
        <v>0</v>
      </c>
      <c r="JV26">
        <v>0</v>
      </c>
      <c r="JX26" t="s">
        <v>392</v>
      </c>
      <c r="JY26">
        <v>0</v>
      </c>
      <c r="JZ26">
        <v>0</v>
      </c>
      <c r="KA26">
        <v>1</v>
      </c>
      <c r="KB26">
        <v>0</v>
      </c>
      <c r="KC26">
        <v>0</v>
      </c>
      <c r="KD26">
        <v>1</v>
      </c>
      <c r="KE26">
        <v>0</v>
      </c>
      <c r="KF26">
        <v>0</v>
      </c>
      <c r="KG26">
        <v>1</v>
      </c>
      <c r="KH26">
        <v>0</v>
      </c>
      <c r="KI26">
        <v>0</v>
      </c>
      <c r="KJ26">
        <v>1</v>
      </c>
      <c r="KK26">
        <v>0</v>
      </c>
      <c r="KL26">
        <v>0</v>
      </c>
      <c r="KM26">
        <v>1</v>
      </c>
      <c r="KN26">
        <v>0</v>
      </c>
      <c r="KO26">
        <v>0</v>
      </c>
      <c r="KP26">
        <v>1</v>
      </c>
      <c r="KQ26">
        <v>0</v>
      </c>
      <c r="KR26">
        <v>0</v>
      </c>
      <c r="KS26">
        <v>1</v>
      </c>
      <c r="KT26">
        <v>0</v>
      </c>
      <c r="KU26">
        <v>0</v>
      </c>
      <c r="KV26">
        <v>1</v>
      </c>
      <c r="KW26">
        <v>0</v>
      </c>
      <c r="KX26">
        <v>0</v>
      </c>
      <c r="KY26">
        <v>1</v>
      </c>
      <c r="KZ26">
        <v>0</v>
      </c>
      <c r="LA26">
        <v>0</v>
      </c>
      <c r="LB26">
        <v>0</v>
      </c>
      <c r="LC26">
        <v>0</v>
      </c>
      <c r="LD26">
        <v>0</v>
      </c>
      <c r="LE26">
        <v>0</v>
      </c>
      <c r="LF26">
        <v>0</v>
      </c>
      <c r="LG26">
        <v>0</v>
      </c>
      <c r="LH26">
        <v>0</v>
      </c>
      <c r="LI26">
        <v>0</v>
      </c>
      <c r="LJ26">
        <v>0</v>
      </c>
      <c r="LK26">
        <v>0</v>
      </c>
      <c r="LN26" t="s">
        <v>393</v>
      </c>
      <c r="LO26" t="s">
        <v>394</v>
      </c>
      <c r="LP26" t="s">
        <v>395</v>
      </c>
      <c r="LQ26">
        <v>0.4577</v>
      </c>
      <c r="LR26">
        <v>12.382</v>
      </c>
      <c r="LS26">
        <v>8.7553999999999998</v>
      </c>
      <c r="LT26">
        <v>732</v>
      </c>
      <c r="LU26">
        <v>335</v>
      </c>
      <c r="LV26">
        <v>77.2667</v>
      </c>
      <c r="LW26">
        <v>0.86760000000000004</v>
      </c>
      <c r="LX26">
        <v>0.47810000000000002</v>
      </c>
      <c r="LY26">
        <v>0.47810000000000002</v>
      </c>
      <c r="LZ26">
        <v>0.47810000000000002</v>
      </c>
      <c r="MA26">
        <v>0</v>
      </c>
      <c r="MB26">
        <v>350</v>
      </c>
      <c r="MC26">
        <v>1</v>
      </c>
      <c r="MD26" t="s">
        <v>396</v>
      </c>
      <c r="ME26" t="s">
        <v>397</v>
      </c>
    </row>
    <row r="27" spans="1:343" ht="16.95" customHeight="1" x14ac:dyDescent="0.3">
      <c r="A27" t="s">
        <v>1041</v>
      </c>
      <c r="B27" t="s">
        <v>1042</v>
      </c>
      <c r="C27" t="s">
        <v>345</v>
      </c>
      <c r="D27" t="s">
        <v>346</v>
      </c>
      <c r="E27" t="s">
        <v>347</v>
      </c>
      <c r="F27" t="s">
        <v>1043</v>
      </c>
      <c r="G27" t="s">
        <v>1044</v>
      </c>
      <c r="H27" t="s">
        <v>1045</v>
      </c>
      <c r="I27" t="s">
        <v>351</v>
      </c>
      <c r="J27">
        <v>829</v>
      </c>
      <c r="K27">
        <v>310</v>
      </c>
      <c r="L27">
        <v>0.37390000000000001</v>
      </c>
      <c r="M27">
        <v>34</v>
      </c>
      <c r="N27">
        <v>3</v>
      </c>
      <c r="O27">
        <v>1</v>
      </c>
      <c r="P27">
        <v>24.4</v>
      </c>
      <c r="Q27">
        <v>11.3</v>
      </c>
      <c r="R27">
        <v>17.2</v>
      </c>
      <c r="S27">
        <v>7.2</v>
      </c>
      <c r="T27">
        <v>7.7</v>
      </c>
      <c r="U27">
        <v>1.9</v>
      </c>
      <c r="V27">
        <v>9.8000000000000007</v>
      </c>
      <c r="W27">
        <v>5</v>
      </c>
      <c r="X27">
        <v>7</v>
      </c>
      <c r="Y27">
        <v>1</v>
      </c>
      <c r="Z27">
        <v>0</v>
      </c>
      <c r="AA27">
        <v>1</v>
      </c>
      <c r="AB27" t="s">
        <v>352</v>
      </c>
      <c r="AC27" t="b">
        <v>0</v>
      </c>
      <c r="AD27" t="s">
        <v>353</v>
      </c>
      <c r="AE27">
        <v>0.41120000000000001</v>
      </c>
      <c r="AF27" t="s">
        <v>354</v>
      </c>
      <c r="AG27">
        <v>0.26300000000000001</v>
      </c>
      <c r="AH27">
        <v>0.12939999999999999</v>
      </c>
      <c r="AI27">
        <v>0.64159999999999995</v>
      </c>
      <c r="AJ27" t="s">
        <v>355</v>
      </c>
      <c r="AK27">
        <v>5.47</v>
      </c>
      <c r="AL27">
        <v>9</v>
      </c>
      <c r="AM27" t="s">
        <v>356</v>
      </c>
      <c r="AN27">
        <v>0</v>
      </c>
      <c r="AO27">
        <v>0</v>
      </c>
      <c r="AP27">
        <v>5</v>
      </c>
      <c r="AQ27">
        <v>6.03</v>
      </c>
      <c r="AR27">
        <v>5</v>
      </c>
      <c r="AS27">
        <v>0</v>
      </c>
      <c r="AT27" t="s">
        <v>357</v>
      </c>
      <c r="AU27">
        <v>32.4</v>
      </c>
      <c r="AV27">
        <v>11</v>
      </c>
      <c r="AW27" t="s">
        <v>356</v>
      </c>
      <c r="AX27">
        <v>6</v>
      </c>
      <c r="AY27">
        <v>7.24</v>
      </c>
      <c r="AZ27">
        <v>0</v>
      </c>
      <c r="BA27">
        <v>6</v>
      </c>
      <c r="BB27">
        <v>0</v>
      </c>
      <c r="BC27">
        <v>0</v>
      </c>
      <c r="BD27">
        <v>0</v>
      </c>
      <c r="BE27">
        <v>6</v>
      </c>
      <c r="BF27">
        <v>0</v>
      </c>
      <c r="BG27">
        <v>6</v>
      </c>
      <c r="BH27">
        <v>0</v>
      </c>
      <c r="BI27">
        <v>0</v>
      </c>
      <c r="BJ27" t="b">
        <v>0</v>
      </c>
      <c r="BK27" t="b">
        <v>0</v>
      </c>
      <c r="BL27">
        <v>3</v>
      </c>
      <c r="BM27">
        <v>3</v>
      </c>
      <c r="BN27">
        <v>2</v>
      </c>
      <c r="BO27">
        <v>1</v>
      </c>
      <c r="BP27">
        <v>0</v>
      </c>
      <c r="BQ27">
        <v>1</v>
      </c>
      <c r="BR27">
        <v>0</v>
      </c>
      <c r="BS27">
        <v>829</v>
      </c>
      <c r="BT27">
        <v>310</v>
      </c>
      <c r="BU27">
        <v>0.37390000000000001</v>
      </c>
      <c r="BV27">
        <v>3</v>
      </c>
      <c r="BW27">
        <v>1</v>
      </c>
      <c r="BX27">
        <v>276.3</v>
      </c>
      <c r="BZ27" t="s">
        <v>1046</v>
      </c>
      <c r="CA27" t="s">
        <v>1047</v>
      </c>
      <c r="CB27" t="s">
        <v>1048</v>
      </c>
      <c r="CC27" t="s">
        <v>1049</v>
      </c>
      <c r="CD27">
        <v>0</v>
      </c>
      <c r="CE27">
        <v>0</v>
      </c>
      <c r="CF27">
        <v>0</v>
      </c>
      <c r="CG27">
        <v>0</v>
      </c>
      <c r="CH27">
        <v>0</v>
      </c>
      <c r="CJ27">
        <v>1</v>
      </c>
      <c r="CK27">
        <v>1.2</v>
      </c>
      <c r="CL27" t="s">
        <v>407</v>
      </c>
      <c r="CM27">
        <v>1</v>
      </c>
      <c r="CN27">
        <v>0</v>
      </c>
      <c r="CO27" t="b">
        <v>0</v>
      </c>
      <c r="CP27" t="b">
        <v>1</v>
      </c>
      <c r="CQ27" t="b">
        <v>1</v>
      </c>
      <c r="CR27" t="b">
        <v>0</v>
      </c>
      <c r="CS27" t="b">
        <v>0</v>
      </c>
      <c r="CT27" t="b">
        <v>0</v>
      </c>
      <c r="CU27" t="b">
        <v>0</v>
      </c>
      <c r="CV27">
        <v>0</v>
      </c>
      <c r="CW27">
        <v>0</v>
      </c>
      <c r="CX27">
        <v>0</v>
      </c>
      <c r="CY27">
        <v>0</v>
      </c>
      <c r="CZ27">
        <v>0</v>
      </c>
      <c r="DA27">
        <v>5</v>
      </c>
      <c r="DB27">
        <v>6.02</v>
      </c>
      <c r="DC27">
        <v>5</v>
      </c>
      <c r="DD27">
        <v>0</v>
      </c>
      <c r="DE27">
        <v>0</v>
      </c>
      <c r="DF27">
        <v>1</v>
      </c>
      <c r="DG27">
        <v>1.2</v>
      </c>
      <c r="DH27">
        <v>0</v>
      </c>
      <c r="DI27">
        <v>0</v>
      </c>
      <c r="DJ27">
        <v>1</v>
      </c>
      <c r="DK27">
        <v>0</v>
      </c>
      <c r="DL27">
        <v>0</v>
      </c>
      <c r="DM27">
        <v>0</v>
      </c>
      <c r="DN27">
        <v>0</v>
      </c>
      <c r="DO27">
        <v>79</v>
      </c>
      <c r="DP27">
        <v>1</v>
      </c>
      <c r="DQ27">
        <v>1.2</v>
      </c>
      <c r="DR27" t="s">
        <v>1050</v>
      </c>
      <c r="DS27" t="s">
        <v>1051</v>
      </c>
      <c r="DT27" t="s">
        <v>1052</v>
      </c>
      <c r="DU27" t="s">
        <v>1001</v>
      </c>
      <c r="DV27" t="s">
        <v>1053</v>
      </c>
      <c r="DW27">
        <v>1.43</v>
      </c>
      <c r="DX27">
        <v>0</v>
      </c>
      <c r="DY27">
        <v>2</v>
      </c>
      <c r="DZ27">
        <v>5</v>
      </c>
      <c r="EA27">
        <v>0</v>
      </c>
      <c r="EB27">
        <v>8.43</v>
      </c>
      <c r="EC27" t="s">
        <v>369</v>
      </c>
      <c r="ED27" t="s">
        <v>413</v>
      </c>
      <c r="EE27">
        <v>4.58</v>
      </c>
      <c r="EF27" t="s">
        <v>354</v>
      </c>
      <c r="EG27">
        <v>1.93</v>
      </c>
      <c r="EH27">
        <v>1.69</v>
      </c>
      <c r="EI27">
        <v>1.143</v>
      </c>
      <c r="EJ27" t="s">
        <v>415</v>
      </c>
      <c r="EK27">
        <v>1.45</v>
      </c>
      <c r="EL27" t="s">
        <v>371</v>
      </c>
      <c r="EM27" t="s">
        <v>1054</v>
      </c>
      <c r="EN27">
        <v>1.48</v>
      </c>
      <c r="EO27" t="s">
        <v>1004</v>
      </c>
      <c r="EP27">
        <v>0</v>
      </c>
      <c r="EQ27">
        <v>2</v>
      </c>
      <c r="ER27">
        <v>37.9</v>
      </c>
      <c r="ES27" t="s">
        <v>418</v>
      </c>
      <c r="ET27">
        <v>1.2</v>
      </c>
      <c r="EU27">
        <v>1.61</v>
      </c>
      <c r="EV27">
        <v>2.81</v>
      </c>
      <c r="EW27">
        <v>1.2</v>
      </c>
      <c r="EX27">
        <v>1.2</v>
      </c>
      <c r="EY27">
        <v>0</v>
      </c>
      <c r="EZ27">
        <v>1.61</v>
      </c>
      <c r="FA27">
        <v>4.42</v>
      </c>
      <c r="FB27">
        <v>0.8</v>
      </c>
      <c r="FC27">
        <v>0</v>
      </c>
      <c r="FD27" t="s">
        <v>375</v>
      </c>
      <c r="FE27">
        <v>111</v>
      </c>
      <c r="FF27" t="s">
        <v>1055</v>
      </c>
      <c r="FG27" t="s">
        <v>1056</v>
      </c>
      <c r="FH27" t="s">
        <v>1057</v>
      </c>
      <c r="FI27" t="s">
        <v>1058</v>
      </c>
      <c r="FJ27" t="s">
        <v>1059</v>
      </c>
      <c r="FK27" t="s">
        <v>1060</v>
      </c>
      <c r="FL27" t="s">
        <v>1061</v>
      </c>
      <c r="FM27">
        <v>0</v>
      </c>
      <c r="FN27">
        <v>0.63039999999999996</v>
      </c>
      <c r="FO27">
        <v>0.77500000000000002</v>
      </c>
      <c r="FP27">
        <v>0.69110000000000005</v>
      </c>
      <c r="FQ27">
        <v>0.76470000000000005</v>
      </c>
      <c r="FR27">
        <v>0</v>
      </c>
      <c r="FS27">
        <v>2.9399999999999999E-2</v>
      </c>
      <c r="FT27">
        <v>0</v>
      </c>
      <c r="FU27">
        <v>0</v>
      </c>
      <c r="FV27">
        <v>0.18240000000000001</v>
      </c>
      <c r="FW27">
        <v>0</v>
      </c>
      <c r="FX27">
        <v>0</v>
      </c>
      <c r="FY27">
        <v>0.36030000000000001</v>
      </c>
      <c r="FZ27">
        <v>0</v>
      </c>
      <c r="GA27">
        <v>34</v>
      </c>
      <c r="GB27">
        <v>1</v>
      </c>
      <c r="GC27">
        <v>1</v>
      </c>
      <c r="GD27">
        <v>27</v>
      </c>
      <c r="GE27">
        <v>0</v>
      </c>
      <c r="GF27">
        <v>5</v>
      </c>
      <c r="GG27">
        <v>0</v>
      </c>
      <c r="GH27">
        <v>0</v>
      </c>
      <c r="GI27">
        <v>0</v>
      </c>
      <c r="GJ27">
        <v>0</v>
      </c>
      <c r="GK27">
        <v>0</v>
      </c>
      <c r="GL27">
        <v>0</v>
      </c>
      <c r="GM27">
        <v>0</v>
      </c>
      <c r="GN27">
        <v>0</v>
      </c>
      <c r="GO27">
        <v>0</v>
      </c>
      <c r="GP27">
        <v>0.99309999999999998</v>
      </c>
      <c r="GQ27">
        <v>0</v>
      </c>
      <c r="GR27">
        <v>0</v>
      </c>
      <c r="GS27">
        <v>0</v>
      </c>
      <c r="GT27">
        <v>0</v>
      </c>
      <c r="GU27">
        <v>0</v>
      </c>
      <c r="GV27">
        <v>0</v>
      </c>
      <c r="GW27">
        <v>0</v>
      </c>
      <c r="GX27">
        <v>0</v>
      </c>
      <c r="GY27">
        <v>0</v>
      </c>
      <c r="GZ27">
        <v>0</v>
      </c>
      <c r="HA27">
        <v>0</v>
      </c>
      <c r="HB27">
        <v>0</v>
      </c>
      <c r="HC27" t="s">
        <v>383</v>
      </c>
      <c r="HD27">
        <v>0</v>
      </c>
      <c r="HE27">
        <v>0</v>
      </c>
      <c r="HF27">
        <v>0</v>
      </c>
      <c r="HG27">
        <v>0</v>
      </c>
      <c r="HH27">
        <v>0</v>
      </c>
      <c r="HI27" t="s">
        <v>383</v>
      </c>
      <c r="HJ27">
        <v>0</v>
      </c>
      <c r="HK27">
        <v>0</v>
      </c>
      <c r="HL27">
        <v>0</v>
      </c>
      <c r="HM27">
        <v>0</v>
      </c>
      <c r="HN27">
        <v>0</v>
      </c>
      <c r="HO27" t="s">
        <v>383</v>
      </c>
      <c r="HP27">
        <v>0</v>
      </c>
      <c r="HQ27">
        <v>0</v>
      </c>
      <c r="HR27">
        <v>0</v>
      </c>
      <c r="HS27">
        <v>0</v>
      </c>
      <c r="HT27">
        <v>0</v>
      </c>
      <c r="HU27" t="s">
        <v>383</v>
      </c>
      <c r="HV27">
        <v>0</v>
      </c>
      <c r="HW27">
        <v>0</v>
      </c>
      <c r="HX27">
        <v>0</v>
      </c>
      <c r="HY27">
        <v>0</v>
      </c>
      <c r="HZ27">
        <v>0</v>
      </c>
      <c r="IA27" t="s">
        <v>384</v>
      </c>
      <c r="IB27">
        <v>0</v>
      </c>
      <c r="IC27">
        <v>0</v>
      </c>
      <c r="ID27">
        <v>0</v>
      </c>
      <c r="IE27">
        <v>0</v>
      </c>
      <c r="IF27">
        <v>0</v>
      </c>
      <c r="IG27" t="s">
        <v>384</v>
      </c>
      <c r="IH27">
        <v>0</v>
      </c>
      <c r="II27">
        <v>0</v>
      </c>
      <c r="IJ27">
        <v>0</v>
      </c>
      <c r="IK27">
        <v>0</v>
      </c>
      <c r="IL27">
        <v>0</v>
      </c>
      <c r="IM27" t="s">
        <v>384</v>
      </c>
      <c r="IN27">
        <v>0</v>
      </c>
      <c r="IO27">
        <v>0</v>
      </c>
      <c r="IP27">
        <v>0</v>
      </c>
      <c r="IQ27">
        <v>0</v>
      </c>
      <c r="IR27">
        <v>0</v>
      </c>
      <c r="IS27" t="s">
        <v>384</v>
      </c>
      <c r="IT27">
        <v>0</v>
      </c>
      <c r="IU27">
        <v>0</v>
      </c>
      <c r="IV27">
        <v>0</v>
      </c>
      <c r="IW27">
        <v>0</v>
      </c>
      <c r="IX27">
        <v>0</v>
      </c>
      <c r="IY27">
        <v>0</v>
      </c>
      <c r="IZ27">
        <v>0</v>
      </c>
      <c r="JA27">
        <v>0</v>
      </c>
      <c r="JD27" t="s">
        <v>805</v>
      </c>
      <c r="JE27" t="s">
        <v>386</v>
      </c>
      <c r="JF27" t="s">
        <v>1062</v>
      </c>
      <c r="JG27" t="s">
        <v>1063</v>
      </c>
      <c r="JH27" t="s">
        <v>1052</v>
      </c>
      <c r="JI27" t="s">
        <v>1050</v>
      </c>
      <c r="JJ27">
        <v>0.43330000000000002</v>
      </c>
      <c r="JK27">
        <v>0</v>
      </c>
      <c r="JL27" t="s">
        <v>391</v>
      </c>
      <c r="JM27">
        <v>0</v>
      </c>
      <c r="JN27">
        <v>0</v>
      </c>
      <c r="JO27">
        <v>0</v>
      </c>
      <c r="JP27">
        <v>0</v>
      </c>
      <c r="JQ27">
        <v>0</v>
      </c>
      <c r="JR27">
        <v>0</v>
      </c>
      <c r="JS27">
        <v>0</v>
      </c>
      <c r="JT27">
        <v>0</v>
      </c>
      <c r="JU27">
        <v>0</v>
      </c>
      <c r="JV27">
        <v>0</v>
      </c>
      <c r="JX27" t="s">
        <v>392</v>
      </c>
      <c r="JY27">
        <v>0</v>
      </c>
      <c r="JZ27">
        <v>0</v>
      </c>
      <c r="KA27">
        <v>1</v>
      </c>
      <c r="KB27">
        <v>0</v>
      </c>
      <c r="KC27">
        <v>0</v>
      </c>
      <c r="KD27">
        <v>1</v>
      </c>
      <c r="KE27">
        <v>0</v>
      </c>
      <c r="KF27">
        <v>0</v>
      </c>
      <c r="KG27">
        <v>1</v>
      </c>
      <c r="KH27">
        <v>0</v>
      </c>
      <c r="KI27">
        <v>0</v>
      </c>
      <c r="KJ27">
        <v>1</v>
      </c>
      <c r="KK27">
        <v>0</v>
      </c>
      <c r="KL27">
        <v>0</v>
      </c>
      <c r="KM27">
        <v>1</v>
      </c>
      <c r="KN27">
        <v>0</v>
      </c>
      <c r="KO27">
        <v>0</v>
      </c>
      <c r="KP27">
        <v>1</v>
      </c>
      <c r="KQ27">
        <v>0</v>
      </c>
      <c r="KR27">
        <v>0</v>
      </c>
      <c r="KS27">
        <v>1</v>
      </c>
      <c r="KT27">
        <v>0</v>
      </c>
      <c r="KU27">
        <v>0</v>
      </c>
      <c r="KV27">
        <v>1</v>
      </c>
      <c r="KW27">
        <v>0</v>
      </c>
      <c r="KX27">
        <v>0</v>
      </c>
      <c r="KY27">
        <v>1</v>
      </c>
      <c r="KZ27">
        <v>0</v>
      </c>
      <c r="LA27">
        <v>0</v>
      </c>
      <c r="LB27">
        <v>0</v>
      </c>
      <c r="LC27">
        <v>0</v>
      </c>
      <c r="LD27">
        <v>0</v>
      </c>
      <c r="LE27">
        <v>0</v>
      </c>
      <c r="LF27">
        <v>0</v>
      </c>
      <c r="LG27">
        <v>0</v>
      </c>
      <c r="LH27">
        <v>0</v>
      </c>
      <c r="LI27">
        <v>0</v>
      </c>
      <c r="LJ27">
        <v>0</v>
      </c>
      <c r="LK27">
        <v>0</v>
      </c>
      <c r="LN27" t="s">
        <v>393</v>
      </c>
      <c r="LO27" t="s">
        <v>394</v>
      </c>
      <c r="LP27" t="s">
        <v>395</v>
      </c>
      <c r="LQ27">
        <v>0.39090000000000003</v>
      </c>
      <c r="LR27">
        <v>10.5176</v>
      </c>
      <c r="LS27">
        <v>7.4371</v>
      </c>
      <c r="LT27">
        <v>724</v>
      </c>
      <c r="LU27">
        <v>283</v>
      </c>
      <c r="LV27">
        <v>72.400000000000006</v>
      </c>
      <c r="LW27">
        <v>0.87509999999999999</v>
      </c>
      <c r="LX27">
        <v>0.50549999999999995</v>
      </c>
      <c r="LY27">
        <v>0.50549999999999995</v>
      </c>
      <c r="LZ27">
        <v>0.50549999999999995</v>
      </c>
      <c r="MA27">
        <v>0</v>
      </c>
      <c r="MB27">
        <v>366</v>
      </c>
      <c r="MC27">
        <v>1</v>
      </c>
      <c r="MD27" t="s">
        <v>396</v>
      </c>
      <c r="ME27" t="s">
        <v>397</v>
      </c>
    </row>
    <row r="28" spans="1:343" ht="16.95" customHeight="1" x14ac:dyDescent="0.3">
      <c r="A28" t="s">
        <v>1064</v>
      </c>
      <c r="B28" t="s">
        <v>1065</v>
      </c>
      <c r="C28" t="s">
        <v>345</v>
      </c>
      <c r="D28" t="s">
        <v>346</v>
      </c>
      <c r="E28" t="s">
        <v>347</v>
      </c>
      <c r="F28" t="s">
        <v>1066</v>
      </c>
      <c r="G28" t="s">
        <v>1067</v>
      </c>
      <c r="H28" t="s">
        <v>1068</v>
      </c>
      <c r="I28" t="s">
        <v>351</v>
      </c>
      <c r="J28">
        <v>1427</v>
      </c>
      <c r="K28">
        <v>638</v>
      </c>
      <c r="L28">
        <v>0.4471</v>
      </c>
      <c r="M28">
        <v>80</v>
      </c>
      <c r="N28">
        <v>3</v>
      </c>
      <c r="O28">
        <v>1</v>
      </c>
      <c r="P28">
        <v>17.8</v>
      </c>
      <c r="Q28">
        <v>26.7</v>
      </c>
      <c r="R28">
        <v>20.6</v>
      </c>
      <c r="S28">
        <v>10.199999999999999</v>
      </c>
      <c r="T28">
        <v>6.3</v>
      </c>
      <c r="U28">
        <v>2.4</v>
      </c>
      <c r="V28">
        <v>5.7</v>
      </c>
      <c r="W28">
        <v>5</v>
      </c>
      <c r="X28">
        <v>2.8</v>
      </c>
      <c r="Y28">
        <v>3</v>
      </c>
      <c r="Z28">
        <v>2</v>
      </c>
      <c r="AA28">
        <v>1.5</v>
      </c>
      <c r="AB28" t="s">
        <v>493</v>
      </c>
      <c r="AC28" t="b">
        <v>0</v>
      </c>
      <c r="AD28" t="s">
        <v>353</v>
      </c>
      <c r="AE28">
        <v>0.44109999999999999</v>
      </c>
      <c r="AF28" t="s">
        <v>354</v>
      </c>
      <c r="AG28">
        <v>0.20949999999999999</v>
      </c>
      <c r="AH28">
        <v>3.7199999999999997E-2</v>
      </c>
      <c r="AI28">
        <v>0.7611</v>
      </c>
      <c r="AJ28" t="s">
        <v>355</v>
      </c>
      <c r="AK28">
        <v>4.43</v>
      </c>
      <c r="AL28">
        <v>12</v>
      </c>
      <c r="AM28" t="s">
        <v>356</v>
      </c>
      <c r="AN28">
        <v>0</v>
      </c>
      <c r="AO28">
        <v>0</v>
      </c>
      <c r="AP28">
        <v>11</v>
      </c>
      <c r="AQ28">
        <v>7.71</v>
      </c>
      <c r="AR28">
        <v>11</v>
      </c>
      <c r="AS28">
        <v>0</v>
      </c>
      <c r="AT28" t="s">
        <v>357</v>
      </c>
      <c r="AU28">
        <v>17.5</v>
      </c>
      <c r="AV28">
        <v>14</v>
      </c>
      <c r="AW28" t="s">
        <v>354</v>
      </c>
      <c r="AX28">
        <v>11</v>
      </c>
      <c r="AY28">
        <v>7.71</v>
      </c>
      <c r="AZ28">
        <v>0</v>
      </c>
      <c r="BA28">
        <v>9</v>
      </c>
      <c r="BB28">
        <v>2</v>
      </c>
      <c r="BC28">
        <v>0</v>
      </c>
      <c r="BD28">
        <v>0</v>
      </c>
      <c r="BE28">
        <v>11</v>
      </c>
      <c r="BF28">
        <v>0</v>
      </c>
      <c r="BG28">
        <v>11</v>
      </c>
      <c r="BH28">
        <v>1</v>
      </c>
      <c r="BI28">
        <v>0</v>
      </c>
      <c r="BJ28" t="b">
        <v>0</v>
      </c>
      <c r="BK28" t="b">
        <v>0</v>
      </c>
      <c r="BL28">
        <v>3</v>
      </c>
      <c r="BM28">
        <v>3</v>
      </c>
      <c r="BN28">
        <v>2</v>
      </c>
      <c r="BO28">
        <v>1</v>
      </c>
      <c r="BP28">
        <v>0</v>
      </c>
      <c r="BQ28">
        <v>1</v>
      </c>
      <c r="BR28">
        <v>0</v>
      </c>
      <c r="BS28">
        <v>1427</v>
      </c>
      <c r="BT28">
        <v>638</v>
      </c>
      <c r="BU28">
        <v>0.4471</v>
      </c>
      <c r="BV28">
        <v>3</v>
      </c>
      <c r="BW28">
        <v>1</v>
      </c>
      <c r="BX28">
        <v>475.7</v>
      </c>
      <c r="BZ28" t="s">
        <v>1069</v>
      </c>
      <c r="CA28" t="s">
        <v>1070</v>
      </c>
      <c r="CB28" t="s">
        <v>1071</v>
      </c>
      <c r="CC28" t="s">
        <v>1072</v>
      </c>
      <c r="CD28">
        <v>0</v>
      </c>
      <c r="CE28">
        <v>0</v>
      </c>
      <c r="CF28">
        <v>0</v>
      </c>
      <c r="CG28">
        <v>0</v>
      </c>
      <c r="CH28">
        <v>0</v>
      </c>
      <c r="CJ28">
        <v>3</v>
      </c>
      <c r="CK28">
        <v>2.1</v>
      </c>
      <c r="CL28" t="s">
        <v>440</v>
      </c>
      <c r="CM28">
        <v>1</v>
      </c>
      <c r="CN28">
        <v>0</v>
      </c>
      <c r="CO28" t="b">
        <v>0</v>
      </c>
      <c r="CP28" t="b">
        <v>0</v>
      </c>
      <c r="CQ28" t="b">
        <v>1</v>
      </c>
      <c r="CR28" t="b">
        <v>0</v>
      </c>
      <c r="CS28" t="b">
        <v>0</v>
      </c>
      <c r="CT28" t="b">
        <v>0</v>
      </c>
      <c r="CU28" t="b">
        <v>0</v>
      </c>
      <c r="CV28">
        <v>0</v>
      </c>
      <c r="CW28">
        <v>0</v>
      </c>
      <c r="CX28">
        <v>0</v>
      </c>
      <c r="CY28">
        <v>0</v>
      </c>
      <c r="CZ28">
        <v>0</v>
      </c>
      <c r="DA28">
        <v>11</v>
      </c>
      <c r="DB28">
        <v>7.7</v>
      </c>
      <c r="DC28">
        <v>11</v>
      </c>
      <c r="DD28">
        <v>0</v>
      </c>
      <c r="DE28">
        <v>0</v>
      </c>
      <c r="DF28">
        <v>1</v>
      </c>
      <c r="DG28">
        <v>0.7</v>
      </c>
      <c r="DH28">
        <v>9</v>
      </c>
      <c r="DI28">
        <v>6.3</v>
      </c>
      <c r="DJ28">
        <v>0.11</v>
      </c>
      <c r="DK28">
        <v>0</v>
      </c>
      <c r="DL28">
        <v>0</v>
      </c>
      <c r="DM28">
        <v>0</v>
      </c>
      <c r="DN28">
        <v>0</v>
      </c>
      <c r="DO28">
        <v>133</v>
      </c>
      <c r="DP28">
        <v>4</v>
      </c>
      <c r="DQ28">
        <v>2.8</v>
      </c>
      <c r="DR28" t="s">
        <v>1073</v>
      </c>
      <c r="DS28" t="s">
        <v>1074</v>
      </c>
      <c r="DT28" t="s">
        <v>1075</v>
      </c>
      <c r="DU28" t="s">
        <v>1076</v>
      </c>
      <c r="DV28" t="s">
        <v>1001</v>
      </c>
      <c r="DW28">
        <v>0.71</v>
      </c>
      <c r="DX28">
        <v>0</v>
      </c>
      <c r="DY28">
        <v>2</v>
      </c>
      <c r="DZ28">
        <v>5</v>
      </c>
      <c r="EA28">
        <v>0</v>
      </c>
      <c r="EB28">
        <v>7.71</v>
      </c>
      <c r="EC28" t="s">
        <v>369</v>
      </c>
      <c r="ED28" t="s">
        <v>413</v>
      </c>
      <c r="EE28">
        <v>7.39</v>
      </c>
      <c r="EF28" t="s">
        <v>559</v>
      </c>
      <c r="EG28">
        <v>1.47</v>
      </c>
      <c r="EH28">
        <v>1.89</v>
      </c>
      <c r="EI28">
        <v>0.77800000000000002</v>
      </c>
      <c r="EJ28" t="s">
        <v>370</v>
      </c>
      <c r="EK28">
        <v>1.4</v>
      </c>
      <c r="EL28" t="s">
        <v>472</v>
      </c>
      <c r="EM28" t="s">
        <v>1077</v>
      </c>
      <c r="EN28">
        <v>1.8</v>
      </c>
      <c r="EO28" t="s">
        <v>827</v>
      </c>
      <c r="EP28">
        <v>0</v>
      </c>
      <c r="EQ28">
        <v>2</v>
      </c>
      <c r="ER28">
        <v>57.9</v>
      </c>
      <c r="ES28" t="s">
        <v>374</v>
      </c>
      <c r="ET28">
        <v>0</v>
      </c>
      <c r="EU28">
        <v>1.63</v>
      </c>
      <c r="EV28">
        <v>1.17</v>
      </c>
      <c r="EW28">
        <v>0.7</v>
      </c>
      <c r="EX28">
        <v>2.33</v>
      </c>
      <c r="EY28">
        <v>1.17</v>
      </c>
      <c r="EZ28">
        <v>0.93</v>
      </c>
      <c r="FA28">
        <v>2.8</v>
      </c>
      <c r="FB28">
        <v>4.9000000000000004</v>
      </c>
      <c r="FC28">
        <v>2.33</v>
      </c>
      <c r="FD28" t="s">
        <v>375</v>
      </c>
      <c r="FE28">
        <v>156</v>
      </c>
      <c r="FF28" t="s">
        <v>1078</v>
      </c>
      <c r="FG28" t="s">
        <v>1079</v>
      </c>
      <c r="FH28" t="s">
        <v>1080</v>
      </c>
      <c r="FI28" t="s">
        <v>1081</v>
      </c>
      <c r="FJ28" t="s">
        <v>1082</v>
      </c>
      <c r="FK28" t="s">
        <v>1083</v>
      </c>
      <c r="FL28" t="s">
        <v>1084</v>
      </c>
      <c r="FM28">
        <v>0</v>
      </c>
      <c r="FN28">
        <v>0.51639999999999997</v>
      </c>
      <c r="FO28">
        <v>0.77500000000000002</v>
      </c>
      <c r="FP28">
        <v>0.625</v>
      </c>
      <c r="FQ28">
        <v>0.375</v>
      </c>
      <c r="FR28">
        <v>0</v>
      </c>
      <c r="FS28">
        <v>0</v>
      </c>
      <c r="FT28">
        <v>0</v>
      </c>
      <c r="FU28">
        <v>1.3100000000000001E-2</v>
      </c>
      <c r="FV28">
        <v>0.155</v>
      </c>
      <c r="FW28">
        <v>0</v>
      </c>
      <c r="FX28">
        <v>3.1199999999999999E-2</v>
      </c>
      <c r="FY28">
        <v>0.26040000000000002</v>
      </c>
      <c r="FZ28">
        <v>0</v>
      </c>
      <c r="GA28">
        <v>80</v>
      </c>
      <c r="GB28">
        <v>1</v>
      </c>
      <c r="GC28">
        <v>1</v>
      </c>
      <c r="GD28">
        <v>48</v>
      </c>
      <c r="GE28">
        <v>2</v>
      </c>
      <c r="GF28">
        <v>21</v>
      </c>
      <c r="GG28">
        <v>1</v>
      </c>
      <c r="GH28">
        <v>0</v>
      </c>
      <c r="GI28">
        <v>0</v>
      </c>
      <c r="GJ28">
        <v>0</v>
      </c>
      <c r="GK28">
        <v>0</v>
      </c>
      <c r="GL28">
        <v>0</v>
      </c>
      <c r="GM28">
        <v>0</v>
      </c>
      <c r="GN28">
        <v>0</v>
      </c>
      <c r="GO28">
        <v>0</v>
      </c>
      <c r="GP28">
        <v>0</v>
      </c>
      <c r="GQ28">
        <v>0</v>
      </c>
      <c r="GR28">
        <v>0</v>
      </c>
      <c r="GS28">
        <v>9.3700000000000006E-2</v>
      </c>
      <c r="GT28">
        <v>0</v>
      </c>
      <c r="GU28">
        <v>0</v>
      </c>
      <c r="GV28">
        <v>0</v>
      </c>
      <c r="GW28">
        <v>0</v>
      </c>
      <c r="GX28">
        <v>0</v>
      </c>
      <c r="GY28">
        <v>0</v>
      </c>
      <c r="GZ28">
        <v>0</v>
      </c>
      <c r="HA28">
        <v>0</v>
      </c>
      <c r="HB28">
        <v>0</v>
      </c>
      <c r="HC28" t="s">
        <v>383</v>
      </c>
      <c r="HD28">
        <v>0</v>
      </c>
      <c r="HE28">
        <v>0</v>
      </c>
      <c r="HF28">
        <v>0</v>
      </c>
      <c r="HG28">
        <v>0</v>
      </c>
      <c r="HH28">
        <v>0</v>
      </c>
      <c r="HI28" t="s">
        <v>383</v>
      </c>
      <c r="HJ28">
        <v>0</v>
      </c>
      <c r="HK28">
        <v>0</v>
      </c>
      <c r="HL28">
        <v>0</v>
      </c>
      <c r="HM28">
        <v>0</v>
      </c>
      <c r="HN28">
        <v>0</v>
      </c>
      <c r="HO28" t="s">
        <v>383</v>
      </c>
      <c r="HP28">
        <v>0</v>
      </c>
      <c r="HQ28">
        <v>0</v>
      </c>
      <c r="HR28">
        <v>0</v>
      </c>
      <c r="HS28">
        <v>0</v>
      </c>
      <c r="HT28">
        <v>0</v>
      </c>
      <c r="HU28" t="s">
        <v>383</v>
      </c>
      <c r="HV28">
        <v>0</v>
      </c>
      <c r="HW28">
        <v>0</v>
      </c>
      <c r="HX28">
        <v>0</v>
      </c>
      <c r="HY28">
        <v>0</v>
      </c>
      <c r="HZ28">
        <v>0</v>
      </c>
      <c r="IA28" t="s">
        <v>384</v>
      </c>
      <c r="IB28">
        <v>0</v>
      </c>
      <c r="IC28">
        <v>0</v>
      </c>
      <c r="ID28">
        <v>0</v>
      </c>
      <c r="IE28">
        <v>0</v>
      </c>
      <c r="IF28">
        <v>0</v>
      </c>
      <c r="IG28" t="s">
        <v>384</v>
      </c>
      <c r="IH28">
        <v>0</v>
      </c>
      <c r="II28">
        <v>0</v>
      </c>
      <c r="IJ28">
        <v>0</v>
      </c>
      <c r="IK28">
        <v>0</v>
      </c>
      <c r="IL28">
        <v>0</v>
      </c>
      <c r="IM28" t="s">
        <v>384</v>
      </c>
      <c r="IN28">
        <v>0</v>
      </c>
      <c r="IO28">
        <v>0</v>
      </c>
      <c r="IP28">
        <v>0</v>
      </c>
      <c r="IQ28">
        <v>0</v>
      </c>
      <c r="IR28">
        <v>0</v>
      </c>
      <c r="IS28" t="s">
        <v>384</v>
      </c>
      <c r="IT28">
        <v>0</v>
      </c>
      <c r="IU28">
        <v>0</v>
      </c>
      <c r="IV28">
        <v>0</v>
      </c>
      <c r="IW28">
        <v>0</v>
      </c>
      <c r="IX28">
        <v>0</v>
      </c>
      <c r="IY28">
        <v>0</v>
      </c>
      <c r="IZ28">
        <v>0</v>
      </c>
      <c r="JA28">
        <v>0</v>
      </c>
      <c r="JD28" t="s">
        <v>483</v>
      </c>
      <c r="JE28" t="s">
        <v>484</v>
      </c>
      <c r="JF28" t="s">
        <v>1085</v>
      </c>
      <c r="JG28" t="s">
        <v>1086</v>
      </c>
      <c r="JH28" t="s">
        <v>1087</v>
      </c>
      <c r="JI28" t="s">
        <v>1088</v>
      </c>
      <c r="JJ28">
        <v>0.45</v>
      </c>
      <c r="JK28">
        <v>0</v>
      </c>
      <c r="JL28" t="s">
        <v>391</v>
      </c>
      <c r="JM28">
        <v>0</v>
      </c>
      <c r="JN28">
        <v>0</v>
      </c>
      <c r="JO28">
        <v>0</v>
      </c>
      <c r="JP28">
        <v>0</v>
      </c>
      <c r="JQ28">
        <v>0</v>
      </c>
      <c r="JR28">
        <v>0</v>
      </c>
      <c r="JS28">
        <v>0</v>
      </c>
      <c r="JT28">
        <v>0</v>
      </c>
      <c r="JU28">
        <v>0</v>
      </c>
      <c r="JV28">
        <v>0</v>
      </c>
      <c r="JX28" t="s">
        <v>392</v>
      </c>
      <c r="JY28">
        <v>0</v>
      </c>
      <c r="JZ28">
        <v>0</v>
      </c>
      <c r="KA28">
        <v>1</v>
      </c>
      <c r="KB28">
        <v>0</v>
      </c>
      <c r="KC28">
        <v>0</v>
      </c>
      <c r="KD28">
        <v>1</v>
      </c>
      <c r="KE28">
        <v>0</v>
      </c>
      <c r="KF28">
        <v>0</v>
      </c>
      <c r="KG28">
        <v>1</v>
      </c>
      <c r="KH28">
        <v>0</v>
      </c>
      <c r="KI28">
        <v>0</v>
      </c>
      <c r="KJ28">
        <v>1</v>
      </c>
      <c r="KK28">
        <v>0</v>
      </c>
      <c r="KL28">
        <v>0</v>
      </c>
      <c r="KM28">
        <v>1</v>
      </c>
      <c r="KN28">
        <v>0</v>
      </c>
      <c r="KO28">
        <v>0</v>
      </c>
      <c r="KP28">
        <v>1</v>
      </c>
      <c r="KQ28">
        <v>0</v>
      </c>
      <c r="KR28">
        <v>0</v>
      </c>
      <c r="KS28">
        <v>1</v>
      </c>
      <c r="KT28">
        <v>0</v>
      </c>
      <c r="KU28">
        <v>0</v>
      </c>
      <c r="KV28">
        <v>1</v>
      </c>
      <c r="KW28">
        <v>0</v>
      </c>
      <c r="KX28">
        <v>0</v>
      </c>
      <c r="KY28">
        <v>1</v>
      </c>
      <c r="KZ28">
        <v>0</v>
      </c>
      <c r="LA28">
        <v>0</v>
      </c>
      <c r="LB28">
        <v>0</v>
      </c>
      <c r="LC28">
        <v>0</v>
      </c>
      <c r="LD28">
        <v>0</v>
      </c>
      <c r="LE28">
        <v>0</v>
      </c>
      <c r="LF28">
        <v>0</v>
      </c>
      <c r="LG28">
        <v>0</v>
      </c>
      <c r="LH28">
        <v>0</v>
      </c>
      <c r="LI28">
        <v>0</v>
      </c>
      <c r="LJ28">
        <v>0</v>
      </c>
      <c r="LK28">
        <v>0</v>
      </c>
      <c r="LN28" t="s">
        <v>393</v>
      </c>
      <c r="LO28" t="s">
        <v>394</v>
      </c>
      <c r="LP28" t="s">
        <v>395</v>
      </c>
      <c r="LQ28">
        <v>0.44109999999999999</v>
      </c>
      <c r="LR28">
        <v>15.9541</v>
      </c>
      <c r="LS28">
        <v>11.2812</v>
      </c>
      <c r="LT28">
        <v>1308</v>
      </c>
      <c r="LU28">
        <v>577</v>
      </c>
      <c r="LV28">
        <v>118.9091</v>
      </c>
      <c r="LW28">
        <v>0.89300000000000002</v>
      </c>
      <c r="LX28">
        <v>0.61650000000000005</v>
      </c>
      <c r="LY28">
        <v>0.61650000000000005</v>
      </c>
      <c r="LZ28">
        <v>0.61650000000000005</v>
      </c>
      <c r="MA28">
        <v>0</v>
      </c>
      <c r="MB28">
        <v>794</v>
      </c>
      <c r="MC28">
        <v>1</v>
      </c>
      <c r="MD28" t="s">
        <v>396</v>
      </c>
      <c r="ME28" t="s">
        <v>517</v>
      </c>
    </row>
    <row r="29" spans="1:343" ht="16.95" customHeight="1" x14ac:dyDescent="0.3">
      <c r="A29" t="s">
        <v>1089</v>
      </c>
      <c r="B29" t="s">
        <v>1090</v>
      </c>
      <c r="C29" t="s">
        <v>345</v>
      </c>
      <c r="D29" t="s">
        <v>346</v>
      </c>
      <c r="E29" t="s">
        <v>347</v>
      </c>
      <c r="F29" t="s">
        <v>1091</v>
      </c>
      <c r="G29" t="s">
        <v>1092</v>
      </c>
      <c r="H29" t="s">
        <v>1093</v>
      </c>
      <c r="I29" t="s">
        <v>351</v>
      </c>
      <c r="J29">
        <v>1450</v>
      </c>
      <c r="K29">
        <v>629</v>
      </c>
      <c r="L29">
        <v>0.43380000000000002</v>
      </c>
      <c r="M29">
        <v>67</v>
      </c>
      <c r="N29">
        <v>3</v>
      </c>
      <c r="O29">
        <v>1</v>
      </c>
      <c r="P29">
        <v>21.6</v>
      </c>
      <c r="Q29">
        <v>22.3</v>
      </c>
      <c r="R29">
        <v>20.8</v>
      </c>
      <c r="S29">
        <v>8.3000000000000007</v>
      </c>
      <c r="T29">
        <v>7.8</v>
      </c>
      <c r="U29">
        <v>2.5</v>
      </c>
      <c r="V29">
        <v>5.9</v>
      </c>
      <c r="W29">
        <v>11</v>
      </c>
      <c r="X29">
        <v>7.1</v>
      </c>
      <c r="Y29">
        <v>11</v>
      </c>
      <c r="Z29">
        <v>5</v>
      </c>
      <c r="AA29">
        <v>2.2000000000000002</v>
      </c>
      <c r="AB29" t="s">
        <v>493</v>
      </c>
      <c r="AC29" t="b">
        <v>0</v>
      </c>
      <c r="AD29" t="s">
        <v>353</v>
      </c>
      <c r="AE29">
        <v>0.43959999999999999</v>
      </c>
      <c r="AF29" t="s">
        <v>354</v>
      </c>
      <c r="AG29">
        <v>0.19789999999999999</v>
      </c>
      <c r="AH29">
        <v>4.0099999999999997E-2</v>
      </c>
      <c r="AI29">
        <v>0.76990000000000003</v>
      </c>
      <c r="AJ29" t="s">
        <v>355</v>
      </c>
      <c r="AK29">
        <v>5.23</v>
      </c>
      <c r="AL29">
        <v>13</v>
      </c>
      <c r="AM29" t="s">
        <v>356</v>
      </c>
      <c r="AN29">
        <v>1</v>
      </c>
      <c r="AO29">
        <v>0.69</v>
      </c>
      <c r="AP29">
        <v>6</v>
      </c>
      <c r="AQ29">
        <v>4.1399999999999997</v>
      </c>
      <c r="AR29">
        <v>6</v>
      </c>
      <c r="AS29">
        <v>0</v>
      </c>
      <c r="AT29" t="s">
        <v>357</v>
      </c>
      <c r="AU29">
        <v>11.9</v>
      </c>
      <c r="AV29">
        <v>8</v>
      </c>
      <c r="AW29" t="s">
        <v>1094</v>
      </c>
      <c r="AX29">
        <v>13</v>
      </c>
      <c r="AY29">
        <v>8.9700000000000006</v>
      </c>
      <c r="AZ29">
        <v>0</v>
      </c>
      <c r="BA29">
        <v>7</v>
      </c>
      <c r="BB29">
        <v>6</v>
      </c>
      <c r="BC29">
        <v>0</v>
      </c>
      <c r="BD29">
        <v>0</v>
      </c>
      <c r="BE29">
        <v>13</v>
      </c>
      <c r="BF29">
        <v>0</v>
      </c>
      <c r="BG29">
        <v>13</v>
      </c>
      <c r="BH29">
        <v>1</v>
      </c>
      <c r="BI29">
        <v>0</v>
      </c>
      <c r="BJ29" t="b">
        <v>0</v>
      </c>
      <c r="BK29" t="b">
        <v>0</v>
      </c>
      <c r="BL29">
        <v>3</v>
      </c>
      <c r="BM29">
        <v>3</v>
      </c>
      <c r="BN29">
        <v>2</v>
      </c>
      <c r="BO29">
        <v>1</v>
      </c>
      <c r="BP29">
        <v>0</v>
      </c>
      <c r="BQ29">
        <v>1</v>
      </c>
      <c r="BR29">
        <v>0</v>
      </c>
      <c r="BS29">
        <v>1450</v>
      </c>
      <c r="BT29">
        <v>629</v>
      </c>
      <c r="BU29">
        <v>0.43380000000000002</v>
      </c>
      <c r="BV29">
        <v>3</v>
      </c>
      <c r="BW29">
        <v>1</v>
      </c>
      <c r="BX29">
        <v>483.3</v>
      </c>
      <c r="BZ29" t="s">
        <v>1095</v>
      </c>
      <c r="CA29" t="s">
        <v>1096</v>
      </c>
      <c r="CB29" t="s">
        <v>1097</v>
      </c>
      <c r="CC29" t="s">
        <v>1098</v>
      </c>
      <c r="CD29">
        <v>0</v>
      </c>
      <c r="CE29">
        <v>0</v>
      </c>
      <c r="CF29">
        <v>0</v>
      </c>
      <c r="CG29">
        <v>0</v>
      </c>
      <c r="CH29">
        <v>0</v>
      </c>
      <c r="CJ29">
        <v>4</v>
      </c>
      <c r="CK29">
        <v>2.76</v>
      </c>
      <c r="CL29" t="s">
        <v>407</v>
      </c>
      <c r="CM29">
        <v>1</v>
      </c>
      <c r="CN29">
        <v>0</v>
      </c>
      <c r="CO29" t="b">
        <v>0</v>
      </c>
      <c r="CP29" t="b">
        <v>0</v>
      </c>
      <c r="CQ29" t="b">
        <v>1</v>
      </c>
      <c r="CR29" t="b">
        <v>1</v>
      </c>
      <c r="CS29" t="b">
        <v>0</v>
      </c>
      <c r="CT29" t="b">
        <v>0</v>
      </c>
      <c r="CU29" t="b">
        <v>0</v>
      </c>
      <c r="CV29">
        <v>0</v>
      </c>
      <c r="CW29">
        <v>0</v>
      </c>
      <c r="CX29">
        <v>0</v>
      </c>
      <c r="CY29">
        <v>1</v>
      </c>
      <c r="CZ29">
        <v>0.69</v>
      </c>
      <c r="DA29">
        <v>6</v>
      </c>
      <c r="DB29">
        <v>4.1399999999999997</v>
      </c>
      <c r="DC29">
        <v>6</v>
      </c>
      <c r="DD29">
        <v>0</v>
      </c>
      <c r="DE29">
        <v>0</v>
      </c>
      <c r="DF29">
        <v>2</v>
      </c>
      <c r="DG29">
        <v>1.38</v>
      </c>
      <c r="DH29">
        <v>14</v>
      </c>
      <c r="DI29">
        <v>9.65</v>
      </c>
      <c r="DJ29">
        <v>0.14000000000000001</v>
      </c>
      <c r="DK29">
        <v>0</v>
      </c>
      <c r="DL29">
        <v>2</v>
      </c>
      <c r="DM29">
        <v>5</v>
      </c>
      <c r="DN29">
        <v>0</v>
      </c>
      <c r="DO29">
        <v>154</v>
      </c>
      <c r="DP29">
        <v>18</v>
      </c>
      <c r="DQ29">
        <v>12.41</v>
      </c>
      <c r="DR29" t="s">
        <v>1099</v>
      </c>
      <c r="DS29" t="s">
        <v>1100</v>
      </c>
      <c r="DT29" t="s">
        <v>1101</v>
      </c>
      <c r="DU29" t="s">
        <v>1001</v>
      </c>
      <c r="DV29" t="s">
        <v>1102</v>
      </c>
      <c r="DW29">
        <v>1.43</v>
      </c>
      <c r="DX29">
        <v>0</v>
      </c>
      <c r="DY29">
        <v>2.17</v>
      </c>
      <c r="DZ29">
        <v>5</v>
      </c>
      <c r="EA29">
        <v>1</v>
      </c>
      <c r="EB29">
        <v>9.6</v>
      </c>
      <c r="EC29" t="s">
        <v>369</v>
      </c>
      <c r="ED29" t="s">
        <v>413</v>
      </c>
      <c r="EE29">
        <v>6.37</v>
      </c>
      <c r="EF29" t="s">
        <v>559</v>
      </c>
      <c r="EG29">
        <v>0.76</v>
      </c>
      <c r="EH29">
        <v>1.1000000000000001</v>
      </c>
      <c r="EI29">
        <v>0.68799999999999994</v>
      </c>
      <c r="EJ29" t="s">
        <v>370</v>
      </c>
      <c r="EK29">
        <v>2.0699999999999998</v>
      </c>
      <c r="EL29" t="s">
        <v>472</v>
      </c>
      <c r="EM29" t="s">
        <v>1103</v>
      </c>
      <c r="EN29">
        <v>1.43</v>
      </c>
      <c r="EO29" t="s">
        <v>373</v>
      </c>
      <c r="EP29">
        <v>0</v>
      </c>
      <c r="EQ29">
        <v>2</v>
      </c>
      <c r="ER29">
        <v>44.9</v>
      </c>
      <c r="ES29" t="s">
        <v>374</v>
      </c>
      <c r="ET29">
        <v>0</v>
      </c>
      <c r="EU29">
        <v>0.92</v>
      </c>
      <c r="EV29">
        <v>3.22</v>
      </c>
      <c r="EW29">
        <v>1.84</v>
      </c>
      <c r="EX29">
        <v>1.38</v>
      </c>
      <c r="EY29">
        <v>0.69</v>
      </c>
      <c r="EZ29">
        <v>1.38</v>
      </c>
      <c r="FA29">
        <v>2.2999999999999998</v>
      </c>
      <c r="FB29">
        <v>0.46</v>
      </c>
      <c r="FC29">
        <v>2.0699999999999998</v>
      </c>
      <c r="FD29" t="s">
        <v>375</v>
      </c>
      <c r="FE29">
        <v>158</v>
      </c>
      <c r="FF29" t="s">
        <v>1104</v>
      </c>
      <c r="FG29" t="s">
        <v>1105</v>
      </c>
      <c r="FH29" t="s">
        <v>1106</v>
      </c>
      <c r="FI29" t="s">
        <v>1107</v>
      </c>
      <c r="FJ29" t="s">
        <v>1108</v>
      </c>
      <c r="FK29" t="s">
        <v>1109</v>
      </c>
      <c r="FL29" t="s">
        <v>1110</v>
      </c>
      <c r="FM29">
        <v>0</v>
      </c>
      <c r="FN29">
        <v>0.54910000000000003</v>
      </c>
      <c r="FO29">
        <v>0.77500000000000002</v>
      </c>
      <c r="FP29">
        <v>0.64400000000000002</v>
      </c>
      <c r="FQ29">
        <v>0.44119999999999998</v>
      </c>
      <c r="FR29">
        <v>0</v>
      </c>
      <c r="FS29">
        <v>1.47E-2</v>
      </c>
      <c r="FT29">
        <v>1</v>
      </c>
      <c r="FU29">
        <v>9.9000000000000008E-3</v>
      </c>
      <c r="FV29">
        <v>0.17349999999999999</v>
      </c>
      <c r="FW29">
        <v>2.3300000000000001E-2</v>
      </c>
      <c r="FX29">
        <v>0</v>
      </c>
      <c r="FY29">
        <v>0.28470000000000001</v>
      </c>
      <c r="FZ29">
        <v>1.04E-2</v>
      </c>
      <c r="GA29">
        <v>68</v>
      </c>
      <c r="GB29">
        <v>1</v>
      </c>
      <c r="GC29">
        <v>1</v>
      </c>
      <c r="GD29">
        <v>43</v>
      </c>
      <c r="GE29">
        <v>0</v>
      </c>
      <c r="GF29">
        <v>16</v>
      </c>
      <c r="GG29">
        <v>0</v>
      </c>
      <c r="GH29">
        <v>0</v>
      </c>
      <c r="GI29">
        <v>1</v>
      </c>
      <c r="GJ29">
        <v>0</v>
      </c>
      <c r="GK29">
        <v>0</v>
      </c>
      <c r="GL29">
        <v>0</v>
      </c>
      <c r="GM29">
        <v>9.3299999999999994E-2</v>
      </c>
      <c r="GN29">
        <v>0</v>
      </c>
      <c r="GO29">
        <v>0</v>
      </c>
      <c r="GP29">
        <v>0.27989999999999998</v>
      </c>
      <c r="GQ29">
        <v>0</v>
      </c>
      <c r="GR29">
        <v>0</v>
      </c>
      <c r="GS29">
        <v>0</v>
      </c>
      <c r="GT29">
        <v>0</v>
      </c>
      <c r="GU29">
        <v>0</v>
      </c>
      <c r="GV29">
        <v>0</v>
      </c>
      <c r="GW29">
        <v>0</v>
      </c>
      <c r="GX29">
        <v>0</v>
      </c>
      <c r="GY29">
        <v>9.3299999999999994E-2</v>
      </c>
      <c r="GZ29">
        <v>0</v>
      </c>
      <c r="HA29">
        <v>0</v>
      </c>
      <c r="HB29">
        <v>0</v>
      </c>
      <c r="HC29" t="s">
        <v>383</v>
      </c>
      <c r="HD29">
        <v>0</v>
      </c>
      <c r="HE29">
        <v>0</v>
      </c>
      <c r="HF29">
        <v>0</v>
      </c>
      <c r="HG29">
        <v>0</v>
      </c>
      <c r="HH29">
        <v>0</v>
      </c>
      <c r="HI29" t="s">
        <v>383</v>
      </c>
      <c r="HJ29">
        <v>0</v>
      </c>
      <c r="HK29">
        <v>0</v>
      </c>
      <c r="HL29">
        <v>0</v>
      </c>
      <c r="HM29">
        <v>0</v>
      </c>
      <c r="HN29">
        <v>0</v>
      </c>
      <c r="HO29" t="s">
        <v>383</v>
      </c>
      <c r="HP29">
        <v>0</v>
      </c>
      <c r="HQ29">
        <v>0</v>
      </c>
      <c r="HR29">
        <v>0</v>
      </c>
      <c r="HS29">
        <v>0</v>
      </c>
      <c r="HT29">
        <v>0</v>
      </c>
      <c r="HU29" t="s">
        <v>383</v>
      </c>
      <c r="HV29">
        <v>0</v>
      </c>
      <c r="HW29">
        <v>0</v>
      </c>
      <c r="HX29">
        <v>0</v>
      </c>
      <c r="HY29">
        <v>0</v>
      </c>
      <c r="HZ29">
        <v>0</v>
      </c>
      <c r="IA29" t="s">
        <v>384</v>
      </c>
      <c r="IB29">
        <v>0</v>
      </c>
      <c r="IC29">
        <v>0</v>
      </c>
      <c r="ID29">
        <v>0</v>
      </c>
      <c r="IE29">
        <v>0</v>
      </c>
      <c r="IF29">
        <v>0</v>
      </c>
      <c r="IG29" t="s">
        <v>384</v>
      </c>
      <c r="IH29">
        <v>0</v>
      </c>
      <c r="II29">
        <v>0</v>
      </c>
      <c r="IJ29">
        <v>0</v>
      </c>
      <c r="IK29">
        <v>0</v>
      </c>
      <c r="IL29">
        <v>0</v>
      </c>
      <c r="IM29" t="s">
        <v>384</v>
      </c>
      <c r="IN29">
        <v>0</v>
      </c>
      <c r="IO29">
        <v>0</v>
      </c>
      <c r="IP29">
        <v>0</v>
      </c>
      <c r="IQ29">
        <v>0</v>
      </c>
      <c r="IR29">
        <v>0</v>
      </c>
      <c r="IS29" t="s">
        <v>384</v>
      </c>
      <c r="IT29">
        <v>0</v>
      </c>
      <c r="IU29">
        <v>0</v>
      </c>
      <c r="IV29">
        <v>0</v>
      </c>
      <c r="IW29">
        <v>0</v>
      </c>
      <c r="IX29">
        <v>0</v>
      </c>
      <c r="IY29">
        <v>0</v>
      </c>
      <c r="IZ29">
        <v>0</v>
      </c>
      <c r="JA29">
        <v>0</v>
      </c>
      <c r="JD29" t="s">
        <v>483</v>
      </c>
      <c r="JE29" t="s">
        <v>386</v>
      </c>
      <c r="JF29" t="s">
        <v>1111</v>
      </c>
      <c r="JG29" t="s">
        <v>1112</v>
      </c>
      <c r="JH29" t="s">
        <v>1113</v>
      </c>
      <c r="JI29" t="s">
        <v>1114</v>
      </c>
      <c r="JJ29">
        <v>0.48330000000000001</v>
      </c>
      <c r="JK29">
        <v>0</v>
      </c>
      <c r="JL29" t="s">
        <v>391</v>
      </c>
      <c r="JM29">
        <v>0</v>
      </c>
      <c r="JN29">
        <v>0</v>
      </c>
      <c r="JO29">
        <v>0</v>
      </c>
      <c r="JP29">
        <v>0</v>
      </c>
      <c r="JQ29">
        <v>0</v>
      </c>
      <c r="JR29">
        <v>0</v>
      </c>
      <c r="JS29">
        <v>0</v>
      </c>
      <c r="JT29">
        <v>0</v>
      </c>
      <c r="JU29">
        <v>0</v>
      </c>
      <c r="JV29">
        <v>0</v>
      </c>
      <c r="JX29" t="s">
        <v>392</v>
      </c>
      <c r="JY29">
        <v>0</v>
      </c>
      <c r="JZ29">
        <v>0</v>
      </c>
      <c r="KA29">
        <v>1</v>
      </c>
      <c r="KB29">
        <v>0</v>
      </c>
      <c r="KC29">
        <v>0</v>
      </c>
      <c r="KD29">
        <v>1</v>
      </c>
      <c r="KE29">
        <v>0</v>
      </c>
      <c r="KF29">
        <v>0</v>
      </c>
      <c r="KG29">
        <v>1</v>
      </c>
      <c r="KH29">
        <v>0</v>
      </c>
      <c r="KI29">
        <v>0</v>
      </c>
      <c r="KJ29">
        <v>1</v>
      </c>
      <c r="KK29">
        <v>0</v>
      </c>
      <c r="KL29">
        <v>0</v>
      </c>
      <c r="KM29">
        <v>1</v>
      </c>
      <c r="KN29">
        <v>0</v>
      </c>
      <c r="KO29">
        <v>0</v>
      </c>
      <c r="KP29">
        <v>1</v>
      </c>
      <c r="KQ29">
        <v>0</v>
      </c>
      <c r="KR29">
        <v>0</v>
      </c>
      <c r="KS29">
        <v>1</v>
      </c>
      <c r="KT29">
        <v>0</v>
      </c>
      <c r="KU29">
        <v>0</v>
      </c>
      <c r="KV29">
        <v>1</v>
      </c>
      <c r="KW29">
        <v>0</v>
      </c>
      <c r="KX29">
        <v>0</v>
      </c>
      <c r="KY29">
        <v>1</v>
      </c>
      <c r="KZ29">
        <v>0</v>
      </c>
      <c r="LA29">
        <v>0</v>
      </c>
      <c r="LB29">
        <v>0</v>
      </c>
      <c r="LC29">
        <v>0</v>
      </c>
      <c r="LD29">
        <v>0</v>
      </c>
      <c r="LE29">
        <v>0</v>
      </c>
      <c r="LF29">
        <v>0</v>
      </c>
      <c r="LG29">
        <v>0</v>
      </c>
      <c r="LH29">
        <v>0</v>
      </c>
      <c r="LI29">
        <v>0</v>
      </c>
      <c r="LJ29">
        <v>0</v>
      </c>
      <c r="LK29">
        <v>0</v>
      </c>
      <c r="LN29" t="s">
        <v>393</v>
      </c>
      <c r="LO29" t="s">
        <v>394</v>
      </c>
      <c r="LP29" t="s">
        <v>395</v>
      </c>
      <c r="LQ29">
        <v>0.4037</v>
      </c>
      <c r="LR29">
        <v>14.833</v>
      </c>
      <c r="LS29">
        <v>10.4885</v>
      </c>
      <c r="LT29">
        <v>1350</v>
      </c>
      <c r="LU29">
        <v>545</v>
      </c>
      <c r="LV29">
        <v>90.323700000000002</v>
      </c>
      <c r="LW29">
        <v>0.87609999999999999</v>
      </c>
      <c r="LX29">
        <v>0.52180000000000004</v>
      </c>
      <c r="LY29">
        <v>0.52180000000000004</v>
      </c>
      <c r="LZ29">
        <v>0.52180000000000004</v>
      </c>
      <c r="MA29">
        <v>0</v>
      </c>
      <c r="MB29">
        <v>693</v>
      </c>
      <c r="MC29">
        <v>1</v>
      </c>
      <c r="MD29" t="s">
        <v>396</v>
      </c>
      <c r="ME29" t="s">
        <v>397</v>
      </c>
    </row>
    <row r="30" spans="1:343" ht="16.95" customHeight="1" x14ac:dyDescent="0.3">
      <c r="A30" t="s">
        <v>1115</v>
      </c>
      <c r="B30" t="s">
        <v>1116</v>
      </c>
      <c r="C30" t="s">
        <v>345</v>
      </c>
      <c r="D30" t="s">
        <v>346</v>
      </c>
      <c r="E30" t="s">
        <v>347</v>
      </c>
      <c r="F30" t="s">
        <v>1117</v>
      </c>
      <c r="G30" t="s">
        <v>1118</v>
      </c>
      <c r="H30" t="s">
        <v>1119</v>
      </c>
      <c r="I30" t="s">
        <v>351</v>
      </c>
      <c r="J30">
        <v>1479</v>
      </c>
      <c r="K30">
        <v>645</v>
      </c>
      <c r="L30">
        <v>0.43609999999999999</v>
      </c>
      <c r="M30">
        <v>74</v>
      </c>
      <c r="N30">
        <v>3</v>
      </c>
      <c r="O30">
        <v>1</v>
      </c>
      <c r="P30">
        <v>20</v>
      </c>
      <c r="Q30">
        <v>24.7</v>
      </c>
      <c r="R30">
        <v>18.100000000000001</v>
      </c>
      <c r="S30">
        <v>10.1</v>
      </c>
      <c r="T30">
        <v>7.8</v>
      </c>
      <c r="U30">
        <v>2.6</v>
      </c>
      <c r="V30">
        <v>4.5999999999999996</v>
      </c>
      <c r="W30">
        <v>8</v>
      </c>
      <c r="X30">
        <v>4.3</v>
      </c>
      <c r="Y30">
        <v>6</v>
      </c>
      <c r="Z30">
        <v>1</v>
      </c>
      <c r="AA30">
        <v>6</v>
      </c>
      <c r="AB30" t="s">
        <v>352</v>
      </c>
      <c r="AC30" t="b">
        <v>0</v>
      </c>
      <c r="AD30" t="s">
        <v>353</v>
      </c>
      <c r="AE30">
        <v>0.44290000000000002</v>
      </c>
      <c r="AF30" t="s">
        <v>354</v>
      </c>
      <c r="AG30">
        <v>0.2177</v>
      </c>
      <c r="AH30">
        <v>1.9599999999999999E-2</v>
      </c>
      <c r="AI30">
        <v>0.76700000000000002</v>
      </c>
      <c r="AJ30" t="s">
        <v>355</v>
      </c>
      <c r="AK30">
        <v>4.97</v>
      </c>
      <c r="AL30">
        <v>12</v>
      </c>
      <c r="AM30" t="s">
        <v>356</v>
      </c>
      <c r="AN30">
        <v>0</v>
      </c>
      <c r="AO30">
        <v>0</v>
      </c>
      <c r="AP30">
        <v>7</v>
      </c>
      <c r="AQ30">
        <v>4.7300000000000004</v>
      </c>
      <c r="AR30">
        <v>7</v>
      </c>
      <c r="AS30">
        <v>1</v>
      </c>
      <c r="AT30" t="s">
        <v>357</v>
      </c>
      <c r="AU30">
        <v>33.799999999999997</v>
      </c>
      <c r="AV30">
        <v>25</v>
      </c>
      <c r="AW30" t="s">
        <v>356</v>
      </c>
      <c r="AX30">
        <v>8</v>
      </c>
      <c r="AY30">
        <v>5.41</v>
      </c>
      <c r="AZ30">
        <v>0</v>
      </c>
      <c r="BA30">
        <v>7</v>
      </c>
      <c r="BB30">
        <v>1</v>
      </c>
      <c r="BC30">
        <v>0</v>
      </c>
      <c r="BD30">
        <v>0</v>
      </c>
      <c r="BE30">
        <v>8</v>
      </c>
      <c r="BF30">
        <v>0</v>
      </c>
      <c r="BG30">
        <v>8</v>
      </c>
      <c r="BH30">
        <v>1</v>
      </c>
      <c r="BI30">
        <v>0</v>
      </c>
      <c r="BJ30" t="b">
        <v>0</v>
      </c>
      <c r="BK30" t="b">
        <v>0</v>
      </c>
      <c r="BL30">
        <v>3</v>
      </c>
      <c r="BM30">
        <v>3</v>
      </c>
      <c r="BN30">
        <v>2</v>
      </c>
      <c r="BO30">
        <v>1</v>
      </c>
      <c r="BP30">
        <v>0</v>
      </c>
      <c r="BQ30">
        <v>1</v>
      </c>
      <c r="BR30">
        <v>0</v>
      </c>
      <c r="BS30">
        <v>1479</v>
      </c>
      <c r="BT30">
        <v>645</v>
      </c>
      <c r="BU30">
        <v>0.43609999999999999</v>
      </c>
      <c r="BV30">
        <v>3</v>
      </c>
      <c r="BW30">
        <v>1</v>
      </c>
      <c r="BX30">
        <v>493</v>
      </c>
      <c r="BZ30" t="s">
        <v>1120</v>
      </c>
      <c r="CA30" t="s">
        <v>1121</v>
      </c>
      <c r="CB30" t="s">
        <v>1122</v>
      </c>
      <c r="CC30" t="s">
        <v>1123</v>
      </c>
      <c r="CD30">
        <v>0</v>
      </c>
      <c r="CE30">
        <v>0</v>
      </c>
      <c r="CF30">
        <v>0</v>
      </c>
      <c r="CG30">
        <v>0</v>
      </c>
      <c r="CH30">
        <v>1</v>
      </c>
      <c r="CI30" t="s">
        <v>1124</v>
      </c>
      <c r="CJ30">
        <v>2</v>
      </c>
      <c r="CK30">
        <v>1.35</v>
      </c>
      <c r="CL30" t="s">
        <v>363</v>
      </c>
      <c r="CM30">
        <v>1</v>
      </c>
      <c r="CN30">
        <v>0</v>
      </c>
      <c r="CO30" t="b">
        <v>0</v>
      </c>
      <c r="CP30" t="b">
        <v>0</v>
      </c>
      <c r="CQ30" t="b">
        <v>1</v>
      </c>
      <c r="CR30" t="b">
        <v>1</v>
      </c>
      <c r="CS30" t="b">
        <v>0</v>
      </c>
      <c r="CT30" t="b">
        <v>0</v>
      </c>
      <c r="CU30" t="b">
        <v>1</v>
      </c>
      <c r="CV30">
        <v>0</v>
      </c>
      <c r="CW30">
        <v>0</v>
      </c>
      <c r="CX30">
        <v>0</v>
      </c>
      <c r="CY30">
        <v>2</v>
      </c>
      <c r="CZ30">
        <v>1.35</v>
      </c>
      <c r="DA30">
        <v>7</v>
      </c>
      <c r="DB30">
        <v>4.7300000000000004</v>
      </c>
      <c r="DC30">
        <v>3.5</v>
      </c>
      <c r="DD30">
        <v>1</v>
      </c>
      <c r="DE30">
        <v>0.68</v>
      </c>
      <c r="DF30">
        <v>3</v>
      </c>
      <c r="DG30">
        <v>2.0299999999999998</v>
      </c>
      <c r="DH30">
        <v>8</v>
      </c>
      <c r="DI30">
        <v>5.41</v>
      </c>
      <c r="DJ30">
        <v>0.38</v>
      </c>
      <c r="DK30">
        <v>0</v>
      </c>
      <c r="DL30">
        <v>0</v>
      </c>
      <c r="DM30">
        <v>0</v>
      </c>
      <c r="DN30">
        <v>0</v>
      </c>
      <c r="DO30">
        <v>133</v>
      </c>
      <c r="DP30">
        <v>2</v>
      </c>
      <c r="DQ30">
        <v>1.35</v>
      </c>
      <c r="DR30" t="s">
        <v>1125</v>
      </c>
      <c r="DS30" t="s">
        <v>1126</v>
      </c>
      <c r="DT30" t="s">
        <v>1127</v>
      </c>
      <c r="DU30" t="s">
        <v>1128</v>
      </c>
      <c r="DV30" t="s">
        <v>1001</v>
      </c>
      <c r="DW30">
        <v>2.14</v>
      </c>
      <c r="DX30">
        <v>0</v>
      </c>
      <c r="DY30">
        <v>2.33</v>
      </c>
      <c r="DZ30">
        <v>5</v>
      </c>
      <c r="EA30">
        <v>1</v>
      </c>
      <c r="EB30">
        <v>10.47</v>
      </c>
      <c r="EC30" t="s">
        <v>369</v>
      </c>
      <c r="ED30" t="s">
        <v>413</v>
      </c>
      <c r="EE30">
        <v>10</v>
      </c>
      <c r="EF30" t="s">
        <v>356</v>
      </c>
      <c r="EG30">
        <v>0.2</v>
      </c>
      <c r="EH30">
        <v>1.28</v>
      </c>
      <c r="EI30">
        <v>0.158</v>
      </c>
      <c r="EJ30" t="s">
        <v>370</v>
      </c>
      <c r="EK30">
        <v>2.7</v>
      </c>
      <c r="EL30" t="s">
        <v>472</v>
      </c>
      <c r="EM30" t="s">
        <v>1129</v>
      </c>
      <c r="EN30">
        <v>2.66</v>
      </c>
      <c r="EO30" t="s">
        <v>1004</v>
      </c>
      <c r="EP30">
        <v>0</v>
      </c>
      <c r="EQ30">
        <v>2</v>
      </c>
      <c r="ER30">
        <v>63</v>
      </c>
      <c r="ES30" t="s">
        <v>475</v>
      </c>
      <c r="ET30">
        <v>0.23</v>
      </c>
      <c r="EU30">
        <v>1.58</v>
      </c>
      <c r="EV30">
        <v>3.6</v>
      </c>
      <c r="EW30">
        <v>3.38</v>
      </c>
      <c r="EX30">
        <v>1.8</v>
      </c>
      <c r="EY30">
        <v>1.1299999999999999</v>
      </c>
      <c r="EZ30">
        <v>1.35</v>
      </c>
      <c r="FA30">
        <v>9.23</v>
      </c>
      <c r="FB30">
        <v>1.35</v>
      </c>
      <c r="FC30">
        <v>2.93</v>
      </c>
      <c r="FD30" t="s">
        <v>375</v>
      </c>
      <c r="FE30">
        <v>157</v>
      </c>
      <c r="FF30" t="s">
        <v>1130</v>
      </c>
      <c r="FG30" t="s">
        <v>1131</v>
      </c>
      <c r="FH30" t="s">
        <v>1132</v>
      </c>
      <c r="FI30" t="s">
        <v>1133</v>
      </c>
      <c r="FJ30" t="s">
        <v>1134</v>
      </c>
      <c r="FK30" t="s">
        <v>1135</v>
      </c>
      <c r="FL30" t="s">
        <v>1136</v>
      </c>
      <c r="FM30">
        <v>0</v>
      </c>
      <c r="FN30">
        <v>0.4914</v>
      </c>
      <c r="FO30">
        <v>0.77500000000000002</v>
      </c>
      <c r="FP30">
        <v>0.61050000000000004</v>
      </c>
      <c r="FQ30">
        <v>0.31080000000000002</v>
      </c>
      <c r="FR30">
        <v>0</v>
      </c>
      <c r="FS30">
        <v>1.35E-2</v>
      </c>
      <c r="FT30">
        <v>0</v>
      </c>
      <c r="FU30">
        <v>2.1299999999999999E-2</v>
      </c>
      <c r="FV30">
        <v>0.1459</v>
      </c>
      <c r="FW30">
        <v>4.4699999999999997E-2</v>
      </c>
      <c r="FX30">
        <v>0</v>
      </c>
      <c r="FY30">
        <v>0.27979999999999999</v>
      </c>
      <c r="FZ30">
        <v>0</v>
      </c>
      <c r="GA30">
        <v>74</v>
      </c>
      <c r="GB30">
        <v>1</v>
      </c>
      <c r="GC30">
        <v>1</v>
      </c>
      <c r="GD30">
        <v>39</v>
      </c>
      <c r="GE30">
        <v>1</v>
      </c>
      <c r="GF30">
        <v>19</v>
      </c>
      <c r="GG30">
        <v>2</v>
      </c>
      <c r="GH30">
        <v>0</v>
      </c>
      <c r="GI30">
        <v>0</v>
      </c>
      <c r="GJ30">
        <v>0</v>
      </c>
      <c r="GK30">
        <v>8.9499999999999996E-2</v>
      </c>
      <c r="GL30">
        <v>0</v>
      </c>
      <c r="GM30">
        <v>8.9499999999999996E-2</v>
      </c>
      <c r="GN30">
        <v>0</v>
      </c>
      <c r="GO30">
        <v>0</v>
      </c>
      <c r="GP30">
        <v>8.9499999999999996E-2</v>
      </c>
      <c r="GQ30">
        <v>0</v>
      </c>
      <c r="GR30">
        <v>0</v>
      </c>
      <c r="GS30">
        <v>0</v>
      </c>
      <c r="GT30">
        <v>0</v>
      </c>
      <c r="GU30">
        <v>0</v>
      </c>
      <c r="GV30">
        <v>0</v>
      </c>
      <c r="GW30">
        <v>0</v>
      </c>
      <c r="GX30">
        <v>0</v>
      </c>
      <c r="GY30">
        <v>0</v>
      </c>
      <c r="GZ30">
        <v>0</v>
      </c>
      <c r="HA30">
        <v>0</v>
      </c>
      <c r="HB30">
        <v>0</v>
      </c>
      <c r="HC30" t="s">
        <v>383</v>
      </c>
      <c r="HD30">
        <v>0</v>
      </c>
      <c r="HE30">
        <v>0</v>
      </c>
      <c r="HF30">
        <v>0</v>
      </c>
      <c r="HG30">
        <v>0</v>
      </c>
      <c r="HH30">
        <v>0</v>
      </c>
      <c r="HI30" t="s">
        <v>383</v>
      </c>
      <c r="HJ30">
        <v>0</v>
      </c>
      <c r="HK30">
        <v>0</v>
      </c>
      <c r="HL30">
        <v>0</v>
      </c>
      <c r="HM30">
        <v>0</v>
      </c>
      <c r="HN30">
        <v>0</v>
      </c>
      <c r="HO30" t="s">
        <v>383</v>
      </c>
      <c r="HP30">
        <v>0</v>
      </c>
      <c r="HQ30">
        <v>0</v>
      </c>
      <c r="HR30">
        <v>0</v>
      </c>
      <c r="HS30">
        <v>0</v>
      </c>
      <c r="HT30">
        <v>0</v>
      </c>
      <c r="HU30" t="s">
        <v>383</v>
      </c>
      <c r="HV30">
        <v>0</v>
      </c>
      <c r="HW30">
        <v>0</v>
      </c>
      <c r="HX30">
        <v>0</v>
      </c>
      <c r="HY30">
        <v>0</v>
      </c>
      <c r="HZ30">
        <v>0</v>
      </c>
      <c r="IA30" t="s">
        <v>384</v>
      </c>
      <c r="IB30">
        <v>0</v>
      </c>
      <c r="IC30">
        <v>0</v>
      </c>
      <c r="ID30">
        <v>0</v>
      </c>
      <c r="IE30">
        <v>0</v>
      </c>
      <c r="IF30">
        <v>0</v>
      </c>
      <c r="IG30" t="s">
        <v>384</v>
      </c>
      <c r="IH30">
        <v>0</v>
      </c>
      <c r="II30">
        <v>0</v>
      </c>
      <c r="IJ30">
        <v>0</v>
      </c>
      <c r="IK30">
        <v>0</v>
      </c>
      <c r="IL30">
        <v>0</v>
      </c>
      <c r="IM30" t="s">
        <v>384</v>
      </c>
      <c r="IN30">
        <v>0</v>
      </c>
      <c r="IO30">
        <v>0</v>
      </c>
      <c r="IP30">
        <v>0</v>
      </c>
      <c r="IQ30">
        <v>0</v>
      </c>
      <c r="IR30">
        <v>0</v>
      </c>
      <c r="IS30" t="s">
        <v>384</v>
      </c>
      <c r="IT30">
        <v>0</v>
      </c>
      <c r="IU30">
        <v>0</v>
      </c>
      <c r="IV30">
        <v>0</v>
      </c>
      <c r="IW30">
        <v>0</v>
      </c>
      <c r="IX30">
        <v>0</v>
      </c>
      <c r="IY30">
        <v>0</v>
      </c>
      <c r="IZ30">
        <v>0</v>
      </c>
      <c r="JA30">
        <v>0</v>
      </c>
      <c r="JD30" t="s">
        <v>483</v>
      </c>
      <c r="JE30" t="s">
        <v>484</v>
      </c>
      <c r="JF30" t="s">
        <v>1137</v>
      </c>
      <c r="JG30" t="s">
        <v>1138</v>
      </c>
      <c r="JH30" t="s">
        <v>1139</v>
      </c>
      <c r="JI30" t="s">
        <v>1140</v>
      </c>
      <c r="JJ30">
        <v>0.35</v>
      </c>
      <c r="JK30">
        <v>0</v>
      </c>
      <c r="JL30" t="s">
        <v>391</v>
      </c>
      <c r="JM30">
        <v>0</v>
      </c>
      <c r="JN30">
        <v>0</v>
      </c>
      <c r="JO30">
        <v>0</v>
      </c>
      <c r="JP30">
        <v>0</v>
      </c>
      <c r="JQ30">
        <v>0</v>
      </c>
      <c r="JR30">
        <v>0</v>
      </c>
      <c r="JS30">
        <v>0</v>
      </c>
      <c r="JT30">
        <v>0</v>
      </c>
      <c r="JU30">
        <v>0</v>
      </c>
      <c r="JV30">
        <v>0</v>
      </c>
      <c r="JX30" t="s">
        <v>392</v>
      </c>
      <c r="JY30">
        <v>0</v>
      </c>
      <c r="JZ30">
        <v>0</v>
      </c>
      <c r="KA30">
        <v>1</v>
      </c>
      <c r="KB30">
        <v>0</v>
      </c>
      <c r="KC30">
        <v>0</v>
      </c>
      <c r="KD30">
        <v>1</v>
      </c>
      <c r="KE30">
        <v>0</v>
      </c>
      <c r="KF30">
        <v>0</v>
      </c>
      <c r="KG30">
        <v>1</v>
      </c>
      <c r="KH30">
        <v>0</v>
      </c>
      <c r="KI30">
        <v>0</v>
      </c>
      <c r="KJ30">
        <v>1</v>
      </c>
      <c r="KK30">
        <v>0</v>
      </c>
      <c r="KL30">
        <v>0</v>
      </c>
      <c r="KM30">
        <v>1</v>
      </c>
      <c r="KN30">
        <v>0</v>
      </c>
      <c r="KO30">
        <v>0</v>
      </c>
      <c r="KP30">
        <v>1</v>
      </c>
      <c r="KQ30">
        <v>0</v>
      </c>
      <c r="KR30">
        <v>0</v>
      </c>
      <c r="KS30">
        <v>1</v>
      </c>
      <c r="KT30">
        <v>0</v>
      </c>
      <c r="KU30">
        <v>0</v>
      </c>
      <c r="KV30">
        <v>1</v>
      </c>
      <c r="KW30">
        <v>0</v>
      </c>
      <c r="KX30">
        <v>0</v>
      </c>
      <c r="KY30">
        <v>1</v>
      </c>
      <c r="KZ30">
        <v>0</v>
      </c>
      <c r="LA30">
        <v>0</v>
      </c>
      <c r="LB30">
        <v>0</v>
      </c>
      <c r="LC30">
        <v>0</v>
      </c>
      <c r="LD30">
        <v>0</v>
      </c>
      <c r="LE30">
        <v>0</v>
      </c>
      <c r="LF30">
        <v>0</v>
      </c>
      <c r="LG30">
        <v>0</v>
      </c>
      <c r="LH30">
        <v>0</v>
      </c>
      <c r="LI30">
        <v>0</v>
      </c>
      <c r="LJ30">
        <v>0</v>
      </c>
      <c r="LK30">
        <v>0</v>
      </c>
      <c r="LN30" t="s">
        <v>393</v>
      </c>
      <c r="LO30" t="s">
        <v>394</v>
      </c>
      <c r="LP30" t="s">
        <v>395</v>
      </c>
      <c r="LQ30">
        <v>0.4269</v>
      </c>
      <c r="LR30">
        <v>15.911199999999999</v>
      </c>
      <c r="LS30">
        <v>11.2509</v>
      </c>
      <c r="LT30">
        <v>1389</v>
      </c>
      <c r="LU30">
        <v>593</v>
      </c>
      <c r="LV30">
        <v>81.989599999999996</v>
      </c>
      <c r="LW30">
        <v>0.86339999999999995</v>
      </c>
      <c r="LX30">
        <v>0.56040000000000001</v>
      </c>
      <c r="LY30">
        <v>0.56040000000000001</v>
      </c>
      <c r="LZ30">
        <v>0.56040000000000001</v>
      </c>
      <c r="MA30">
        <v>0</v>
      </c>
      <c r="MB30">
        <v>761</v>
      </c>
      <c r="MC30">
        <v>1</v>
      </c>
      <c r="MD30" t="s">
        <v>396</v>
      </c>
      <c r="ME30" t="s">
        <v>517</v>
      </c>
    </row>
    <row r="31" spans="1:343" ht="16.95" customHeight="1" x14ac:dyDescent="0.3">
      <c r="A31" t="s">
        <v>1141</v>
      </c>
      <c r="B31" t="s">
        <v>1142</v>
      </c>
      <c r="C31" t="s">
        <v>345</v>
      </c>
      <c r="D31" t="s">
        <v>346</v>
      </c>
      <c r="E31" t="s">
        <v>347</v>
      </c>
      <c r="F31" t="s">
        <v>1143</v>
      </c>
      <c r="G31" t="s">
        <v>1144</v>
      </c>
      <c r="H31" t="s">
        <v>1145</v>
      </c>
      <c r="I31" t="s">
        <v>351</v>
      </c>
      <c r="J31">
        <v>1865</v>
      </c>
      <c r="K31">
        <v>585</v>
      </c>
      <c r="L31">
        <v>0.31369999999999998</v>
      </c>
      <c r="M31">
        <v>100</v>
      </c>
      <c r="N31">
        <v>3</v>
      </c>
      <c r="O31">
        <v>1</v>
      </c>
      <c r="P31">
        <v>18.600000000000001</v>
      </c>
      <c r="Q31">
        <v>33.299999999999997</v>
      </c>
      <c r="R31">
        <v>16</v>
      </c>
      <c r="S31">
        <v>5.9</v>
      </c>
      <c r="T31">
        <v>5.0999999999999996</v>
      </c>
      <c r="U31">
        <v>2.1</v>
      </c>
      <c r="V31">
        <v>6.4</v>
      </c>
      <c r="W31">
        <v>4</v>
      </c>
      <c r="X31">
        <v>2.9</v>
      </c>
      <c r="Y31">
        <v>9</v>
      </c>
      <c r="Z31">
        <v>4</v>
      </c>
      <c r="AA31">
        <v>2.25</v>
      </c>
      <c r="AB31" t="s">
        <v>352</v>
      </c>
      <c r="AC31" t="b">
        <v>0</v>
      </c>
      <c r="AD31" t="s">
        <v>353</v>
      </c>
      <c r="AE31">
        <v>0.39610000000000001</v>
      </c>
      <c r="AF31" t="s">
        <v>356</v>
      </c>
      <c r="AG31">
        <v>0.2863</v>
      </c>
      <c r="AH31">
        <v>0.1176</v>
      </c>
      <c r="AI31">
        <v>0.62980000000000003</v>
      </c>
      <c r="AJ31" t="s">
        <v>355</v>
      </c>
      <c r="AK31">
        <v>4.9000000000000004</v>
      </c>
      <c r="AL31">
        <v>9</v>
      </c>
      <c r="AM31" t="s">
        <v>356</v>
      </c>
      <c r="AN31">
        <v>4</v>
      </c>
      <c r="AO31">
        <v>2.14</v>
      </c>
      <c r="AP31">
        <v>6</v>
      </c>
      <c r="AQ31">
        <v>3.22</v>
      </c>
      <c r="AR31">
        <v>1.5</v>
      </c>
      <c r="AS31">
        <v>2</v>
      </c>
      <c r="AT31" t="s">
        <v>1146</v>
      </c>
      <c r="AU31">
        <v>31</v>
      </c>
      <c r="AV31">
        <v>31</v>
      </c>
      <c r="AW31" t="s">
        <v>356</v>
      </c>
      <c r="AX31">
        <v>8</v>
      </c>
      <c r="AY31">
        <v>4.29</v>
      </c>
      <c r="AZ31">
        <v>0</v>
      </c>
      <c r="BA31">
        <v>4</v>
      </c>
      <c r="BB31">
        <v>3</v>
      </c>
      <c r="BC31">
        <v>1</v>
      </c>
      <c r="BD31">
        <v>0</v>
      </c>
      <c r="BE31">
        <v>7</v>
      </c>
      <c r="BF31">
        <v>0</v>
      </c>
      <c r="BG31">
        <v>7</v>
      </c>
      <c r="BH31">
        <v>5</v>
      </c>
      <c r="BI31">
        <v>0.03</v>
      </c>
      <c r="BJ31" t="b">
        <v>0</v>
      </c>
      <c r="BK31" t="b">
        <v>0</v>
      </c>
      <c r="BL31">
        <v>3</v>
      </c>
      <c r="BM31">
        <v>3</v>
      </c>
      <c r="BN31">
        <v>2</v>
      </c>
      <c r="BO31">
        <v>1</v>
      </c>
      <c r="BP31">
        <v>0</v>
      </c>
      <c r="BQ31">
        <v>1</v>
      </c>
      <c r="BR31">
        <v>0</v>
      </c>
      <c r="BS31">
        <v>1865</v>
      </c>
      <c r="BT31">
        <v>585</v>
      </c>
      <c r="BU31">
        <v>0.31369999999999998</v>
      </c>
      <c r="BV31">
        <v>3</v>
      </c>
      <c r="BW31">
        <v>1</v>
      </c>
      <c r="BX31">
        <v>621.70000000000005</v>
      </c>
      <c r="BZ31" t="s">
        <v>1147</v>
      </c>
      <c r="CA31" t="s">
        <v>1148</v>
      </c>
      <c r="CB31" t="s">
        <v>1149</v>
      </c>
      <c r="CC31" t="s">
        <v>1150</v>
      </c>
      <c r="CD31">
        <v>0</v>
      </c>
      <c r="CE31">
        <v>0</v>
      </c>
      <c r="CF31">
        <v>0</v>
      </c>
      <c r="CG31">
        <v>0</v>
      </c>
      <c r="CH31">
        <v>4</v>
      </c>
      <c r="CI31" t="s">
        <v>1151</v>
      </c>
      <c r="CJ31">
        <v>2</v>
      </c>
      <c r="CK31">
        <v>1.07</v>
      </c>
      <c r="CL31" t="s">
        <v>1152</v>
      </c>
      <c r="CM31">
        <v>1</v>
      </c>
      <c r="CN31">
        <v>0</v>
      </c>
      <c r="CO31" t="b">
        <v>1</v>
      </c>
      <c r="CP31" t="b">
        <v>0</v>
      </c>
      <c r="CQ31" t="b">
        <v>1</v>
      </c>
      <c r="CR31" t="b">
        <v>1</v>
      </c>
      <c r="CS31" t="b">
        <v>1</v>
      </c>
      <c r="CT31" t="b">
        <v>1</v>
      </c>
      <c r="CU31" t="b">
        <v>0</v>
      </c>
      <c r="CV31">
        <v>0</v>
      </c>
      <c r="CW31">
        <v>0</v>
      </c>
      <c r="CX31">
        <v>0</v>
      </c>
      <c r="CY31">
        <v>4</v>
      </c>
      <c r="CZ31">
        <v>2.14</v>
      </c>
      <c r="DA31">
        <v>6</v>
      </c>
      <c r="DB31">
        <v>3.22</v>
      </c>
      <c r="DC31">
        <v>1.5</v>
      </c>
      <c r="DD31">
        <v>6</v>
      </c>
      <c r="DE31">
        <v>3.22</v>
      </c>
      <c r="DF31">
        <v>4</v>
      </c>
      <c r="DG31">
        <v>2.14</v>
      </c>
      <c r="DH31">
        <v>20</v>
      </c>
      <c r="DI31">
        <v>10.72</v>
      </c>
      <c r="DJ31">
        <v>0.2</v>
      </c>
      <c r="DK31">
        <v>0</v>
      </c>
      <c r="DL31">
        <v>0</v>
      </c>
      <c r="DM31">
        <v>1</v>
      </c>
      <c r="DN31">
        <v>2</v>
      </c>
      <c r="DO31">
        <v>41</v>
      </c>
      <c r="DP31">
        <v>23</v>
      </c>
      <c r="DQ31">
        <v>12.33</v>
      </c>
      <c r="DR31" t="s">
        <v>1153</v>
      </c>
      <c r="DS31" t="s">
        <v>1154</v>
      </c>
      <c r="DT31" t="s">
        <v>1155</v>
      </c>
      <c r="DU31" t="s">
        <v>365</v>
      </c>
      <c r="DV31" t="s">
        <v>1156</v>
      </c>
      <c r="DW31">
        <v>3.57</v>
      </c>
      <c r="DX31">
        <v>0</v>
      </c>
      <c r="DY31">
        <v>2.17</v>
      </c>
      <c r="DZ31">
        <v>5</v>
      </c>
      <c r="EA31">
        <v>5</v>
      </c>
      <c r="EB31">
        <v>15.74</v>
      </c>
      <c r="EC31" t="s">
        <v>503</v>
      </c>
      <c r="ED31" t="s">
        <v>369</v>
      </c>
      <c r="EE31">
        <v>10</v>
      </c>
      <c r="EF31" t="s">
        <v>356</v>
      </c>
      <c r="EG31">
        <v>1.98</v>
      </c>
      <c r="EH31">
        <v>3.05</v>
      </c>
      <c r="EI31">
        <v>0.64900000000000002</v>
      </c>
      <c r="EJ31" t="s">
        <v>370</v>
      </c>
      <c r="EK31">
        <v>2.04</v>
      </c>
      <c r="EL31" t="s">
        <v>393</v>
      </c>
      <c r="EM31" t="s">
        <v>1157</v>
      </c>
      <c r="EN31">
        <v>2.27</v>
      </c>
      <c r="EO31" t="s">
        <v>534</v>
      </c>
      <c r="EP31">
        <v>2</v>
      </c>
      <c r="EQ31">
        <v>1</v>
      </c>
      <c r="ER31">
        <v>71</v>
      </c>
      <c r="ES31" t="s">
        <v>475</v>
      </c>
      <c r="ET31">
        <v>1.96</v>
      </c>
      <c r="EU31">
        <v>0.36</v>
      </c>
      <c r="EV31">
        <v>2.86</v>
      </c>
      <c r="EW31">
        <v>4.82</v>
      </c>
      <c r="EX31">
        <v>1.43</v>
      </c>
      <c r="EY31">
        <v>2.14</v>
      </c>
      <c r="EZ31">
        <v>1.79</v>
      </c>
      <c r="FA31">
        <v>4.47</v>
      </c>
      <c r="FB31">
        <v>1.07</v>
      </c>
      <c r="FC31">
        <v>1.79</v>
      </c>
      <c r="FD31" t="s">
        <v>375</v>
      </c>
      <c r="FE31">
        <v>158</v>
      </c>
      <c r="FF31" t="s">
        <v>1158</v>
      </c>
      <c r="FG31" t="s">
        <v>1159</v>
      </c>
      <c r="FH31" t="s">
        <v>1160</v>
      </c>
      <c r="FI31" t="s">
        <v>1161</v>
      </c>
      <c r="FJ31" t="s">
        <v>1162</v>
      </c>
      <c r="FK31" t="s">
        <v>1163</v>
      </c>
      <c r="FL31" t="s">
        <v>1164</v>
      </c>
      <c r="FM31">
        <v>0</v>
      </c>
      <c r="FN31">
        <v>0.5877</v>
      </c>
      <c r="FO31">
        <v>0.77500000000000002</v>
      </c>
      <c r="FP31">
        <v>0.6663</v>
      </c>
      <c r="FQ31">
        <v>0.56999999999999995</v>
      </c>
      <c r="FR31">
        <v>0</v>
      </c>
      <c r="FS31">
        <v>0.03</v>
      </c>
      <c r="FT31">
        <v>0</v>
      </c>
      <c r="FU31">
        <v>3.3E-3</v>
      </c>
      <c r="FV31">
        <v>0.23200000000000001</v>
      </c>
      <c r="FW31">
        <v>0.10539999999999999</v>
      </c>
      <c r="FX31">
        <v>0</v>
      </c>
      <c r="FY31">
        <v>0.27650000000000002</v>
      </c>
      <c r="FZ31">
        <v>3.1199999999999999E-2</v>
      </c>
      <c r="GA31">
        <v>100</v>
      </c>
      <c r="GB31">
        <v>1</v>
      </c>
      <c r="GC31">
        <v>1</v>
      </c>
      <c r="GD31">
        <v>72</v>
      </c>
      <c r="GE31">
        <v>2</v>
      </c>
      <c r="GF31">
        <v>23</v>
      </c>
      <c r="GG31">
        <v>0</v>
      </c>
      <c r="GH31">
        <v>1</v>
      </c>
      <c r="GI31">
        <v>0</v>
      </c>
      <c r="GJ31">
        <v>0</v>
      </c>
      <c r="GK31">
        <v>0.42149999999999999</v>
      </c>
      <c r="GL31">
        <v>0</v>
      </c>
      <c r="GM31">
        <v>0</v>
      </c>
      <c r="GN31">
        <v>0</v>
      </c>
      <c r="GO31">
        <v>0</v>
      </c>
      <c r="GP31">
        <v>0</v>
      </c>
      <c r="GQ31">
        <v>0</v>
      </c>
      <c r="GR31">
        <v>0</v>
      </c>
      <c r="GS31">
        <v>0</v>
      </c>
      <c r="GT31">
        <v>0</v>
      </c>
      <c r="GU31">
        <v>0</v>
      </c>
      <c r="GV31">
        <v>0.28100000000000003</v>
      </c>
      <c r="GW31">
        <v>0</v>
      </c>
      <c r="GX31">
        <v>0</v>
      </c>
      <c r="GY31">
        <v>0</v>
      </c>
      <c r="GZ31">
        <v>0</v>
      </c>
      <c r="HA31">
        <v>0</v>
      </c>
      <c r="HB31">
        <v>0</v>
      </c>
      <c r="HC31" t="s">
        <v>383</v>
      </c>
      <c r="HD31">
        <v>0</v>
      </c>
      <c r="HE31">
        <v>0</v>
      </c>
      <c r="HF31">
        <v>0</v>
      </c>
      <c r="HG31">
        <v>0</v>
      </c>
      <c r="HH31">
        <v>0</v>
      </c>
      <c r="HI31" t="s">
        <v>383</v>
      </c>
      <c r="HJ31">
        <v>0</v>
      </c>
      <c r="HK31">
        <v>0</v>
      </c>
      <c r="HL31">
        <v>0</v>
      </c>
      <c r="HM31">
        <v>0</v>
      </c>
      <c r="HN31">
        <v>0</v>
      </c>
      <c r="HO31" t="s">
        <v>383</v>
      </c>
      <c r="HP31">
        <v>0</v>
      </c>
      <c r="HQ31">
        <v>0</v>
      </c>
      <c r="HR31">
        <v>0</v>
      </c>
      <c r="HS31">
        <v>0</v>
      </c>
      <c r="HT31">
        <v>0</v>
      </c>
      <c r="HU31" t="s">
        <v>383</v>
      </c>
      <c r="HV31">
        <v>0</v>
      </c>
      <c r="HW31">
        <v>0</v>
      </c>
      <c r="HX31">
        <v>0</v>
      </c>
      <c r="HY31">
        <v>0</v>
      </c>
      <c r="HZ31">
        <v>0</v>
      </c>
      <c r="IA31" t="s">
        <v>384</v>
      </c>
      <c r="IB31">
        <v>0</v>
      </c>
      <c r="IC31">
        <v>0</v>
      </c>
      <c r="ID31">
        <v>0</v>
      </c>
      <c r="IE31">
        <v>0</v>
      </c>
      <c r="IF31">
        <v>0</v>
      </c>
      <c r="IG31" t="s">
        <v>384</v>
      </c>
      <c r="IH31">
        <v>0</v>
      </c>
      <c r="II31">
        <v>0</v>
      </c>
      <c r="IJ31">
        <v>0</v>
      </c>
      <c r="IK31">
        <v>0</v>
      </c>
      <c r="IL31">
        <v>0</v>
      </c>
      <c r="IM31" t="s">
        <v>384</v>
      </c>
      <c r="IN31">
        <v>0</v>
      </c>
      <c r="IO31">
        <v>0</v>
      </c>
      <c r="IP31">
        <v>0</v>
      </c>
      <c r="IQ31">
        <v>0</v>
      </c>
      <c r="IR31">
        <v>0</v>
      </c>
      <c r="IS31" t="s">
        <v>384</v>
      </c>
      <c r="IT31">
        <v>0</v>
      </c>
      <c r="IU31">
        <v>0</v>
      </c>
      <c r="IV31">
        <v>0</v>
      </c>
      <c r="IW31">
        <v>0</v>
      </c>
      <c r="IX31">
        <v>0</v>
      </c>
      <c r="IY31">
        <v>0</v>
      </c>
      <c r="IZ31">
        <v>0</v>
      </c>
      <c r="JA31">
        <v>0</v>
      </c>
      <c r="JD31" t="s">
        <v>1165</v>
      </c>
      <c r="JE31" t="s">
        <v>1166</v>
      </c>
      <c r="JF31" t="s">
        <v>1167</v>
      </c>
      <c r="JG31" t="s">
        <v>1168</v>
      </c>
      <c r="JH31" t="s">
        <v>1169</v>
      </c>
      <c r="JI31" t="s">
        <v>1170</v>
      </c>
      <c r="JJ31">
        <v>0.36670000000000003</v>
      </c>
      <c r="JK31">
        <v>0</v>
      </c>
      <c r="JL31" t="s">
        <v>391</v>
      </c>
      <c r="JM31">
        <v>0</v>
      </c>
      <c r="JN31">
        <v>0</v>
      </c>
      <c r="JO31">
        <v>0</v>
      </c>
      <c r="JP31">
        <v>0</v>
      </c>
      <c r="JQ31">
        <v>0</v>
      </c>
      <c r="JR31">
        <v>0</v>
      </c>
      <c r="JS31">
        <v>0</v>
      </c>
      <c r="JT31">
        <v>0</v>
      </c>
      <c r="JU31">
        <v>0</v>
      </c>
      <c r="JV31">
        <v>0</v>
      </c>
      <c r="JX31" t="s">
        <v>392</v>
      </c>
      <c r="JY31">
        <v>0</v>
      </c>
      <c r="JZ31">
        <v>0</v>
      </c>
      <c r="KA31">
        <v>1</v>
      </c>
      <c r="KB31">
        <v>0</v>
      </c>
      <c r="KC31">
        <v>0</v>
      </c>
      <c r="KD31">
        <v>1</v>
      </c>
      <c r="KE31">
        <v>0</v>
      </c>
      <c r="KF31">
        <v>0</v>
      </c>
      <c r="KG31">
        <v>1</v>
      </c>
      <c r="KH31">
        <v>0</v>
      </c>
      <c r="KI31">
        <v>0</v>
      </c>
      <c r="KJ31">
        <v>1</v>
      </c>
      <c r="KK31">
        <v>0</v>
      </c>
      <c r="KL31">
        <v>0</v>
      </c>
      <c r="KM31">
        <v>1</v>
      </c>
      <c r="KN31">
        <v>0</v>
      </c>
      <c r="KO31">
        <v>0</v>
      </c>
      <c r="KP31">
        <v>1</v>
      </c>
      <c r="KQ31">
        <v>0</v>
      </c>
      <c r="KR31">
        <v>0</v>
      </c>
      <c r="KS31">
        <v>1</v>
      </c>
      <c r="KT31">
        <v>0</v>
      </c>
      <c r="KU31">
        <v>0</v>
      </c>
      <c r="KV31">
        <v>1</v>
      </c>
      <c r="KW31">
        <v>0</v>
      </c>
      <c r="KX31">
        <v>0</v>
      </c>
      <c r="KY31">
        <v>1</v>
      </c>
      <c r="KZ31">
        <v>0</v>
      </c>
      <c r="LA31">
        <v>0</v>
      </c>
      <c r="LB31">
        <v>0</v>
      </c>
      <c r="LC31">
        <v>0</v>
      </c>
      <c r="LD31">
        <v>0</v>
      </c>
      <c r="LE31">
        <v>0</v>
      </c>
      <c r="LF31">
        <v>0</v>
      </c>
      <c r="LG31">
        <v>0</v>
      </c>
      <c r="LH31">
        <v>0</v>
      </c>
      <c r="LI31">
        <v>0</v>
      </c>
      <c r="LJ31">
        <v>0</v>
      </c>
      <c r="LK31">
        <v>0</v>
      </c>
      <c r="LN31" t="s">
        <v>393</v>
      </c>
      <c r="LO31" t="s">
        <v>394</v>
      </c>
      <c r="LP31" t="s">
        <v>395</v>
      </c>
      <c r="LQ31">
        <v>0.31209999999999999</v>
      </c>
      <c r="LR31">
        <v>13.1027</v>
      </c>
      <c r="LS31">
        <v>9.2650000000000006</v>
      </c>
      <c r="LT31">
        <v>1762</v>
      </c>
      <c r="LU31">
        <v>550</v>
      </c>
      <c r="LV31">
        <v>67.869600000000005</v>
      </c>
      <c r="LW31">
        <v>0.84970000000000001</v>
      </c>
      <c r="LX31">
        <v>0.49</v>
      </c>
      <c r="LY31">
        <v>0.49</v>
      </c>
      <c r="LZ31">
        <v>0.49</v>
      </c>
      <c r="MA31">
        <v>0</v>
      </c>
      <c r="MB31">
        <v>860</v>
      </c>
      <c r="MC31">
        <v>1</v>
      </c>
      <c r="MD31" t="s">
        <v>396</v>
      </c>
      <c r="ME31" t="s">
        <v>397</v>
      </c>
    </row>
    <row r="32" spans="1:343" ht="16.95" customHeight="1" x14ac:dyDescent="0.3">
      <c r="A32" t="s">
        <v>1171</v>
      </c>
      <c r="B32" t="s">
        <v>1172</v>
      </c>
      <c r="C32" t="s">
        <v>345</v>
      </c>
      <c r="D32" t="s">
        <v>346</v>
      </c>
      <c r="E32" t="s">
        <v>347</v>
      </c>
      <c r="F32" t="s">
        <v>1173</v>
      </c>
      <c r="G32" t="s">
        <v>1174</v>
      </c>
      <c r="H32" t="s">
        <v>1175</v>
      </c>
      <c r="I32" t="s">
        <v>351</v>
      </c>
      <c r="J32">
        <v>2949</v>
      </c>
      <c r="K32">
        <v>1040</v>
      </c>
      <c r="L32">
        <v>0.35270000000000001</v>
      </c>
      <c r="M32">
        <v>292</v>
      </c>
      <c r="N32">
        <v>3</v>
      </c>
      <c r="O32">
        <v>1</v>
      </c>
      <c r="P32">
        <v>10.1</v>
      </c>
      <c r="Q32">
        <v>97.3</v>
      </c>
      <c r="R32">
        <v>16.5</v>
      </c>
      <c r="S32">
        <v>10.7</v>
      </c>
      <c r="T32">
        <v>5.3</v>
      </c>
      <c r="U32">
        <v>4.4000000000000004</v>
      </c>
      <c r="V32">
        <v>7</v>
      </c>
      <c r="W32">
        <v>17</v>
      </c>
      <c r="X32">
        <v>4.0999999999999996</v>
      </c>
      <c r="Y32">
        <v>22</v>
      </c>
      <c r="Z32">
        <v>2</v>
      </c>
      <c r="AA32">
        <v>11</v>
      </c>
      <c r="AB32" t="s">
        <v>352</v>
      </c>
      <c r="AC32" t="b">
        <v>0</v>
      </c>
      <c r="AD32" t="s">
        <v>353</v>
      </c>
      <c r="AE32">
        <v>0.43730000000000002</v>
      </c>
      <c r="AF32" t="s">
        <v>354</v>
      </c>
      <c r="AG32">
        <v>0.30420000000000003</v>
      </c>
      <c r="AH32">
        <v>2.9499999999999998E-2</v>
      </c>
      <c r="AI32">
        <v>0.67530000000000001</v>
      </c>
      <c r="AJ32" t="s">
        <v>355</v>
      </c>
      <c r="AK32">
        <v>3.47</v>
      </c>
      <c r="AL32">
        <v>9</v>
      </c>
      <c r="AM32" t="s">
        <v>354</v>
      </c>
      <c r="AN32">
        <v>1</v>
      </c>
      <c r="AO32">
        <v>0.34</v>
      </c>
      <c r="AP32">
        <v>4</v>
      </c>
      <c r="AQ32">
        <v>1.36</v>
      </c>
      <c r="AR32">
        <v>4</v>
      </c>
      <c r="AS32">
        <v>0</v>
      </c>
      <c r="AT32" t="s">
        <v>357</v>
      </c>
      <c r="AU32">
        <v>19.5</v>
      </c>
      <c r="AV32">
        <v>57</v>
      </c>
      <c r="AW32" t="s">
        <v>354</v>
      </c>
      <c r="AX32">
        <v>14</v>
      </c>
      <c r="AY32">
        <v>4.75</v>
      </c>
      <c r="AZ32">
        <v>0</v>
      </c>
      <c r="BA32">
        <v>13</v>
      </c>
      <c r="BB32">
        <v>1</v>
      </c>
      <c r="BC32">
        <v>0</v>
      </c>
      <c r="BD32">
        <v>0</v>
      </c>
      <c r="BE32">
        <v>14</v>
      </c>
      <c r="BF32">
        <v>0</v>
      </c>
      <c r="BG32">
        <v>14</v>
      </c>
      <c r="BH32">
        <v>0</v>
      </c>
      <c r="BI32">
        <v>0</v>
      </c>
      <c r="BJ32" t="b">
        <v>0</v>
      </c>
      <c r="BK32" t="b">
        <v>0</v>
      </c>
      <c r="BL32">
        <v>3</v>
      </c>
      <c r="BM32">
        <v>3</v>
      </c>
      <c r="BN32">
        <v>2</v>
      </c>
      <c r="BO32">
        <v>1</v>
      </c>
      <c r="BP32">
        <v>0</v>
      </c>
      <c r="BQ32">
        <v>1</v>
      </c>
      <c r="BR32">
        <v>0</v>
      </c>
      <c r="BS32">
        <v>2949</v>
      </c>
      <c r="BT32">
        <v>1040</v>
      </c>
      <c r="BU32">
        <v>0.35270000000000001</v>
      </c>
      <c r="BV32">
        <v>3</v>
      </c>
      <c r="BW32">
        <v>1</v>
      </c>
      <c r="BX32">
        <v>983</v>
      </c>
      <c r="BZ32" t="s">
        <v>1176</v>
      </c>
      <c r="CA32" t="s">
        <v>1177</v>
      </c>
      <c r="CB32" t="s">
        <v>1178</v>
      </c>
      <c r="CC32" t="s">
        <v>1179</v>
      </c>
      <c r="CD32">
        <v>0</v>
      </c>
      <c r="CE32">
        <v>0</v>
      </c>
      <c r="CF32">
        <v>0</v>
      </c>
      <c r="CG32">
        <v>0</v>
      </c>
      <c r="CH32">
        <v>0</v>
      </c>
      <c r="CJ32">
        <v>2</v>
      </c>
      <c r="CK32">
        <v>0.68</v>
      </c>
      <c r="CL32" t="s">
        <v>407</v>
      </c>
      <c r="CM32">
        <v>1</v>
      </c>
      <c r="CN32">
        <v>0</v>
      </c>
      <c r="CO32" t="b">
        <v>0</v>
      </c>
      <c r="CP32" t="b">
        <v>0</v>
      </c>
      <c r="CQ32" t="b">
        <v>1</v>
      </c>
      <c r="CR32" t="b">
        <v>1</v>
      </c>
      <c r="CS32" t="b">
        <v>0</v>
      </c>
      <c r="CT32" t="b">
        <v>0</v>
      </c>
      <c r="CU32" t="b">
        <v>0</v>
      </c>
      <c r="CV32">
        <v>0</v>
      </c>
      <c r="CW32">
        <v>0</v>
      </c>
      <c r="CX32">
        <v>0</v>
      </c>
      <c r="CY32">
        <v>1</v>
      </c>
      <c r="CZ32">
        <v>0.34</v>
      </c>
      <c r="DA32">
        <v>4</v>
      </c>
      <c r="DB32">
        <v>1.36</v>
      </c>
      <c r="DC32">
        <v>4</v>
      </c>
      <c r="DD32">
        <v>0</v>
      </c>
      <c r="DE32">
        <v>0</v>
      </c>
      <c r="DF32">
        <v>6</v>
      </c>
      <c r="DG32">
        <v>2.0299999999999998</v>
      </c>
      <c r="DH32">
        <v>24</v>
      </c>
      <c r="DI32">
        <v>8.14</v>
      </c>
      <c r="DJ32">
        <v>0.25</v>
      </c>
      <c r="DK32">
        <v>0</v>
      </c>
      <c r="DL32">
        <v>0</v>
      </c>
      <c r="DM32">
        <v>5</v>
      </c>
      <c r="DN32">
        <v>1</v>
      </c>
      <c r="DO32">
        <v>70</v>
      </c>
      <c r="DP32">
        <v>0</v>
      </c>
      <c r="DQ32">
        <v>0</v>
      </c>
      <c r="DR32" t="s">
        <v>1180</v>
      </c>
      <c r="DS32" t="s">
        <v>1181</v>
      </c>
      <c r="DT32" t="s">
        <v>1182</v>
      </c>
      <c r="DU32" t="s">
        <v>411</v>
      </c>
      <c r="DV32" t="s">
        <v>1183</v>
      </c>
      <c r="DW32">
        <v>1.43</v>
      </c>
      <c r="DX32">
        <v>0</v>
      </c>
      <c r="DY32">
        <v>2.17</v>
      </c>
      <c r="DZ32">
        <v>5</v>
      </c>
      <c r="EA32">
        <v>0</v>
      </c>
      <c r="EB32">
        <v>8.6</v>
      </c>
      <c r="EC32" t="s">
        <v>369</v>
      </c>
      <c r="ED32" t="s">
        <v>413</v>
      </c>
      <c r="EE32">
        <v>1.29</v>
      </c>
      <c r="EF32" t="s">
        <v>414</v>
      </c>
      <c r="EG32">
        <v>0.37</v>
      </c>
      <c r="EH32">
        <v>0.54</v>
      </c>
      <c r="EI32">
        <v>0.68799999999999994</v>
      </c>
      <c r="EJ32" t="s">
        <v>370</v>
      </c>
      <c r="EK32">
        <v>3.19</v>
      </c>
      <c r="EL32" t="s">
        <v>472</v>
      </c>
      <c r="EM32" t="s">
        <v>1184</v>
      </c>
      <c r="EN32">
        <v>1.57</v>
      </c>
      <c r="EO32" t="s">
        <v>417</v>
      </c>
      <c r="EP32">
        <v>0</v>
      </c>
      <c r="EQ32">
        <v>0</v>
      </c>
      <c r="ER32">
        <v>17.399999999999999</v>
      </c>
      <c r="ES32" t="s">
        <v>587</v>
      </c>
      <c r="ET32">
        <v>1.1299999999999999</v>
      </c>
      <c r="EU32">
        <v>1.36</v>
      </c>
      <c r="EV32">
        <v>1.02</v>
      </c>
      <c r="EW32">
        <v>2.2599999999999998</v>
      </c>
      <c r="EX32">
        <v>3.62</v>
      </c>
      <c r="EY32">
        <v>1.69</v>
      </c>
      <c r="EZ32">
        <v>1.36</v>
      </c>
      <c r="FA32">
        <v>0.56000000000000005</v>
      </c>
      <c r="FB32">
        <v>1.47</v>
      </c>
      <c r="FC32">
        <v>1.24</v>
      </c>
      <c r="FD32" t="s">
        <v>375</v>
      </c>
      <c r="FE32">
        <v>223</v>
      </c>
      <c r="FF32" t="s">
        <v>1185</v>
      </c>
      <c r="FG32" t="s">
        <v>1186</v>
      </c>
      <c r="FH32" t="s">
        <v>1187</v>
      </c>
      <c r="FI32" t="s">
        <v>1188</v>
      </c>
      <c r="FJ32" t="s">
        <v>1189</v>
      </c>
      <c r="FK32" t="s">
        <v>1190</v>
      </c>
      <c r="FL32" t="s">
        <v>1191</v>
      </c>
      <c r="FM32">
        <v>0</v>
      </c>
      <c r="FN32">
        <v>0.49469999999999997</v>
      </c>
      <c r="FO32">
        <v>0.77500000000000002</v>
      </c>
      <c r="FP32">
        <v>0.61240000000000006</v>
      </c>
      <c r="FQ32">
        <v>0.43</v>
      </c>
      <c r="FR32">
        <v>0</v>
      </c>
      <c r="FS32">
        <v>0.03</v>
      </c>
      <c r="FT32">
        <v>0</v>
      </c>
      <c r="FU32">
        <v>2.3199999999999998E-2</v>
      </c>
      <c r="FV32">
        <v>0.1193</v>
      </c>
      <c r="FW32">
        <v>0.1074</v>
      </c>
      <c r="FX32">
        <v>0.1003</v>
      </c>
      <c r="FY32">
        <v>0.35670000000000002</v>
      </c>
      <c r="FZ32">
        <v>4.7999999999999996E-3</v>
      </c>
      <c r="GA32">
        <v>300</v>
      </c>
      <c r="GB32">
        <v>1</v>
      </c>
      <c r="GC32">
        <v>1</v>
      </c>
      <c r="GD32">
        <v>112</v>
      </c>
      <c r="GE32">
        <v>0</v>
      </c>
      <c r="GF32">
        <v>52</v>
      </c>
      <c r="GG32">
        <v>6</v>
      </c>
      <c r="GH32">
        <v>1</v>
      </c>
      <c r="GI32">
        <v>0</v>
      </c>
      <c r="GJ32">
        <v>0</v>
      </c>
      <c r="GK32">
        <v>8.5999999999999993E-2</v>
      </c>
      <c r="GL32">
        <v>4.2999999999999997E-2</v>
      </c>
      <c r="GM32">
        <v>0.1719</v>
      </c>
      <c r="GN32">
        <v>8.5999999999999993E-2</v>
      </c>
      <c r="GO32">
        <v>4.2999999999999997E-2</v>
      </c>
      <c r="GP32">
        <v>0.21490000000000001</v>
      </c>
      <c r="GQ32">
        <v>0.12889999999999999</v>
      </c>
      <c r="GR32">
        <v>0.12889999999999999</v>
      </c>
      <c r="GS32">
        <v>8.5999999999999993E-2</v>
      </c>
      <c r="GT32">
        <v>4.2999999999999997E-2</v>
      </c>
      <c r="GU32">
        <v>0</v>
      </c>
      <c r="GV32">
        <v>0</v>
      </c>
      <c r="GW32">
        <v>0</v>
      </c>
      <c r="GX32">
        <v>0</v>
      </c>
      <c r="GY32">
        <v>0</v>
      </c>
      <c r="GZ32">
        <v>0</v>
      </c>
      <c r="HA32">
        <v>0</v>
      </c>
      <c r="HB32">
        <v>0</v>
      </c>
      <c r="HC32" t="s">
        <v>383</v>
      </c>
      <c r="HD32">
        <v>0</v>
      </c>
      <c r="HE32">
        <v>0</v>
      </c>
      <c r="HF32">
        <v>0</v>
      </c>
      <c r="HG32">
        <v>0</v>
      </c>
      <c r="HH32">
        <v>0</v>
      </c>
      <c r="HI32" t="s">
        <v>383</v>
      </c>
      <c r="HJ32">
        <v>0</v>
      </c>
      <c r="HK32">
        <v>0</v>
      </c>
      <c r="HL32">
        <v>0</v>
      </c>
      <c r="HM32">
        <v>0</v>
      </c>
      <c r="HN32">
        <v>0</v>
      </c>
      <c r="HO32" t="s">
        <v>383</v>
      </c>
      <c r="HP32">
        <v>0</v>
      </c>
      <c r="HQ32">
        <v>0</v>
      </c>
      <c r="HR32">
        <v>0</v>
      </c>
      <c r="HS32">
        <v>0</v>
      </c>
      <c r="HT32">
        <v>0</v>
      </c>
      <c r="HU32" t="s">
        <v>383</v>
      </c>
      <c r="HV32">
        <v>0</v>
      </c>
      <c r="HW32">
        <v>0</v>
      </c>
      <c r="HX32">
        <v>0</v>
      </c>
      <c r="HY32">
        <v>0</v>
      </c>
      <c r="HZ32">
        <v>0</v>
      </c>
      <c r="IA32" t="s">
        <v>384</v>
      </c>
      <c r="IB32">
        <v>0</v>
      </c>
      <c r="IC32">
        <v>0</v>
      </c>
      <c r="ID32">
        <v>0</v>
      </c>
      <c r="IE32">
        <v>0</v>
      </c>
      <c r="IF32">
        <v>0</v>
      </c>
      <c r="IG32" t="s">
        <v>384</v>
      </c>
      <c r="IH32">
        <v>0</v>
      </c>
      <c r="II32">
        <v>0</v>
      </c>
      <c r="IJ32">
        <v>0</v>
      </c>
      <c r="IK32">
        <v>0</v>
      </c>
      <c r="IL32">
        <v>0</v>
      </c>
      <c r="IM32" t="s">
        <v>384</v>
      </c>
      <c r="IN32">
        <v>0</v>
      </c>
      <c r="IO32">
        <v>0</v>
      </c>
      <c r="IP32">
        <v>0</v>
      </c>
      <c r="IQ32">
        <v>0</v>
      </c>
      <c r="IR32">
        <v>0</v>
      </c>
      <c r="IS32" t="s">
        <v>384</v>
      </c>
      <c r="IT32">
        <v>0</v>
      </c>
      <c r="IU32">
        <v>0</v>
      </c>
      <c r="IV32">
        <v>0</v>
      </c>
      <c r="IW32">
        <v>0</v>
      </c>
      <c r="IX32">
        <v>0</v>
      </c>
      <c r="IY32">
        <v>0</v>
      </c>
      <c r="IZ32">
        <v>0</v>
      </c>
      <c r="JA32">
        <v>0</v>
      </c>
      <c r="JD32" t="s">
        <v>805</v>
      </c>
      <c r="JE32" t="s">
        <v>426</v>
      </c>
      <c r="JF32" t="s">
        <v>1192</v>
      </c>
      <c r="JG32" t="s">
        <v>1193</v>
      </c>
      <c r="JH32" t="s">
        <v>1194</v>
      </c>
      <c r="JI32" t="s">
        <v>1195</v>
      </c>
      <c r="JJ32">
        <v>0.33329999999999999</v>
      </c>
      <c r="JK32">
        <v>0</v>
      </c>
      <c r="JL32" t="s">
        <v>391</v>
      </c>
      <c r="JM32">
        <v>0</v>
      </c>
      <c r="JN32">
        <v>0</v>
      </c>
      <c r="JO32">
        <v>0</v>
      </c>
      <c r="JP32">
        <v>0</v>
      </c>
      <c r="JQ32">
        <v>0</v>
      </c>
      <c r="JR32">
        <v>0</v>
      </c>
      <c r="JS32">
        <v>0</v>
      </c>
      <c r="JT32">
        <v>0</v>
      </c>
      <c r="JU32">
        <v>0</v>
      </c>
      <c r="JV32">
        <v>0</v>
      </c>
      <c r="JX32" t="s">
        <v>392</v>
      </c>
      <c r="JY32">
        <v>0</v>
      </c>
      <c r="JZ32">
        <v>0</v>
      </c>
      <c r="KA32">
        <v>1</v>
      </c>
      <c r="KB32">
        <v>0</v>
      </c>
      <c r="KC32">
        <v>0</v>
      </c>
      <c r="KD32">
        <v>1</v>
      </c>
      <c r="KE32">
        <v>0</v>
      </c>
      <c r="KF32">
        <v>0</v>
      </c>
      <c r="KG32">
        <v>1</v>
      </c>
      <c r="KH32">
        <v>0</v>
      </c>
      <c r="KI32">
        <v>0</v>
      </c>
      <c r="KJ32">
        <v>1</v>
      </c>
      <c r="KK32">
        <v>0</v>
      </c>
      <c r="KL32">
        <v>0</v>
      </c>
      <c r="KM32">
        <v>1</v>
      </c>
      <c r="KN32">
        <v>0</v>
      </c>
      <c r="KO32">
        <v>0</v>
      </c>
      <c r="KP32">
        <v>1</v>
      </c>
      <c r="KQ32">
        <v>0</v>
      </c>
      <c r="KR32">
        <v>0</v>
      </c>
      <c r="KS32">
        <v>1</v>
      </c>
      <c r="KT32">
        <v>0</v>
      </c>
      <c r="KU32">
        <v>0</v>
      </c>
      <c r="KV32">
        <v>1</v>
      </c>
      <c r="KW32">
        <v>0</v>
      </c>
      <c r="KX32">
        <v>0</v>
      </c>
      <c r="KY32">
        <v>1</v>
      </c>
      <c r="KZ32">
        <v>0</v>
      </c>
      <c r="LA32">
        <v>0</v>
      </c>
      <c r="LB32">
        <v>0</v>
      </c>
      <c r="LC32">
        <v>0</v>
      </c>
      <c r="LD32">
        <v>0</v>
      </c>
      <c r="LE32">
        <v>0</v>
      </c>
      <c r="LF32">
        <v>0</v>
      </c>
      <c r="LG32">
        <v>0</v>
      </c>
      <c r="LH32">
        <v>0</v>
      </c>
      <c r="LI32">
        <v>0</v>
      </c>
      <c r="LJ32">
        <v>0</v>
      </c>
      <c r="LK32">
        <v>0</v>
      </c>
      <c r="LN32" t="s">
        <v>393</v>
      </c>
      <c r="LO32" t="s">
        <v>394</v>
      </c>
      <c r="LP32" t="s">
        <v>395</v>
      </c>
      <c r="LQ32">
        <v>0.33229999999999998</v>
      </c>
      <c r="LR32">
        <v>18.074000000000002</v>
      </c>
      <c r="LS32">
        <v>12.7803</v>
      </c>
      <c r="LT32">
        <v>2958</v>
      </c>
      <c r="LU32">
        <v>983</v>
      </c>
      <c r="LV32">
        <v>85.7624</v>
      </c>
      <c r="LW32">
        <v>0.86370000000000002</v>
      </c>
      <c r="LX32">
        <v>0.49370000000000003</v>
      </c>
      <c r="LY32">
        <v>0.49370000000000003</v>
      </c>
      <c r="LZ32">
        <v>0.49370000000000003</v>
      </c>
      <c r="MA32">
        <v>0</v>
      </c>
      <c r="MB32">
        <v>1417</v>
      </c>
      <c r="MC32">
        <v>1</v>
      </c>
      <c r="MD32" t="s">
        <v>396</v>
      </c>
      <c r="ME32" t="s">
        <v>397</v>
      </c>
    </row>
    <row r="33" spans="1:343" ht="16.95" customHeight="1" x14ac:dyDescent="0.3">
      <c r="A33" t="s">
        <v>1196</v>
      </c>
      <c r="B33" t="s">
        <v>1197</v>
      </c>
      <c r="C33" t="s">
        <v>345</v>
      </c>
      <c r="D33" t="s">
        <v>346</v>
      </c>
      <c r="E33" t="s">
        <v>347</v>
      </c>
      <c r="F33" t="s">
        <v>1198</v>
      </c>
      <c r="G33" t="s">
        <v>1199</v>
      </c>
      <c r="H33" t="s">
        <v>1200</v>
      </c>
      <c r="I33" t="s">
        <v>351</v>
      </c>
      <c r="J33">
        <v>963</v>
      </c>
      <c r="K33">
        <v>409</v>
      </c>
      <c r="L33">
        <v>0.42470000000000002</v>
      </c>
      <c r="M33">
        <v>73</v>
      </c>
      <c r="N33">
        <v>3</v>
      </c>
      <c r="O33">
        <v>1</v>
      </c>
      <c r="P33">
        <v>13.2</v>
      </c>
      <c r="Q33">
        <v>24.3</v>
      </c>
      <c r="R33">
        <v>18.2</v>
      </c>
      <c r="S33">
        <v>8</v>
      </c>
      <c r="T33">
        <v>8.6999999999999993</v>
      </c>
      <c r="U33">
        <v>2.7</v>
      </c>
      <c r="V33">
        <v>5.4</v>
      </c>
      <c r="W33">
        <v>4</v>
      </c>
      <c r="X33">
        <v>4.3</v>
      </c>
      <c r="Y33">
        <v>5</v>
      </c>
      <c r="Z33">
        <v>2</v>
      </c>
      <c r="AA33">
        <v>2.5</v>
      </c>
      <c r="AB33" t="s">
        <v>352</v>
      </c>
      <c r="AC33" t="b">
        <v>0</v>
      </c>
      <c r="AD33" t="s">
        <v>353</v>
      </c>
      <c r="AE33">
        <v>0.46739999999999998</v>
      </c>
      <c r="AF33" t="s">
        <v>354</v>
      </c>
      <c r="AG33">
        <v>0.32500000000000001</v>
      </c>
      <c r="AH33">
        <v>5.9299999999999999E-2</v>
      </c>
      <c r="AI33">
        <v>0.63500000000000001</v>
      </c>
      <c r="AJ33" t="s">
        <v>355</v>
      </c>
      <c r="AK33">
        <v>3.87</v>
      </c>
      <c r="AL33">
        <v>13</v>
      </c>
      <c r="AM33" t="s">
        <v>354</v>
      </c>
      <c r="AN33">
        <v>0</v>
      </c>
      <c r="AO33">
        <v>0</v>
      </c>
      <c r="AP33">
        <v>10</v>
      </c>
      <c r="AQ33">
        <v>10.38</v>
      </c>
      <c r="AR33">
        <v>10</v>
      </c>
      <c r="AS33">
        <v>0</v>
      </c>
      <c r="AT33" t="s">
        <v>357</v>
      </c>
      <c r="AU33">
        <v>17.8</v>
      </c>
      <c r="AV33">
        <v>13</v>
      </c>
      <c r="AW33" t="s">
        <v>354</v>
      </c>
      <c r="AX33">
        <v>7</v>
      </c>
      <c r="AY33">
        <v>7.27</v>
      </c>
      <c r="AZ33">
        <v>0</v>
      </c>
      <c r="BA33">
        <v>5</v>
      </c>
      <c r="BB33">
        <v>2</v>
      </c>
      <c r="BC33">
        <v>0</v>
      </c>
      <c r="BD33">
        <v>0</v>
      </c>
      <c r="BE33">
        <v>7</v>
      </c>
      <c r="BF33">
        <v>0</v>
      </c>
      <c r="BG33">
        <v>7</v>
      </c>
      <c r="BH33">
        <v>2</v>
      </c>
      <c r="BI33">
        <v>0</v>
      </c>
      <c r="BJ33" t="b">
        <v>0</v>
      </c>
      <c r="BK33" t="b">
        <v>0</v>
      </c>
      <c r="BL33">
        <v>3</v>
      </c>
      <c r="BM33">
        <v>3</v>
      </c>
      <c r="BN33">
        <v>2</v>
      </c>
      <c r="BO33">
        <v>1</v>
      </c>
      <c r="BP33">
        <v>0</v>
      </c>
      <c r="BQ33">
        <v>1</v>
      </c>
      <c r="BR33">
        <v>0</v>
      </c>
      <c r="BS33">
        <v>963</v>
      </c>
      <c r="BT33">
        <v>409</v>
      </c>
      <c r="BU33">
        <v>0.42470000000000002</v>
      </c>
      <c r="BV33">
        <v>3</v>
      </c>
      <c r="BW33">
        <v>1</v>
      </c>
      <c r="BX33">
        <v>321</v>
      </c>
      <c r="BZ33" t="s">
        <v>1201</v>
      </c>
      <c r="CA33" t="s">
        <v>1202</v>
      </c>
      <c r="CB33" t="s">
        <v>1203</v>
      </c>
      <c r="CC33" t="s">
        <v>1204</v>
      </c>
      <c r="CD33">
        <v>0</v>
      </c>
      <c r="CE33">
        <v>0</v>
      </c>
      <c r="CF33">
        <v>0</v>
      </c>
      <c r="CG33">
        <v>0</v>
      </c>
      <c r="CH33">
        <v>1</v>
      </c>
      <c r="CI33" t="s">
        <v>362</v>
      </c>
      <c r="CJ33">
        <v>2</v>
      </c>
      <c r="CK33">
        <v>2.0699999999999998</v>
      </c>
      <c r="CL33" t="s">
        <v>363</v>
      </c>
      <c r="CM33">
        <v>1</v>
      </c>
      <c r="CN33">
        <v>0</v>
      </c>
      <c r="CO33" t="b">
        <v>0</v>
      </c>
      <c r="CP33" t="b">
        <v>0</v>
      </c>
      <c r="CQ33" t="b">
        <v>1</v>
      </c>
      <c r="CR33" t="b">
        <v>1</v>
      </c>
      <c r="CS33" t="b">
        <v>1</v>
      </c>
      <c r="CT33" t="b">
        <v>0</v>
      </c>
      <c r="CU33" t="b">
        <v>0</v>
      </c>
      <c r="CV33">
        <v>0</v>
      </c>
      <c r="CW33">
        <v>0</v>
      </c>
      <c r="CX33">
        <v>0</v>
      </c>
      <c r="CY33">
        <v>0</v>
      </c>
      <c r="CZ33">
        <v>0</v>
      </c>
      <c r="DA33">
        <v>10</v>
      </c>
      <c r="DB33">
        <v>10.37</v>
      </c>
      <c r="DC33">
        <v>10</v>
      </c>
      <c r="DD33">
        <v>0</v>
      </c>
      <c r="DE33">
        <v>0</v>
      </c>
      <c r="DF33">
        <v>1</v>
      </c>
      <c r="DG33">
        <v>1.04</v>
      </c>
      <c r="DH33">
        <v>11</v>
      </c>
      <c r="DI33">
        <v>11.41</v>
      </c>
      <c r="DJ33">
        <v>0.09</v>
      </c>
      <c r="DK33">
        <v>1</v>
      </c>
      <c r="DL33">
        <v>3</v>
      </c>
      <c r="DM33">
        <v>1</v>
      </c>
      <c r="DN33">
        <v>0</v>
      </c>
      <c r="DO33">
        <v>20</v>
      </c>
      <c r="DP33">
        <v>1</v>
      </c>
      <c r="DQ33">
        <v>1.04</v>
      </c>
      <c r="DR33" t="s">
        <v>1205</v>
      </c>
      <c r="DS33" t="s">
        <v>1206</v>
      </c>
      <c r="DT33" t="s">
        <v>1207</v>
      </c>
      <c r="DU33" t="s">
        <v>1208</v>
      </c>
      <c r="DV33" t="s">
        <v>1205</v>
      </c>
      <c r="DW33">
        <v>2.14</v>
      </c>
      <c r="DX33">
        <v>0</v>
      </c>
      <c r="DY33">
        <v>2</v>
      </c>
      <c r="DZ33">
        <v>4.33</v>
      </c>
      <c r="EA33">
        <v>2</v>
      </c>
      <c r="EB33">
        <v>10.47</v>
      </c>
      <c r="EC33" t="s">
        <v>369</v>
      </c>
      <c r="ED33" t="s">
        <v>413</v>
      </c>
      <c r="EE33">
        <v>6.43</v>
      </c>
      <c r="EF33" t="s">
        <v>559</v>
      </c>
      <c r="EG33">
        <v>1.24</v>
      </c>
      <c r="EH33">
        <v>2.2799999999999998</v>
      </c>
      <c r="EI33">
        <v>0.54500000000000004</v>
      </c>
      <c r="EJ33" t="s">
        <v>370</v>
      </c>
      <c r="EK33">
        <v>7.26</v>
      </c>
      <c r="EL33" t="s">
        <v>371</v>
      </c>
      <c r="EM33" t="s">
        <v>1209</v>
      </c>
      <c r="EN33">
        <v>1.69</v>
      </c>
      <c r="EO33" t="s">
        <v>373</v>
      </c>
      <c r="EP33">
        <v>0</v>
      </c>
      <c r="EQ33">
        <v>0</v>
      </c>
      <c r="ER33">
        <v>49.1</v>
      </c>
      <c r="ES33" t="s">
        <v>374</v>
      </c>
      <c r="ET33">
        <v>0.69</v>
      </c>
      <c r="EU33">
        <v>1.38</v>
      </c>
      <c r="EV33">
        <v>4.5</v>
      </c>
      <c r="EW33">
        <v>2.42</v>
      </c>
      <c r="EX33">
        <v>0.69</v>
      </c>
      <c r="EY33">
        <v>0</v>
      </c>
      <c r="EZ33">
        <v>1.04</v>
      </c>
      <c r="FA33">
        <v>2.0699999999999998</v>
      </c>
      <c r="FB33">
        <v>2.0699999999999998</v>
      </c>
      <c r="FC33">
        <v>2.0699999999999998</v>
      </c>
      <c r="FD33" t="s">
        <v>375</v>
      </c>
      <c r="FE33">
        <v>39</v>
      </c>
      <c r="FF33" t="s">
        <v>1210</v>
      </c>
      <c r="FG33" t="s">
        <v>1211</v>
      </c>
      <c r="FI33" t="s">
        <v>1212</v>
      </c>
      <c r="FJ33" t="s">
        <v>1213</v>
      </c>
      <c r="FK33" t="s">
        <v>1214</v>
      </c>
      <c r="FL33" t="s">
        <v>1215</v>
      </c>
      <c r="FM33">
        <v>0</v>
      </c>
      <c r="FN33">
        <v>0.47410000000000002</v>
      </c>
      <c r="FO33">
        <v>0.77500000000000002</v>
      </c>
      <c r="FP33">
        <v>0.60050000000000003</v>
      </c>
      <c r="FQ33">
        <v>0.18920000000000001</v>
      </c>
      <c r="FR33">
        <v>0</v>
      </c>
      <c r="FS33">
        <v>1.35E-2</v>
      </c>
      <c r="FT33">
        <v>0</v>
      </c>
      <c r="FU33">
        <v>1.89E-2</v>
      </c>
      <c r="FV33">
        <v>0.2054</v>
      </c>
      <c r="FW33">
        <v>0.13109999999999999</v>
      </c>
      <c r="FX33">
        <v>0.48080000000000001</v>
      </c>
      <c r="FY33">
        <v>0.58479999999999999</v>
      </c>
      <c r="FZ33">
        <v>1.46E-2</v>
      </c>
      <c r="GA33">
        <v>74</v>
      </c>
      <c r="GB33">
        <v>1</v>
      </c>
      <c r="GC33">
        <v>1</v>
      </c>
      <c r="GD33">
        <v>44</v>
      </c>
      <c r="GE33">
        <v>1</v>
      </c>
      <c r="GF33">
        <v>30</v>
      </c>
      <c r="GG33">
        <v>1</v>
      </c>
      <c r="GH33">
        <v>0</v>
      </c>
      <c r="GI33">
        <v>0</v>
      </c>
      <c r="GJ33">
        <v>0</v>
      </c>
      <c r="GK33">
        <v>0.13109999999999999</v>
      </c>
      <c r="GL33">
        <v>0.13109999999999999</v>
      </c>
      <c r="GM33">
        <v>0.13109999999999999</v>
      </c>
      <c r="GN33">
        <v>0.65569999999999995</v>
      </c>
      <c r="GO33">
        <v>0.13109999999999999</v>
      </c>
      <c r="GP33">
        <v>1</v>
      </c>
      <c r="GQ33">
        <v>0.39340000000000003</v>
      </c>
      <c r="GR33">
        <v>0.13109999999999999</v>
      </c>
      <c r="GS33">
        <v>0.39340000000000003</v>
      </c>
      <c r="GT33">
        <v>0</v>
      </c>
      <c r="GU33">
        <v>0</v>
      </c>
      <c r="GV33">
        <v>0.13109999999999999</v>
      </c>
      <c r="GW33">
        <v>0</v>
      </c>
      <c r="GX33">
        <v>0</v>
      </c>
      <c r="GY33">
        <v>0</v>
      </c>
      <c r="GZ33">
        <v>0</v>
      </c>
      <c r="HA33">
        <v>0</v>
      </c>
      <c r="HB33">
        <v>0</v>
      </c>
      <c r="HC33" t="s">
        <v>383</v>
      </c>
      <c r="HD33">
        <v>0</v>
      </c>
      <c r="HE33">
        <v>0</v>
      </c>
      <c r="HF33">
        <v>0</v>
      </c>
      <c r="HG33">
        <v>0</v>
      </c>
      <c r="HH33">
        <v>0</v>
      </c>
      <c r="HI33" t="s">
        <v>383</v>
      </c>
      <c r="HJ33">
        <v>0</v>
      </c>
      <c r="HK33">
        <v>0</v>
      </c>
      <c r="HL33">
        <v>0</v>
      </c>
      <c r="HM33">
        <v>0</v>
      </c>
      <c r="HN33">
        <v>0</v>
      </c>
      <c r="HO33" t="s">
        <v>383</v>
      </c>
      <c r="HP33">
        <v>0</v>
      </c>
      <c r="HQ33">
        <v>0</v>
      </c>
      <c r="HR33">
        <v>0</v>
      </c>
      <c r="HS33">
        <v>0</v>
      </c>
      <c r="HT33">
        <v>0</v>
      </c>
      <c r="HU33" t="s">
        <v>383</v>
      </c>
      <c r="HV33">
        <v>0</v>
      </c>
      <c r="HW33">
        <v>0</v>
      </c>
      <c r="HX33">
        <v>0</v>
      </c>
      <c r="HY33">
        <v>0</v>
      </c>
      <c r="HZ33">
        <v>0</v>
      </c>
      <c r="IA33" t="s">
        <v>384</v>
      </c>
      <c r="IB33">
        <v>0</v>
      </c>
      <c r="IC33">
        <v>0</v>
      </c>
      <c r="ID33">
        <v>0</v>
      </c>
      <c r="IE33">
        <v>0</v>
      </c>
      <c r="IF33">
        <v>0</v>
      </c>
      <c r="IG33" t="s">
        <v>384</v>
      </c>
      <c r="IH33">
        <v>0</v>
      </c>
      <c r="II33">
        <v>0</v>
      </c>
      <c r="IJ33">
        <v>0</v>
      </c>
      <c r="IK33">
        <v>0</v>
      </c>
      <c r="IL33">
        <v>0</v>
      </c>
      <c r="IM33" t="s">
        <v>384</v>
      </c>
      <c r="IN33">
        <v>0</v>
      </c>
      <c r="IO33">
        <v>0</v>
      </c>
      <c r="IP33">
        <v>0</v>
      </c>
      <c r="IQ33">
        <v>0</v>
      </c>
      <c r="IR33">
        <v>0</v>
      </c>
      <c r="IS33" t="s">
        <v>384</v>
      </c>
      <c r="IT33">
        <v>0</v>
      </c>
      <c r="IU33">
        <v>0</v>
      </c>
      <c r="IV33">
        <v>0</v>
      </c>
      <c r="IW33">
        <v>0</v>
      </c>
      <c r="IX33">
        <v>0</v>
      </c>
      <c r="IY33">
        <v>0</v>
      </c>
      <c r="IZ33">
        <v>0</v>
      </c>
      <c r="JA33">
        <v>0</v>
      </c>
      <c r="JD33" t="s">
        <v>425</v>
      </c>
      <c r="JE33" t="s">
        <v>1216</v>
      </c>
      <c r="JF33" t="s">
        <v>1217</v>
      </c>
      <c r="JG33" t="s">
        <v>1218</v>
      </c>
      <c r="JH33" t="s">
        <v>1219</v>
      </c>
      <c r="JI33" t="s">
        <v>1220</v>
      </c>
      <c r="JJ33">
        <v>0.48330000000000001</v>
      </c>
      <c r="JK33">
        <v>0</v>
      </c>
      <c r="JL33" t="s">
        <v>391</v>
      </c>
      <c r="JM33">
        <v>0</v>
      </c>
      <c r="JN33">
        <v>0</v>
      </c>
      <c r="JO33">
        <v>0</v>
      </c>
      <c r="JP33">
        <v>0</v>
      </c>
      <c r="JQ33">
        <v>0</v>
      </c>
      <c r="JR33">
        <v>0</v>
      </c>
      <c r="JS33">
        <v>0</v>
      </c>
      <c r="JT33">
        <v>0</v>
      </c>
      <c r="JU33">
        <v>0</v>
      </c>
      <c r="JV33">
        <v>0</v>
      </c>
      <c r="JX33" t="s">
        <v>392</v>
      </c>
      <c r="JY33">
        <v>0</v>
      </c>
      <c r="JZ33">
        <v>0</v>
      </c>
      <c r="KA33">
        <v>1</v>
      </c>
      <c r="KB33">
        <v>0</v>
      </c>
      <c r="KC33">
        <v>0</v>
      </c>
      <c r="KD33">
        <v>1</v>
      </c>
      <c r="KE33">
        <v>0</v>
      </c>
      <c r="KF33">
        <v>0</v>
      </c>
      <c r="KG33">
        <v>1</v>
      </c>
      <c r="KH33">
        <v>0</v>
      </c>
      <c r="KI33">
        <v>0</v>
      </c>
      <c r="KJ33">
        <v>1</v>
      </c>
      <c r="KK33">
        <v>0</v>
      </c>
      <c r="KL33">
        <v>0</v>
      </c>
      <c r="KM33">
        <v>1</v>
      </c>
      <c r="KN33">
        <v>0</v>
      </c>
      <c r="KO33">
        <v>0</v>
      </c>
      <c r="KP33">
        <v>1</v>
      </c>
      <c r="KQ33">
        <v>0</v>
      </c>
      <c r="KR33">
        <v>0</v>
      </c>
      <c r="KS33">
        <v>1</v>
      </c>
      <c r="KT33">
        <v>0</v>
      </c>
      <c r="KU33">
        <v>0</v>
      </c>
      <c r="KV33">
        <v>1</v>
      </c>
      <c r="KW33">
        <v>0</v>
      </c>
      <c r="KX33">
        <v>0</v>
      </c>
      <c r="KY33">
        <v>1</v>
      </c>
      <c r="KZ33">
        <v>0</v>
      </c>
      <c r="LA33">
        <v>0</v>
      </c>
      <c r="LB33">
        <v>0</v>
      </c>
      <c r="LC33">
        <v>0</v>
      </c>
      <c r="LD33">
        <v>0</v>
      </c>
      <c r="LE33">
        <v>0</v>
      </c>
      <c r="LF33">
        <v>0</v>
      </c>
      <c r="LG33">
        <v>0</v>
      </c>
      <c r="LH33">
        <v>0</v>
      </c>
      <c r="LI33">
        <v>0</v>
      </c>
      <c r="LJ33">
        <v>0</v>
      </c>
      <c r="LK33">
        <v>0</v>
      </c>
      <c r="LN33" t="s">
        <v>393</v>
      </c>
      <c r="LO33" t="s">
        <v>394</v>
      </c>
      <c r="LP33" t="s">
        <v>395</v>
      </c>
      <c r="LQ33">
        <v>0.45019999999999999</v>
      </c>
      <c r="LR33">
        <v>13.6854</v>
      </c>
      <c r="LS33">
        <v>9.6769999999999996</v>
      </c>
      <c r="LT33">
        <v>924</v>
      </c>
      <c r="LU33">
        <v>416</v>
      </c>
      <c r="LV33">
        <v>58.450299999999999</v>
      </c>
      <c r="LW33">
        <v>0.85219999999999996</v>
      </c>
      <c r="LX33">
        <v>0.48370000000000002</v>
      </c>
      <c r="LY33">
        <v>0.48370000000000002</v>
      </c>
      <c r="LZ33">
        <v>0.48370000000000002</v>
      </c>
      <c r="MA33">
        <v>0</v>
      </c>
      <c r="MB33">
        <v>445</v>
      </c>
      <c r="MC33">
        <v>1</v>
      </c>
      <c r="MD33" t="s">
        <v>396</v>
      </c>
      <c r="ME33" t="s">
        <v>397</v>
      </c>
    </row>
    <row r="34" spans="1:343" ht="16.95" customHeight="1" x14ac:dyDescent="0.3">
      <c r="A34" t="s">
        <v>1221</v>
      </c>
      <c r="B34" t="s">
        <v>1222</v>
      </c>
      <c r="C34" t="s">
        <v>345</v>
      </c>
      <c r="D34" t="s">
        <v>346</v>
      </c>
      <c r="E34" t="s">
        <v>347</v>
      </c>
      <c r="F34" t="s">
        <v>1223</v>
      </c>
      <c r="G34" t="s">
        <v>1224</v>
      </c>
      <c r="H34" t="s">
        <v>1225</v>
      </c>
      <c r="I34" t="s">
        <v>351</v>
      </c>
      <c r="J34">
        <v>4120</v>
      </c>
      <c r="K34">
        <v>1417</v>
      </c>
      <c r="L34">
        <v>0.34389999999999998</v>
      </c>
      <c r="M34">
        <v>160</v>
      </c>
      <c r="N34">
        <v>3</v>
      </c>
      <c r="O34">
        <v>1</v>
      </c>
      <c r="P34">
        <v>25.8</v>
      </c>
      <c r="Q34">
        <v>53.3</v>
      </c>
      <c r="R34">
        <v>20.399999999999999</v>
      </c>
      <c r="S34">
        <v>9.3000000000000007</v>
      </c>
      <c r="T34">
        <v>10.4</v>
      </c>
      <c r="U34">
        <v>2.6</v>
      </c>
      <c r="V34">
        <v>9.1999999999999993</v>
      </c>
      <c r="W34">
        <v>25</v>
      </c>
      <c r="X34">
        <v>5.5</v>
      </c>
      <c r="Y34">
        <v>10</v>
      </c>
      <c r="Z34">
        <v>14</v>
      </c>
      <c r="AA34">
        <v>0.71</v>
      </c>
      <c r="AB34" t="s">
        <v>493</v>
      </c>
      <c r="AC34" t="b">
        <v>0</v>
      </c>
      <c r="AD34" t="s">
        <v>353</v>
      </c>
      <c r="AE34">
        <v>0.36940000000000001</v>
      </c>
      <c r="AF34" t="s">
        <v>356</v>
      </c>
      <c r="AG34">
        <v>0.27600000000000002</v>
      </c>
      <c r="AH34">
        <v>5.7599999999999998E-2</v>
      </c>
      <c r="AI34">
        <v>0.68230000000000002</v>
      </c>
      <c r="AJ34" t="s">
        <v>355</v>
      </c>
      <c r="AK34">
        <v>7.23</v>
      </c>
      <c r="AL34">
        <v>20</v>
      </c>
      <c r="AM34" t="s">
        <v>356</v>
      </c>
      <c r="AN34">
        <v>4</v>
      </c>
      <c r="AO34">
        <v>0.97</v>
      </c>
      <c r="AP34">
        <v>43</v>
      </c>
      <c r="AQ34">
        <v>10.44</v>
      </c>
      <c r="AR34">
        <v>10.75</v>
      </c>
      <c r="AS34">
        <v>5</v>
      </c>
      <c r="AT34" t="s">
        <v>357</v>
      </c>
      <c r="AU34">
        <v>40</v>
      </c>
      <c r="AV34">
        <v>64</v>
      </c>
      <c r="AW34" t="s">
        <v>356</v>
      </c>
      <c r="AX34">
        <v>17</v>
      </c>
      <c r="AY34">
        <v>4.13</v>
      </c>
      <c r="AZ34">
        <v>0</v>
      </c>
      <c r="BA34">
        <v>7</v>
      </c>
      <c r="BB34">
        <v>4</v>
      </c>
      <c r="BC34">
        <v>6</v>
      </c>
      <c r="BD34">
        <v>0</v>
      </c>
      <c r="BE34">
        <v>11</v>
      </c>
      <c r="BF34">
        <v>0</v>
      </c>
      <c r="BG34">
        <v>11</v>
      </c>
      <c r="BH34">
        <v>4</v>
      </c>
      <c r="BI34">
        <v>0.21</v>
      </c>
      <c r="BJ34" t="b">
        <v>0</v>
      </c>
      <c r="BK34" t="b">
        <v>0</v>
      </c>
      <c r="BL34">
        <v>3</v>
      </c>
      <c r="BM34">
        <v>3</v>
      </c>
      <c r="BN34">
        <v>2</v>
      </c>
      <c r="BO34">
        <v>1</v>
      </c>
      <c r="BP34">
        <v>0</v>
      </c>
      <c r="BQ34">
        <v>1</v>
      </c>
      <c r="BR34">
        <v>0</v>
      </c>
      <c r="BS34">
        <v>4120</v>
      </c>
      <c r="BT34">
        <v>1417</v>
      </c>
      <c r="BU34">
        <v>0.34389999999999998</v>
      </c>
      <c r="BV34">
        <v>3</v>
      </c>
      <c r="BW34">
        <v>1</v>
      </c>
      <c r="BX34">
        <v>1373.3</v>
      </c>
      <c r="BZ34" t="s">
        <v>1226</v>
      </c>
      <c r="CA34" t="s">
        <v>1227</v>
      </c>
      <c r="CB34" t="s">
        <v>1228</v>
      </c>
      <c r="CC34" t="s">
        <v>1229</v>
      </c>
      <c r="CD34">
        <v>0</v>
      </c>
      <c r="CE34">
        <v>0</v>
      </c>
      <c r="CF34">
        <v>0</v>
      </c>
      <c r="CG34">
        <v>0</v>
      </c>
      <c r="CH34">
        <v>3</v>
      </c>
      <c r="CI34" t="s">
        <v>1230</v>
      </c>
      <c r="CJ34">
        <v>5</v>
      </c>
      <c r="CK34">
        <v>1.21</v>
      </c>
      <c r="CL34" t="s">
        <v>1231</v>
      </c>
      <c r="CM34">
        <v>1</v>
      </c>
      <c r="CN34">
        <v>0</v>
      </c>
      <c r="CO34" t="b">
        <v>0</v>
      </c>
      <c r="CP34" t="b">
        <v>1</v>
      </c>
      <c r="CQ34" t="b">
        <v>1</v>
      </c>
      <c r="CR34" t="b">
        <v>1</v>
      </c>
      <c r="CS34" t="b">
        <v>1</v>
      </c>
      <c r="CT34" t="b">
        <v>1</v>
      </c>
      <c r="CU34" t="b">
        <v>1</v>
      </c>
      <c r="CV34">
        <v>0</v>
      </c>
      <c r="CW34">
        <v>0</v>
      </c>
      <c r="CX34">
        <v>0</v>
      </c>
      <c r="CY34">
        <v>3</v>
      </c>
      <c r="CZ34">
        <v>0.73</v>
      </c>
      <c r="DA34">
        <v>43</v>
      </c>
      <c r="DB34">
        <v>10.43</v>
      </c>
      <c r="DC34">
        <v>14.33</v>
      </c>
      <c r="DD34">
        <v>2</v>
      </c>
      <c r="DE34">
        <v>0.49</v>
      </c>
      <c r="DF34">
        <v>16</v>
      </c>
      <c r="DG34">
        <v>3.88</v>
      </c>
      <c r="DH34">
        <v>15</v>
      </c>
      <c r="DI34">
        <v>3.64</v>
      </c>
      <c r="DJ34">
        <v>1.07</v>
      </c>
      <c r="DK34">
        <v>1</v>
      </c>
      <c r="DL34">
        <v>0</v>
      </c>
      <c r="DM34">
        <v>3</v>
      </c>
      <c r="DN34">
        <v>2</v>
      </c>
      <c r="DO34">
        <v>274</v>
      </c>
      <c r="DP34">
        <v>2</v>
      </c>
      <c r="DQ34">
        <v>0.49</v>
      </c>
      <c r="DR34" t="s">
        <v>1232</v>
      </c>
      <c r="DS34" t="s">
        <v>1233</v>
      </c>
      <c r="DT34" t="s">
        <v>1234</v>
      </c>
      <c r="DU34" t="s">
        <v>1235</v>
      </c>
      <c r="DV34" t="s">
        <v>1236</v>
      </c>
      <c r="DW34">
        <v>4.29</v>
      </c>
      <c r="DX34">
        <v>0</v>
      </c>
      <c r="DY34">
        <v>2.5</v>
      </c>
      <c r="DZ34">
        <v>5</v>
      </c>
      <c r="EA34">
        <v>2.5</v>
      </c>
      <c r="EB34">
        <v>14.29</v>
      </c>
      <c r="EC34" t="s">
        <v>503</v>
      </c>
      <c r="ED34" t="s">
        <v>369</v>
      </c>
      <c r="EE34">
        <v>5.48</v>
      </c>
      <c r="EF34" t="s">
        <v>354</v>
      </c>
      <c r="EG34">
        <v>0.02</v>
      </c>
      <c r="EH34">
        <v>2.06</v>
      </c>
      <c r="EI34">
        <v>1.2E-2</v>
      </c>
      <c r="EJ34" t="s">
        <v>370</v>
      </c>
      <c r="EK34">
        <v>1.55</v>
      </c>
      <c r="EL34" t="s">
        <v>393</v>
      </c>
      <c r="EM34" t="s">
        <v>1237</v>
      </c>
      <c r="EN34">
        <v>1.84</v>
      </c>
      <c r="EO34" t="s">
        <v>373</v>
      </c>
      <c r="EP34">
        <v>0</v>
      </c>
      <c r="EQ34">
        <v>1</v>
      </c>
      <c r="ER34">
        <v>58.4</v>
      </c>
      <c r="ES34" t="s">
        <v>374</v>
      </c>
      <c r="ET34">
        <v>0.16</v>
      </c>
      <c r="EU34">
        <v>1.29</v>
      </c>
      <c r="EV34">
        <v>5.66</v>
      </c>
      <c r="EW34">
        <v>1.21</v>
      </c>
      <c r="EX34">
        <v>1.62</v>
      </c>
      <c r="EY34">
        <v>1.38</v>
      </c>
      <c r="EZ34">
        <v>2.4300000000000002</v>
      </c>
      <c r="FA34">
        <v>0.32</v>
      </c>
      <c r="FB34">
        <v>2.75</v>
      </c>
      <c r="FC34">
        <v>1.62</v>
      </c>
      <c r="FD34" t="s">
        <v>375</v>
      </c>
      <c r="FE34">
        <v>292</v>
      </c>
      <c r="FF34" t="s">
        <v>1238</v>
      </c>
      <c r="FG34" t="s">
        <v>1239</v>
      </c>
      <c r="FH34" t="s">
        <v>1240</v>
      </c>
      <c r="FI34" t="s">
        <v>1241</v>
      </c>
      <c r="FJ34" t="s">
        <v>1242</v>
      </c>
      <c r="FK34" t="s">
        <v>1243</v>
      </c>
      <c r="FL34" t="s">
        <v>1244</v>
      </c>
      <c r="FM34">
        <v>0</v>
      </c>
      <c r="FN34">
        <v>0.63670000000000004</v>
      </c>
      <c r="FO34">
        <v>0.77500000000000002</v>
      </c>
      <c r="FP34">
        <v>0.69479999999999997</v>
      </c>
      <c r="FQ34">
        <v>0.73650000000000004</v>
      </c>
      <c r="FR34">
        <v>6.0000000000000001E-3</v>
      </c>
      <c r="FS34">
        <v>1.2E-2</v>
      </c>
      <c r="FT34">
        <v>0</v>
      </c>
      <c r="FU34">
        <v>0</v>
      </c>
      <c r="FV34">
        <v>0.18679999999999999</v>
      </c>
      <c r="FW34">
        <v>0</v>
      </c>
      <c r="FX34">
        <v>4.1000000000000002E-2</v>
      </c>
      <c r="FY34">
        <v>0.26140000000000002</v>
      </c>
      <c r="FZ34">
        <v>3.3999999999999998E-3</v>
      </c>
      <c r="GA34">
        <v>167</v>
      </c>
      <c r="GB34">
        <v>1</v>
      </c>
      <c r="GC34">
        <v>1</v>
      </c>
      <c r="GD34">
        <v>95</v>
      </c>
      <c r="GE34">
        <v>4</v>
      </c>
      <c r="GF34">
        <v>21</v>
      </c>
      <c r="GG34">
        <v>0</v>
      </c>
      <c r="GH34">
        <v>0</v>
      </c>
      <c r="GI34">
        <v>0</v>
      </c>
      <c r="GJ34">
        <v>1</v>
      </c>
      <c r="GK34">
        <v>0</v>
      </c>
      <c r="GL34">
        <v>0</v>
      </c>
      <c r="GM34">
        <v>0</v>
      </c>
      <c r="GN34">
        <v>0</v>
      </c>
      <c r="GO34">
        <v>0</v>
      </c>
      <c r="GP34">
        <v>0</v>
      </c>
      <c r="GQ34">
        <v>0</v>
      </c>
      <c r="GR34">
        <v>0</v>
      </c>
      <c r="GS34">
        <v>0.1229</v>
      </c>
      <c r="GT34">
        <v>0</v>
      </c>
      <c r="GU34">
        <v>0</v>
      </c>
      <c r="GV34">
        <v>0</v>
      </c>
      <c r="GW34">
        <v>0</v>
      </c>
      <c r="GX34">
        <v>3.0700000000000002E-2</v>
      </c>
      <c r="GY34">
        <v>0</v>
      </c>
      <c r="GZ34">
        <v>0</v>
      </c>
      <c r="HA34">
        <v>0</v>
      </c>
      <c r="HB34">
        <v>0</v>
      </c>
      <c r="HC34" t="s">
        <v>383</v>
      </c>
      <c r="HD34">
        <v>0</v>
      </c>
      <c r="HE34">
        <v>0</v>
      </c>
      <c r="HF34">
        <v>0</v>
      </c>
      <c r="HG34">
        <v>0</v>
      </c>
      <c r="HH34">
        <v>0</v>
      </c>
      <c r="HI34" t="s">
        <v>383</v>
      </c>
      <c r="HJ34">
        <v>0</v>
      </c>
      <c r="HK34">
        <v>0</v>
      </c>
      <c r="HL34">
        <v>0</v>
      </c>
      <c r="HM34">
        <v>0</v>
      </c>
      <c r="HN34">
        <v>0</v>
      </c>
      <c r="HO34" t="s">
        <v>383</v>
      </c>
      <c r="HP34">
        <v>0</v>
      </c>
      <c r="HQ34">
        <v>0</v>
      </c>
      <c r="HR34">
        <v>0</v>
      </c>
      <c r="HS34">
        <v>0</v>
      </c>
      <c r="HT34">
        <v>0</v>
      </c>
      <c r="HU34" t="s">
        <v>383</v>
      </c>
      <c r="HV34">
        <v>0</v>
      </c>
      <c r="HW34">
        <v>0</v>
      </c>
      <c r="HX34">
        <v>0</v>
      </c>
      <c r="HY34">
        <v>0</v>
      </c>
      <c r="HZ34">
        <v>0</v>
      </c>
      <c r="IA34" t="s">
        <v>384</v>
      </c>
      <c r="IB34">
        <v>0</v>
      </c>
      <c r="IC34">
        <v>0</v>
      </c>
      <c r="ID34">
        <v>0</v>
      </c>
      <c r="IE34">
        <v>0</v>
      </c>
      <c r="IF34">
        <v>0</v>
      </c>
      <c r="IG34" t="s">
        <v>384</v>
      </c>
      <c r="IH34">
        <v>0</v>
      </c>
      <c r="II34">
        <v>0</v>
      </c>
      <c r="IJ34">
        <v>0</v>
      </c>
      <c r="IK34">
        <v>0</v>
      </c>
      <c r="IL34">
        <v>0</v>
      </c>
      <c r="IM34" t="s">
        <v>384</v>
      </c>
      <c r="IN34">
        <v>0</v>
      </c>
      <c r="IO34">
        <v>0</v>
      </c>
      <c r="IP34">
        <v>0</v>
      </c>
      <c r="IQ34">
        <v>0</v>
      </c>
      <c r="IR34">
        <v>0</v>
      </c>
      <c r="IS34" t="s">
        <v>384</v>
      </c>
      <c r="IT34">
        <v>0</v>
      </c>
      <c r="IU34">
        <v>0</v>
      </c>
      <c r="IV34">
        <v>0</v>
      </c>
      <c r="IW34">
        <v>0</v>
      </c>
      <c r="IX34">
        <v>0</v>
      </c>
      <c r="IY34">
        <v>0</v>
      </c>
      <c r="IZ34">
        <v>0</v>
      </c>
      <c r="JA34">
        <v>0</v>
      </c>
      <c r="JD34" t="s">
        <v>620</v>
      </c>
      <c r="JE34" t="s">
        <v>386</v>
      </c>
      <c r="JF34" t="s">
        <v>1245</v>
      </c>
      <c r="JG34" t="s">
        <v>1246</v>
      </c>
      <c r="JH34" t="s">
        <v>1247</v>
      </c>
      <c r="JI34" t="s">
        <v>1248</v>
      </c>
      <c r="JJ34">
        <v>0.5333</v>
      </c>
      <c r="JK34">
        <v>0</v>
      </c>
      <c r="JL34" t="s">
        <v>391</v>
      </c>
      <c r="JM34">
        <v>0</v>
      </c>
      <c r="JN34">
        <v>0</v>
      </c>
      <c r="JO34">
        <v>0</v>
      </c>
      <c r="JP34">
        <v>0</v>
      </c>
      <c r="JQ34">
        <v>0</v>
      </c>
      <c r="JR34">
        <v>0</v>
      </c>
      <c r="JS34">
        <v>0</v>
      </c>
      <c r="JT34">
        <v>0</v>
      </c>
      <c r="JU34">
        <v>0</v>
      </c>
      <c r="JV34">
        <v>0</v>
      </c>
      <c r="JX34" t="s">
        <v>392</v>
      </c>
      <c r="JY34">
        <v>0</v>
      </c>
      <c r="JZ34">
        <v>0</v>
      </c>
      <c r="KA34">
        <v>1</v>
      </c>
      <c r="KB34">
        <v>0</v>
      </c>
      <c r="KC34">
        <v>0</v>
      </c>
      <c r="KD34">
        <v>1</v>
      </c>
      <c r="KE34">
        <v>0</v>
      </c>
      <c r="KF34">
        <v>0</v>
      </c>
      <c r="KG34">
        <v>1</v>
      </c>
      <c r="KH34">
        <v>0</v>
      </c>
      <c r="KI34">
        <v>0</v>
      </c>
      <c r="KJ34">
        <v>1</v>
      </c>
      <c r="KK34">
        <v>0</v>
      </c>
      <c r="KL34">
        <v>0</v>
      </c>
      <c r="KM34">
        <v>1</v>
      </c>
      <c r="KN34">
        <v>0</v>
      </c>
      <c r="KO34">
        <v>0</v>
      </c>
      <c r="KP34">
        <v>1</v>
      </c>
      <c r="KQ34">
        <v>0</v>
      </c>
      <c r="KR34">
        <v>0</v>
      </c>
      <c r="KS34">
        <v>1</v>
      </c>
      <c r="KT34">
        <v>0</v>
      </c>
      <c r="KU34">
        <v>0</v>
      </c>
      <c r="KV34">
        <v>1</v>
      </c>
      <c r="KW34">
        <v>0</v>
      </c>
      <c r="KX34">
        <v>0</v>
      </c>
      <c r="KY34">
        <v>1</v>
      </c>
      <c r="KZ34">
        <v>0</v>
      </c>
      <c r="LA34">
        <v>0</v>
      </c>
      <c r="LB34">
        <v>0</v>
      </c>
      <c r="LC34">
        <v>0</v>
      </c>
      <c r="LD34">
        <v>0</v>
      </c>
      <c r="LE34">
        <v>0</v>
      </c>
      <c r="LF34">
        <v>0</v>
      </c>
      <c r="LG34">
        <v>0</v>
      </c>
      <c r="LH34">
        <v>0</v>
      </c>
      <c r="LI34">
        <v>0</v>
      </c>
      <c r="LJ34">
        <v>0</v>
      </c>
      <c r="LK34">
        <v>0</v>
      </c>
      <c r="LN34" t="s">
        <v>393</v>
      </c>
      <c r="LO34" t="s">
        <v>394</v>
      </c>
      <c r="LP34" t="s">
        <v>395</v>
      </c>
      <c r="LQ34">
        <v>0.31180000000000002</v>
      </c>
      <c r="LR34">
        <v>19.79</v>
      </c>
      <c r="LS34">
        <v>13.993600000000001</v>
      </c>
      <c r="LT34">
        <v>4028</v>
      </c>
      <c r="LU34">
        <v>1256</v>
      </c>
      <c r="LV34">
        <v>100.9524</v>
      </c>
      <c r="LW34">
        <v>0.89100000000000001</v>
      </c>
      <c r="LX34">
        <v>0.6542</v>
      </c>
      <c r="LY34">
        <v>0.6542</v>
      </c>
      <c r="LZ34">
        <v>0.6542</v>
      </c>
      <c r="MA34">
        <v>0</v>
      </c>
      <c r="MB34">
        <v>2632</v>
      </c>
      <c r="MC34">
        <v>1</v>
      </c>
      <c r="MD34" t="s">
        <v>396</v>
      </c>
      <c r="ME34" t="s">
        <v>517</v>
      </c>
    </row>
    <row r="35" spans="1:343" ht="16.95" customHeight="1" x14ac:dyDescent="0.3">
      <c r="A35" t="s">
        <v>1249</v>
      </c>
      <c r="B35" t="s">
        <v>1250</v>
      </c>
      <c r="C35" t="s">
        <v>345</v>
      </c>
      <c r="D35" t="s">
        <v>346</v>
      </c>
      <c r="E35" t="s">
        <v>347</v>
      </c>
      <c r="F35" t="s">
        <v>1251</v>
      </c>
      <c r="G35" t="s">
        <v>1252</v>
      </c>
      <c r="H35" t="s">
        <v>1253</v>
      </c>
      <c r="I35" t="s">
        <v>351</v>
      </c>
      <c r="J35">
        <v>2055</v>
      </c>
      <c r="K35">
        <v>969</v>
      </c>
      <c r="L35">
        <v>0.47149999999999997</v>
      </c>
      <c r="M35">
        <v>61</v>
      </c>
      <c r="N35">
        <v>3</v>
      </c>
      <c r="O35">
        <v>1</v>
      </c>
      <c r="P35">
        <v>33.700000000000003</v>
      </c>
      <c r="Q35">
        <v>20.3</v>
      </c>
      <c r="R35">
        <v>20</v>
      </c>
      <c r="S35">
        <v>7.2</v>
      </c>
      <c r="T35">
        <v>9.6999999999999993</v>
      </c>
      <c r="U35">
        <v>2.2000000000000002</v>
      </c>
      <c r="V35">
        <v>8.4</v>
      </c>
      <c r="W35">
        <v>10</v>
      </c>
      <c r="X35">
        <v>5.4</v>
      </c>
      <c r="Y35">
        <v>2</v>
      </c>
      <c r="Z35">
        <v>5</v>
      </c>
      <c r="AA35">
        <v>0.4</v>
      </c>
      <c r="AB35" t="s">
        <v>352</v>
      </c>
      <c r="AC35" t="b">
        <v>0</v>
      </c>
      <c r="AD35" t="s">
        <v>353</v>
      </c>
      <c r="AE35">
        <v>0.42680000000000001</v>
      </c>
      <c r="AF35" t="s">
        <v>354</v>
      </c>
      <c r="AG35">
        <v>0.2389</v>
      </c>
      <c r="AH35">
        <v>2.1399999999999999E-2</v>
      </c>
      <c r="AI35">
        <v>0.74480000000000002</v>
      </c>
      <c r="AJ35" t="s">
        <v>355</v>
      </c>
      <c r="AK35">
        <v>5.77</v>
      </c>
      <c r="AL35">
        <v>20</v>
      </c>
      <c r="AM35" t="s">
        <v>356</v>
      </c>
      <c r="AN35">
        <v>1</v>
      </c>
      <c r="AO35">
        <v>0.49</v>
      </c>
      <c r="AP35">
        <v>48</v>
      </c>
      <c r="AQ35">
        <v>23.36</v>
      </c>
      <c r="AR35">
        <v>48</v>
      </c>
      <c r="AS35">
        <v>2</v>
      </c>
      <c r="AT35" t="s">
        <v>357</v>
      </c>
      <c r="AU35">
        <v>52.5</v>
      </c>
      <c r="AV35">
        <v>32</v>
      </c>
      <c r="AW35" t="s">
        <v>356</v>
      </c>
      <c r="AX35">
        <v>33</v>
      </c>
      <c r="AY35">
        <v>16.059999999999999</v>
      </c>
      <c r="AZ35">
        <v>26</v>
      </c>
      <c r="BA35">
        <v>4</v>
      </c>
      <c r="BB35">
        <v>2</v>
      </c>
      <c r="BC35">
        <v>1</v>
      </c>
      <c r="BD35">
        <v>0</v>
      </c>
      <c r="BE35">
        <v>6</v>
      </c>
      <c r="BF35">
        <v>26</v>
      </c>
      <c r="BG35">
        <v>0.23</v>
      </c>
      <c r="BH35">
        <v>3</v>
      </c>
      <c r="BI35">
        <v>0.08</v>
      </c>
      <c r="BJ35" t="b">
        <v>0</v>
      </c>
      <c r="BK35" t="b">
        <v>0</v>
      </c>
      <c r="BL35">
        <v>3</v>
      </c>
      <c r="BM35">
        <v>3</v>
      </c>
      <c r="BN35">
        <v>2</v>
      </c>
      <c r="BO35">
        <v>1</v>
      </c>
      <c r="BP35">
        <v>0</v>
      </c>
      <c r="BQ35">
        <v>1</v>
      </c>
      <c r="BR35">
        <v>0</v>
      </c>
      <c r="BS35">
        <v>2055</v>
      </c>
      <c r="BT35">
        <v>969</v>
      </c>
      <c r="BU35">
        <v>0.47149999999999997</v>
      </c>
      <c r="BV35">
        <v>3</v>
      </c>
      <c r="BW35">
        <v>1</v>
      </c>
      <c r="BX35">
        <v>685</v>
      </c>
      <c r="BZ35" t="s">
        <v>1254</v>
      </c>
      <c r="CA35" t="s">
        <v>1255</v>
      </c>
      <c r="CB35" t="s">
        <v>1256</v>
      </c>
      <c r="CC35" t="s">
        <v>1257</v>
      </c>
      <c r="CD35">
        <v>26</v>
      </c>
      <c r="CE35">
        <v>0</v>
      </c>
      <c r="CF35">
        <v>26</v>
      </c>
      <c r="CG35">
        <v>12.65</v>
      </c>
      <c r="CH35">
        <v>3</v>
      </c>
      <c r="CI35" t="s">
        <v>1230</v>
      </c>
      <c r="CJ35">
        <v>3</v>
      </c>
      <c r="CK35">
        <v>1.46</v>
      </c>
      <c r="CL35" t="s">
        <v>1152</v>
      </c>
      <c r="CM35">
        <v>1</v>
      </c>
      <c r="CN35">
        <v>0</v>
      </c>
      <c r="CO35" t="b">
        <v>0</v>
      </c>
      <c r="CP35" t="b">
        <v>0</v>
      </c>
      <c r="CQ35" t="b">
        <v>1</v>
      </c>
      <c r="CR35" t="b">
        <v>1</v>
      </c>
      <c r="CS35" t="b">
        <v>1</v>
      </c>
      <c r="CT35" t="b">
        <v>1</v>
      </c>
      <c r="CU35" t="b">
        <v>1</v>
      </c>
      <c r="CV35">
        <v>0</v>
      </c>
      <c r="CW35">
        <v>0</v>
      </c>
      <c r="CX35">
        <v>0</v>
      </c>
      <c r="CY35">
        <v>1</v>
      </c>
      <c r="CZ35">
        <v>0.49</v>
      </c>
      <c r="DA35">
        <v>48</v>
      </c>
      <c r="DB35">
        <v>23.35</v>
      </c>
      <c r="DC35">
        <v>48</v>
      </c>
      <c r="DD35">
        <v>0</v>
      </c>
      <c r="DE35">
        <v>0</v>
      </c>
      <c r="DF35">
        <v>6</v>
      </c>
      <c r="DG35">
        <v>2.92</v>
      </c>
      <c r="DH35">
        <v>6</v>
      </c>
      <c r="DI35">
        <v>2.92</v>
      </c>
      <c r="DJ35">
        <v>1</v>
      </c>
      <c r="DK35">
        <v>0</v>
      </c>
      <c r="DL35">
        <v>0</v>
      </c>
      <c r="DM35">
        <v>1</v>
      </c>
      <c r="DN35">
        <v>2</v>
      </c>
      <c r="DO35">
        <v>160</v>
      </c>
      <c r="DP35">
        <v>0</v>
      </c>
      <c r="DQ35">
        <v>0</v>
      </c>
      <c r="DR35" t="s">
        <v>1258</v>
      </c>
      <c r="DS35" t="s">
        <v>1259</v>
      </c>
      <c r="DT35" t="s">
        <v>1260</v>
      </c>
      <c r="DU35" t="s">
        <v>1261</v>
      </c>
      <c r="DV35" t="s">
        <v>1262</v>
      </c>
      <c r="DW35">
        <v>3.57</v>
      </c>
      <c r="DX35">
        <v>5</v>
      </c>
      <c r="DY35">
        <v>2.17</v>
      </c>
      <c r="DZ35">
        <v>5</v>
      </c>
      <c r="EA35">
        <v>0</v>
      </c>
      <c r="EB35">
        <v>15.74</v>
      </c>
      <c r="EC35" t="s">
        <v>503</v>
      </c>
      <c r="ED35" t="s">
        <v>825</v>
      </c>
      <c r="EE35">
        <v>5.5</v>
      </c>
      <c r="EF35" t="s">
        <v>354</v>
      </c>
      <c r="EG35">
        <v>0.05</v>
      </c>
      <c r="EH35">
        <v>2.29</v>
      </c>
      <c r="EI35">
        <v>2.1000000000000001E-2</v>
      </c>
      <c r="EJ35" t="s">
        <v>370</v>
      </c>
      <c r="EK35">
        <v>1.26</v>
      </c>
      <c r="EL35" t="s">
        <v>393</v>
      </c>
      <c r="EM35" t="s">
        <v>1263</v>
      </c>
      <c r="EN35">
        <v>1.96</v>
      </c>
      <c r="EO35" t="s">
        <v>373</v>
      </c>
      <c r="EP35">
        <v>0</v>
      </c>
      <c r="EQ35">
        <v>2</v>
      </c>
      <c r="ER35">
        <v>100</v>
      </c>
      <c r="ES35" t="s">
        <v>669</v>
      </c>
      <c r="ET35">
        <v>0.32</v>
      </c>
      <c r="EU35">
        <v>1.46</v>
      </c>
      <c r="EV35">
        <v>6</v>
      </c>
      <c r="EW35">
        <v>1.3</v>
      </c>
      <c r="EX35">
        <v>1.62</v>
      </c>
      <c r="EY35">
        <v>1.3</v>
      </c>
      <c r="EZ35">
        <v>2.4300000000000002</v>
      </c>
      <c r="FA35">
        <v>0.32</v>
      </c>
      <c r="FB35">
        <v>3.4</v>
      </c>
      <c r="FC35">
        <v>1.46</v>
      </c>
      <c r="FD35" t="s">
        <v>375</v>
      </c>
      <c r="FE35">
        <v>181</v>
      </c>
      <c r="FF35" t="s">
        <v>1264</v>
      </c>
      <c r="FG35" t="s">
        <v>1265</v>
      </c>
      <c r="FH35" t="s">
        <v>1266</v>
      </c>
      <c r="FI35" t="s">
        <v>1267</v>
      </c>
      <c r="FJ35" t="s">
        <v>1268</v>
      </c>
      <c r="FK35" t="s">
        <v>1269</v>
      </c>
      <c r="FL35" t="s">
        <v>1270</v>
      </c>
      <c r="FM35">
        <v>0</v>
      </c>
      <c r="FN35">
        <v>0.61029999999999995</v>
      </c>
      <c r="FO35">
        <v>0.77500000000000002</v>
      </c>
      <c r="FP35">
        <v>0.67949999999999999</v>
      </c>
      <c r="FQ35">
        <v>0.54100000000000004</v>
      </c>
      <c r="FR35">
        <v>1.6400000000000001E-2</v>
      </c>
      <c r="FS35">
        <v>1.6400000000000001E-2</v>
      </c>
      <c r="FT35">
        <v>0</v>
      </c>
      <c r="FU35">
        <v>0</v>
      </c>
      <c r="FV35">
        <v>0.25900000000000001</v>
      </c>
      <c r="FW35">
        <v>0</v>
      </c>
      <c r="FX35">
        <v>0</v>
      </c>
      <c r="FY35">
        <v>0.2455</v>
      </c>
      <c r="FZ35">
        <v>7.0000000000000001E-3</v>
      </c>
      <c r="GA35">
        <v>61</v>
      </c>
      <c r="GB35">
        <v>1</v>
      </c>
      <c r="GC35">
        <v>1</v>
      </c>
      <c r="GD35">
        <v>53</v>
      </c>
      <c r="GE35">
        <v>1</v>
      </c>
      <c r="GF35">
        <v>23</v>
      </c>
      <c r="GG35">
        <v>0</v>
      </c>
      <c r="GH35">
        <v>0</v>
      </c>
      <c r="GI35">
        <v>0</v>
      </c>
      <c r="GJ35">
        <v>0</v>
      </c>
      <c r="GK35">
        <v>0</v>
      </c>
      <c r="GL35">
        <v>0</v>
      </c>
      <c r="GM35">
        <v>0</v>
      </c>
      <c r="GN35">
        <v>0</v>
      </c>
      <c r="GO35">
        <v>0</v>
      </c>
      <c r="GP35">
        <v>0</v>
      </c>
      <c r="GQ35">
        <v>0</v>
      </c>
      <c r="GR35">
        <v>0</v>
      </c>
      <c r="GS35">
        <v>0</v>
      </c>
      <c r="GT35">
        <v>0</v>
      </c>
      <c r="GU35">
        <v>0</v>
      </c>
      <c r="GV35">
        <v>0</v>
      </c>
      <c r="GW35">
        <v>0</v>
      </c>
      <c r="GX35">
        <v>6.2899999999999998E-2</v>
      </c>
      <c r="GY35">
        <v>0</v>
      </c>
      <c r="GZ35">
        <v>0</v>
      </c>
      <c r="HA35">
        <v>0</v>
      </c>
      <c r="HB35">
        <v>0</v>
      </c>
      <c r="HC35" t="s">
        <v>383</v>
      </c>
      <c r="HD35">
        <v>0</v>
      </c>
      <c r="HE35">
        <v>0</v>
      </c>
      <c r="HF35">
        <v>0</v>
      </c>
      <c r="HG35">
        <v>0</v>
      </c>
      <c r="HH35">
        <v>0</v>
      </c>
      <c r="HI35" t="s">
        <v>383</v>
      </c>
      <c r="HJ35">
        <v>0</v>
      </c>
      <c r="HK35">
        <v>0</v>
      </c>
      <c r="HL35">
        <v>0</v>
      </c>
      <c r="HM35">
        <v>0</v>
      </c>
      <c r="HN35">
        <v>0</v>
      </c>
      <c r="HO35" t="s">
        <v>383</v>
      </c>
      <c r="HP35">
        <v>0</v>
      </c>
      <c r="HQ35">
        <v>0</v>
      </c>
      <c r="HR35">
        <v>0</v>
      </c>
      <c r="HS35">
        <v>0</v>
      </c>
      <c r="HT35">
        <v>0</v>
      </c>
      <c r="HU35" t="s">
        <v>383</v>
      </c>
      <c r="HV35">
        <v>0</v>
      </c>
      <c r="HW35">
        <v>0</v>
      </c>
      <c r="HX35">
        <v>0</v>
      </c>
      <c r="HY35">
        <v>0</v>
      </c>
      <c r="HZ35">
        <v>0</v>
      </c>
      <c r="IA35" t="s">
        <v>384</v>
      </c>
      <c r="IB35">
        <v>0</v>
      </c>
      <c r="IC35">
        <v>0</v>
      </c>
      <c r="ID35">
        <v>0</v>
      </c>
      <c r="IE35">
        <v>0</v>
      </c>
      <c r="IF35">
        <v>0</v>
      </c>
      <c r="IG35" t="s">
        <v>384</v>
      </c>
      <c r="IH35">
        <v>0</v>
      </c>
      <c r="II35">
        <v>0</v>
      </c>
      <c r="IJ35">
        <v>0</v>
      </c>
      <c r="IK35">
        <v>0</v>
      </c>
      <c r="IL35">
        <v>0</v>
      </c>
      <c r="IM35" t="s">
        <v>384</v>
      </c>
      <c r="IN35">
        <v>0</v>
      </c>
      <c r="IO35">
        <v>0</v>
      </c>
      <c r="IP35">
        <v>0</v>
      </c>
      <c r="IQ35">
        <v>0</v>
      </c>
      <c r="IR35">
        <v>0</v>
      </c>
      <c r="IS35" t="s">
        <v>384</v>
      </c>
      <c r="IT35">
        <v>0</v>
      </c>
      <c r="IU35">
        <v>0</v>
      </c>
      <c r="IV35">
        <v>0</v>
      </c>
      <c r="IW35">
        <v>0</v>
      </c>
      <c r="IX35">
        <v>0</v>
      </c>
      <c r="IY35">
        <v>0</v>
      </c>
      <c r="IZ35">
        <v>0</v>
      </c>
      <c r="JA35">
        <v>0</v>
      </c>
      <c r="JD35" t="s">
        <v>483</v>
      </c>
      <c r="JE35" t="s">
        <v>386</v>
      </c>
      <c r="JF35" t="s">
        <v>1271</v>
      </c>
      <c r="JG35" t="s">
        <v>1272</v>
      </c>
      <c r="JH35" t="s">
        <v>1273</v>
      </c>
      <c r="JI35" t="s">
        <v>1274</v>
      </c>
      <c r="JJ35">
        <v>0.5333</v>
      </c>
      <c r="JK35">
        <v>0</v>
      </c>
      <c r="JL35" t="s">
        <v>391</v>
      </c>
      <c r="JM35">
        <v>0</v>
      </c>
      <c r="JN35">
        <v>0</v>
      </c>
      <c r="JO35">
        <v>0</v>
      </c>
      <c r="JP35">
        <v>0</v>
      </c>
      <c r="JQ35">
        <v>0</v>
      </c>
      <c r="JR35">
        <v>0</v>
      </c>
      <c r="JS35">
        <v>0</v>
      </c>
      <c r="JT35">
        <v>0</v>
      </c>
      <c r="JU35">
        <v>0</v>
      </c>
      <c r="JV35">
        <v>0</v>
      </c>
      <c r="JX35" t="s">
        <v>392</v>
      </c>
      <c r="JY35">
        <v>0</v>
      </c>
      <c r="JZ35">
        <v>0</v>
      </c>
      <c r="KA35">
        <v>1</v>
      </c>
      <c r="KB35">
        <v>0</v>
      </c>
      <c r="KC35">
        <v>0</v>
      </c>
      <c r="KD35">
        <v>1</v>
      </c>
      <c r="KE35">
        <v>0</v>
      </c>
      <c r="KF35">
        <v>0</v>
      </c>
      <c r="KG35">
        <v>1</v>
      </c>
      <c r="KH35">
        <v>0</v>
      </c>
      <c r="KI35">
        <v>0</v>
      </c>
      <c r="KJ35">
        <v>1</v>
      </c>
      <c r="KK35">
        <v>0</v>
      </c>
      <c r="KL35">
        <v>0</v>
      </c>
      <c r="KM35">
        <v>1</v>
      </c>
      <c r="KN35">
        <v>0</v>
      </c>
      <c r="KO35">
        <v>0</v>
      </c>
      <c r="KP35">
        <v>1</v>
      </c>
      <c r="KQ35">
        <v>0</v>
      </c>
      <c r="KR35">
        <v>0</v>
      </c>
      <c r="KS35">
        <v>1</v>
      </c>
      <c r="KT35">
        <v>0</v>
      </c>
      <c r="KU35">
        <v>0</v>
      </c>
      <c r="KV35">
        <v>1</v>
      </c>
      <c r="KW35">
        <v>0</v>
      </c>
      <c r="KX35">
        <v>0</v>
      </c>
      <c r="KY35">
        <v>1</v>
      </c>
      <c r="KZ35">
        <v>0</v>
      </c>
      <c r="LA35">
        <v>0</v>
      </c>
      <c r="LB35">
        <v>0</v>
      </c>
      <c r="LC35">
        <v>0</v>
      </c>
      <c r="LD35">
        <v>0</v>
      </c>
      <c r="LE35">
        <v>0</v>
      </c>
      <c r="LF35">
        <v>0</v>
      </c>
      <c r="LG35">
        <v>0</v>
      </c>
      <c r="LH35">
        <v>0</v>
      </c>
      <c r="LI35">
        <v>0</v>
      </c>
      <c r="LJ35">
        <v>0</v>
      </c>
      <c r="LK35">
        <v>0</v>
      </c>
      <c r="LN35" t="s">
        <v>393</v>
      </c>
      <c r="LO35" t="s">
        <v>394</v>
      </c>
      <c r="LP35" t="s">
        <v>395</v>
      </c>
      <c r="LQ35">
        <v>0.42930000000000001</v>
      </c>
      <c r="LR35">
        <v>19.1023</v>
      </c>
      <c r="LS35">
        <v>13.507400000000001</v>
      </c>
      <c r="LT35">
        <v>1980</v>
      </c>
      <c r="LU35">
        <v>850</v>
      </c>
      <c r="LV35">
        <v>128.47970000000001</v>
      </c>
      <c r="LW35">
        <v>0.9032</v>
      </c>
      <c r="LX35">
        <v>0.61970000000000003</v>
      </c>
      <c r="LY35">
        <v>0.61970000000000003</v>
      </c>
      <c r="LZ35">
        <v>0.61970000000000003</v>
      </c>
      <c r="MA35">
        <v>0</v>
      </c>
      <c r="MB35">
        <v>1227</v>
      </c>
      <c r="MC35">
        <v>1</v>
      </c>
      <c r="MD35" t="s">
        <v>396</v>
      </c>
      <c r="ME35" t="s">
        <v>517</v>
      </c>
    </row>
    <row r="36" spans="1:343" ht="16.95" customHeight="1" x14ac:dyDescent="0.3">
      <c r="A36" t="s">
        <v>1275</v>
      </c>
      <c r="B36" t="s">
        <v>1276</v>
      </c>
      <c r="C36" t="s">
        <v>345</v>
      </c>
      <c r="D36" t="s">
        <v>346</v>
      </c>
      <c r="E36" t="s">
        <v>347</v>
      </c>
      <c r="F36" t="s">
        <v>1277</v>
      </c>
      <c r="G36" t="s">
        <v>1278</v>
      </c>
      <c r="H36" t="s">
        <v>1279</v>
      </c>
      <c r="I36" t="s">
        <v>351</v>
      </c>
      <c r="J36">
        <v>3733</v>
      </c>
      <c r="K36">
        <v>1364</v>
      </c>
      <c r="L36">
        <v>0.3654</v>
      </c>
      <c r="M36">
        <v>152</v>
      </c>
      <c r="N36">
        <v>3</v>
      </c>
      <c r="O36">
        <v>1</v>
      </c>
      <c r="P36">
        <v>24.6</v>
      </c>
      <c r="Q36">
        <v>50.7</v>
      </c>
      <c r="R36">
        <v>17.899999999999999</v>
      </c>
      <c r="S36">
        <v>8</v>
      </c>
      <c r="T36">
        <v>9.5</v>
      </c>
      <c r="U36">
        <v>3.4</v>
      </c>
      <c r="V36">
        <v>8.6</v>
      </c>
      <c r="W36">
        <v>11</v>
      </c>
      <c r="X36">
        <v>3</v>
      </c>
      <c r="Y36">
        <v>8</v>
      </c>
      <c r="Z36">
        <v>4</v>
      </c>
      <c r="AA36">
        <v>2</v>
      </c>
      <c r="AB36" t="s">
        <v>352</v>
      </c>
      <c r="AC36" t="b">
        <v>0</v>
      </c>
      <c r="AD36" t="s">
        <v>353</v>
      </c>
      <c r="AE36">
        <v>0.39489999999999997</v>
      </c>
      <c r="AF36" t="s">
        <v>356</v>
      </c>
      <c r="AG36">
        <v>0.2344</v>
      </c>
      <c r="AH36">
        <v>0.03</v>
      </c>
      <c r="AI36">
        <v>0.74260000000000004</v>
      </c>
      <c r="AJ36" t="s">
        <v>355</v>
      </c>
      <c r="AK36">
        <v>6.43</v>
      </c>
      <c r="AL36">
        <v>16</v>
      </c>
      <c r="AM36" t="s">
        <v>356</v>
      </c>
      <c r="AN36">
        <v>2</v>
      </c>
      <c r="AO36">
        <v>0.54</v>
      </c>
      <c r="AP36">
        <v>31</v>
      </c>
      <c r="AQ36">
        <v>8.3000000000000007</v>
      </c>
      <c r="AR36">
        <v>15.5</v>
      </c>
      <c r="AS36">
        <v>0</v>
      </c>
      <c r="AT36" t="s">
        <v>357</v>
      </c>
      <c r="AU36">
        <v>33.6</v>
      </c>
      <c r="AV36">
        <v>51</v>
      </c>
      <c r="AW36" t="s">
        <v>356</v>
      </c>
      <c r="AX36">
        <v>49</v>
      </c>
      <c r="AY36">
        <v>13.13</v>
      </c>
      <c r="AZ36">
        <v>28</v>
      </c>
      <c r="BA36">
        <v>13</v>
      </c>
      <c r="BB36">
        <v>2</v>
      </c>
      <c r="BC36">
        <v>3</v>
      </c>
      <c r="BD36">
        <v>3</v>
      </c>
      <c r="BE36">
        <v>18</v>
      </c>
      <c r="BF36">
        <v>28</v>
      </c>
      <c r="BG36">
        <v>0.64</v>
      </c>
      <c r="BH36">
        <v>0</v>
      </c>
      <c r="BI36">
        <v>0.11</v>
      </c>
      <c r="BJ36" t="b">
        <v>0</v>
      </c>
      <c r="BK36" t="b">
        <v>0</v>
      </c>
      <c r="BL36">
        <v>3</v>
      </c>
      <c r="BM36">
        <v>3</v>
      </c>
      <c r="BN36">
        <v>2</v>
      </c>
      <c r="BO36">
        <v>1</v>
      </c>
      <c r="BP36">
        <v>0</v>
      </c>
      <c r="BQ36">
        <v>1</v>
      </c>
      <c r="BR36">
        <v>0</v>
      </c>
      <c r="BS36">
        <v>3733</v>
      </c>
      <c r="BT36">
        <v>1364</v>
      </c>
      <c r="BU36">
        <v>0.3654</v>
      </c>
      <c r="BV36">
        <v>3</v>
      </c>
      <c r="BW36">
        <v>1</v>
      </c>
      <c r="BX36">
        <v>1244.3</v>
      </c>
      <c r="BZ36" t="s">
        <v>1280</v>
      </c>
      <c r="CA36" t="s">
        <v>1281</v>
      </c>
      <c r="CB36" t="s">
        <v>1282</v>
      </c>
      <c r="CC36" t="s">
        <v>1283</v>
      </c>
      <c r="CD36">
        <v>28</v>
      </c>
      <c r="CE36">
        <v>0</v>
      </c>
      <c r="CF36">
        <v>1</v>
      </c>
      <c r="CG36">
        <v>7.5</v>
      </c>
      <c r="CH36">
        <v>0</v>
      </c>
      <c r="CJ36">
        <v>6</v>
      </c>
      <c r="CK36">
        <v>1.61</v>
      </c>
      <c r="CL36" t="s">
        <v>1231</v>
      </c>
      <c r="CM36">
        <v>1</v>
      </c>
      <c r="CN36">
        <v>0</v>
      </c>
      <c r="CO36" t="b">
        <v>0</v>
      </c>
      <c r="CP36" t="b">
        <v>1</v>
      </c>
      <c r="CQ36" t="b">
        <v>1</v>
      </c>
      <c r="CR36" t="b">
        <v>1</v>
      </c>
      <c r="CS36" t="b">
        <v>1</v>
      </c>
      <c r="CT36" t="b">
        <v>1</v>
      </c>
      <c r="CU36" t="b">
        <v>1</v>
      </c>
      <c r="CV36">
        <v>0</v>
      </c>
      <c r="CW36">
        <v>27</v>
      </c>
      <c r="CX36">
        <v>0</v>
      </c>
      <c r="CY36">
        <v>2</v>
      </c>
      <c r="CZ36">
        <v>0.54</v>
      </c>
      <c r="DA36">
        <v>31</v>
      </c>
      <c r="DB36">
        <v>8.3000000000000007</v>
      </c>
      <c r="DC36">
        <v>15.5</v>
      </c>
      <c r="DD36">
        <v>0</v>
      </c>
      <c r="DE36">
        <v>0</v>
      </c>
      <c r="DF36">
        <v>12</v>
      </c>
      <c r="DG36">
        <v>3.21</v>
      </c>
      <c r="DH36">
        <v>18</v>
      </c>
      <c r="DI36">
        <v>4.82</v>
      </c>
      <c r="DJ36">
        <v>0.67</v>
      </c>
      <c r="DK36">
        <v>3</v>
      </c>
      <c r="DL36">
        <v>0</v>
      </c>
      <c r="DM36">
        <v>5</v>
      </c>
      <c r="DN36">
        <v>0</v>
      </c>
      <c r="DO36">
        <v>347</v>
      </c>
      <c r="DP36">
        <v>2</v>
      </c>
      <c r="DQ36">
        <v>0.54</v>
      </c>
      <c r="DR36" t="s">
        <v>1284</v>
      </c>
      <c r="DS36" t="s">
        <v>1285</v>
      </c>
      <c r="DT36" t="s">
        <v>1286</v>
      </c>
      <c r="DU36" t="s">
        <v>1287</v>
      </c>
      <c r="DV36" t="s">
        <v>1288</v>
      </c>
      <c r="DW36">
        <v>4.29</v>
      </c>
      <c r="DX36">
        <v>5</v>
      </c>
      <c r="DY36">
        <v>2.33</v>
      </c>
      <c r="DZ36">
        <v>5</v>
      </c>
      <c r="EA36">
        <v>1.5</v>
      </c>
      <c r="EB36">
        <v>18.12</v>
      </c>
      <c r="EC36" t="s">
        <v>825</v>
      </c>
      <c r="ED36" t="s">
        <v>825</v>
      </c>
      <c r="EE36">
        <v>1.29</v>
      </c>
      <c r="EF36" t="s">
        <v>414</v>
      </c>
      <c r="EG36">
        <v>0.32</v>
      </c>
      <c r="EH36">
        <v>0.94</v>
      </c>
      <c r="EI36">
        <v>0.34300000000000003</v>
      </c>
      <c r="EJ36" t="s">
        <v>370</v>
      </c>
      <c r="EK36">
        <v>1.02</v>
      </c>
      <c r="EL36" t="s">
        <v>1289</v>
      </c>
      <c r="EM36" t="s">
        <v>1290</v>
      </c>
      <c r="EN36">
        <v>1.38</v>
      </c>
      <c r="EO36" t="s">
        <v>827</v>
      </c>
      <c r="EP36">
        <v>0</v>
      </c>
      <c r="EQ36">
        <v>0</v>
      </c>
      <c r="ER36">
        <v>46.5</v>
      </c>
      <c r="ES36" t="s">
        <v>374</v>
      </c>
      <c r="ET36">
        <v>0.62</v>
      </c>
      <c r="EU36">
        <v>2.14</v>
      </c>
      <c r="EV36">
        <v>1.43</v>
      </c>
      <c r="EW36">
        <v>1.79</v>
      </c>
      <c r="EX36">
        <v>1.34</v>
      </c>
      <c r="EY36">
        <v>0</v>
      </c>
      <c r="EZ36">
        <v>1.43</v>
      </c>
      <c r="FA36">
        <v>0.54</v>
      </c>
      <c r="FB36">
        <v>2.5</v>
      </c>
      <c r="FC36">
        <v>2.0499999999999998</v>
      </c>
      <c r="FD36" t="s">
        <v>375</v>
      </c>
      <c r="FE36">
        <v>451</v>
      </c>
      <c r="FF36" t="s">
        <v>1291</v>
      </c>
      <c r="FG36" t="s">
        <v>1292</v>
      </c>
      <c r="FH36" t="s">
        <v>1293</v>
      </c>
      <c r="FI36" t="s">
        <v>1294</v>
      </c>
      <c r="FJ36" t="s">
        <v>1295</v>
      </c>
      <c r="FK36" t="s">
        <v>1296</v>
      </c>
      <c r="FL36" t="s">
        <v>1297</v>
      </c>
      <c r="FM36">
        <v>0</v>
      </c>
      <c r="FN36">
        <v>0.65249999999999997</v>
      </c>
      <c r="FO36">
        <v>0.77500000000000002</v>
      </c>
      <c r="FP36">
        <v>0.70389999999999997</v>
      </c>
      <c r="FQ36">
        <v>0.79869999999999997</v>
      </c>
      <c r="FR36">
        <v>0</v>
      </c>
      <c r="FS36">
        <v>6.4999999999999997E-3</v>
      </c>
      <c r="FT36">
        <v>0</v>
      </c>
      <c r="FU36">
        <v>4.1000000000000003E-3</v>
      </c>
      <c r="FV36">
        <v>0.21560000000000001</v>
      </c>
      <c r="FW36">
        <v>8.6E-3</v>
      </c>
      <c r="FX36">
        <v>4.5600000000000002E-2</v>
      </c>
      <c r="FY36">
        <v>0.26650000000000001</v>
      </c>
      <c r="FZ36">
        <v>3.8E-3</v>
      </c>
      <c r="GA36">
        <v>154</v>
      </c>
      <c r="GB36">
        <v>1</v>
      </c>
      <c r="GC36">
        <v>1</v>
      </c>
      <c r="GD36">
        <v>114</v>
      </c>
      <c r="GE36">
        <v>2</v>
      </c>
      <c r="GF36">
        <v>16</v>
      </c>
      <c r="GG36">
        <v>0</v>
      </c>
      <c r="GH36">
        <v>0</v>
      </c>
      <c r="GI36">
        <v>0</v>
      </c>
      <c r="GJ36">
        <v>0</v>
      </c>
      <c r="GK36">
        <v>3.4200000000000001E-2</v>
      </c>
      <c r="GL36">
        <v>0</v>
      </c>
      <c r="GM36">
        <v>0</v>
      </c>
      <c r="GN36">
        <v>0</v>
      </c>
      <c r="GO36">
        <v>0</v>
      </c>
      <c r="GP36">
        <v>0</v>
      </c>
      <c r="GQ36">
        <v>3.4200000000000001E-2</v>
      </c>
      <c r="GR36">
        <v>0</v>
      </c>
      <c r="GS36">
        <v>0.1027</v>
      </c>
      <c r="GT36">
        <v>0</v>
      </c>
      <c r="GU36">
        <v>0</v>
      </c>
      <c r="GV36">
        <v>0</v>
      </c>
      <c r="GW36">
        <v>0</v>
      </c>
      <c r="GX36">
        <v>0</v>
      </c>
      <c r="GY36">
        <v>0</v>
      </c>
      <c r="GZ36">
        <v>0</v>
      </c>
      <c r="HA36">
        <v>3.4200000000000001E-2</v>
      </c>
      <c r="HB36">
        <v>0</v>
      </c>
      <c r="HC36" t="s">
        <v>383</v>
      </c>
      <c r="HD36">
        <v>0</v>
      </c>
      <c r="HE36">
        <v>0</v>
      </c>
      <c r="HF36">
        <v>0</v>
      </c>
      <c r="HG36">
        <v>0</v>
      </c>
      <c r="HH36">
        <v>0</v>
      </c>
      <c r="HI36" t="s">
        <v>383</v>
      </c>
      <c r="HJ36">
        <v>0</v>
      </c>
      <c r="HK36">
        <v>0</v>
      </c>
      <c r="HL36">
        <v>0</v>
      </c>
      <c r="HM36">
        <v>0</v>
      </c>
      <c r="HN36">
        <v>0</v>
      </c>
      <c r="HO36" t="s">
        <v>383</v>
      </c>
      <c r="HP36">
        <v>0</v>
      </c>
      <c r="HQ36">
        <v>0</v>
      </c>
      <c r="HR36">
        <v>0</v>
      </c>
      <c r="HS36">
        <v>0</v>
      </c>
      <c r="HT36">
        <v>0</v>
      </c>
      <c r="HU36" t="s">
        <v>383</v>
      </c>
      <c r="HV36">
        <v>0</v>
      </c>
      <c r="HW36">
        <v>0</v>
      </c>
      <c r="HX36">
        <v>0</v>
      </c>
      <c r="HY36">
        <v>0</v>
      </c>
      <c r="HZ36">
        <v>0</v>
      </c>
      <c r="IA36" t="s">
        <v>384</v>
      </c>
      <c r="IB36">
        <v>0</v>
      </c>
      <c r="IC36">
        <v>0</v>
      </c>
      <c r="ID36">
        <v>0</v>
      </c>
      <c r="IE36">
        <v>0</v>
      </c>
      <c r="IF36">
        <v>0</v>
      </c>
      <c r="IG36" t="s">
        <v>384</v>
      </c>
      <c r="IH36">
        <v>0</v>
      </c>
      <c r="II36">
        <v>0</v>
      </c>
      <c r="IJ36">
        <v>0</v>
      </c>
      <c r="IK36">
        <v>0</v>
      </c>
      <c r="IL36">
        <v>0</v>
      </c>
      <c r="IM36" t="s">
        <v>384</v>
      </c>
      <c r="IN36">
        <v>0</v>
      </c>
      <c r="IO36">
        <v>0</v>
      </c>
      <c r="IP36">
        <v>0</v>
      </c>
      <c r="IQ36">
        <v>0</v>
      </c>
      <c r="IR36">
        <v>0</v>
      </c>
      <c r="IS36" t="s">
        <v>384</v>
      </c>
      <c r="IT36">
        <v>0</v>
      </c>
      <c r="IU36">
        <v>0</v>
      </c>
      <c r="IV36">
        <v>0</v>
      </c>
      <c r="IW36">
        <v>0</v>
      </c>
      <c r="IX36">
        <v>0</v>
      </c>
      <c r="IY36">
        <v>0</v>
      </c>
      <c r="IZ36">
        <v>0</v>
      </c>
      <c r="JA36">
        <v>0</v>
      </c>
      <c r="JD36" t="s">
        <v>483</v>
      </c>
      <c r="JE36" t="s">
        <v>386</v>
      </c>
      <c r="JF36" t="s">
        <v>1298</v>
      </c>
      <c r="JG36" t="s">
        <v>1299</v>
      </c>
      <c r="JH36" t="s">
        <v>1300</v>
      </c>
      <c r="JI36" t="s">
        <v>1301</v>
      </c>
      <c r="JJ36">
        <v>0.5333</v>
      </c>
      <c r="JK36">
        <v>0</v>
      </c>
      <c r="JL36" t="s">
        <v>391</v>
      </c>
      <c r="JM36">
        <v>0</v>
      </c>
      <c r="JN36">
        <v>0</v>
      </c>
      <c r="JO36">
        <v>0</v>
      </c>
      <c r="JP36">
        <v>0</v>
      </c>
      <c r="JQ36">
        <v>0</v>
      </c>
      <c r="JR36">
        <v>0</v>
      </c>
      <c r="JS36">
        <v>0</v>
      </c>
      <c r="JT36">
        <v>0</v>
      </c>
      <c r="JU36">
        <v>0</v>
      </c>
      <c r="JV36">
        <v>0</v>
      </c>
      <c r="JX36" t="s">
        <v>392</v>
      </c>
      <c r="JY36">
        <v>0</v>
      </c>
      <c r="JZ36">
        <v>0</v>
      </c>
      <c r="KA36">
        <v>1</v>
      </c>
      <c r="KB36">
        <v>0</v>
      </c>
      <c r="KC36">
        <v>0</v>
      </c>
      <c r="KD36">
        <v>1</v>
      </c>
      <c r="KE36">
        <v>0</v>
      </c>
      <c r="KF36">
        <v>0</v>
      </c>
      <c r="KG36">
        <v>1</v>
      </c>
      <c r="KH36">
        <v>0</v>
      </c>
      <c r="KI36">
        <v>0</v>
      </c>
      <c r="KJ36">
        <v>1</v>
      </c>
      <c r="KK36">
        <v>0</v>
      </c>
      <c r="KL36">
        <v>0</v>
      </c>
      <c r="KM36">
        <v>1</v>
      </c>
      <c r="KN36">
        <v>0</v>
      </c>
      <c r="KO36">
        <v>0</v>
      </c>
      <c r="KP36">
        <v>1</v>
      </c>
      <c r="KQ36">
        <v>0</v>
      </c>
      <c r="KR36">
        <v>0</v>
      </c>
      <c r="KS36">
        <v>1</v>
      </c>
      <c r="KT36">
        <v>0</v>
      </c>
      <c r="KU36">
        <v>0</v>
      </c>
      <c r="KV36">
        <v>1</v>
      </c>
      <c r="KW36">
        <v>0</v>
      </c>
      <c r="KX36">
        <v>0</v>
      </c>
      <c r="KY36">
        <v>1</v>
      </c>
      <c r="KZ36">
        <v>0</v>
      </c>
      <c r="LA36">
        <v>0</v>
      </c>
      <c r="LB36">
        <v>0</v>
      </c>
      <c r="LC36">
        <v>0</v>
      </c>
      <c r="LD36">
        <v>0</v>
      </c>
      <c r="LE36">
        <v>0</v>
      </c>
      <c r="LF36">
        <v>0</v>
      </c>
      <c r="LG36">
        <v>0</v>
      </c>
      <c r="LH36">
        <v>0</v>
      </c>
      <c r="LI36">
        <v>0</v>
      </c>
      <c r="LJ36">
        <v>0</v>
      </c>
      <c r="LK36">
        <v>0</v>
      </c>
      <c r="LN36" t="s">
        <v>393</v>
      </c>
      <c r="LO36" t="s">
        <v>394</v>
      </c>
      <c r="LP36" t="s">
        <v>395</v>
      </c>
      <c r="LQ36">
        <v>0.30980000000000002</v>
      </c>
      <c r="LR36">
        <v>19.055</v>
      </c>
      <c r="LS36">
        <v>13.4739</v>
      </c>
      <c r="LT36">
        <v>3783</v>
      </c>
      <c r="LU36">
        <v>1172</v>
      </c>
      <c r="LV36">
        <v>91.272999999999996</v>
      </c>
      <c r="LW36">
        <v>0.89770000000000005</v>
      </c>
      <c r="LX36">
        <v>0.58389999999999997</v>
      </c>
      <c r="LY36">
        <v>0.58389999999999997</v>
      </c>
      <c r="LZ36">
        <v>0.58389999999999997</v>
      </c>
      <c r="MA36">
        <v>0</v>
      </c>
      <c r="MB36">
        <v>2207</v>
      </c>
      <c r="MC36">
        <v>1</v>
      </c>
      <c r="MD36" t="s">
        <v>396</v>
      </c>
      <c r="ME36" t="s">
        <v>517</v>
      </c>
    </row>
    <row r="37" spans="1:343" ht="16.95" customHeight="1" x14ac:dyDescent="0.3">
      <c r="A37" t="s">
        <v>1302</v>
      </c>
      <c r="B37" t="s">
        <v>1303</v>
      </c>
      <c r="C37" t="s">
        <v>345</v>
      </c>
      <c r="D37" t="s">
        <v>346</v>
      </c>
      <c r="E37" t="s">
        <v>347</v>
      </c>
      <c r="F37" t="s">
        <v>1304</v>
      </c>
      <c r="G37" t="s">
        <v>1305</v>
      </c>
      <c r="H37" t="s">
        <v>1306</v>
      </c>
      <c r="I37" t="s">
        <v>351</v>
      </c>
      <c r="J37">
        <v>4701</v>
      </c>
      <c r="K37">
        <v>1544</v>
      </c>
      <c r="L37">
        <v>0.32840000000000003</v>
      </c>
      <c r="M37">
        <v>156</v>
      </c>
      <c r="N37">
        <v>3</v>
      </c>
      <c r="O37">
        <v>1</v>
      </c>
      <c r="P37">
        <v>30.1</v>
      </c>
      <c r="Q37">
        <v>52</v>
      </c>
      <c r="R37">
        <v>21</v>
      </c>
      <c r="S37">
        <v>7.3</v>
      </c>
      <c r="T37">
        <v>12.6</v>
      </c>
      <c r="U37">
        <v>2.4</v>
      </c>
      <c r="V37">
        <v>10.1</v>
      </c>
      <c r="W37">
        <v>20</v>
      </c>
      <c r="X37">
        <v>4.9000000000000004</v>
      </c>
      <c r="Y37">
        <v>5</v>
      </c>
      <c r="Z37">
        <v>2</v>
      </c>
      <c r="AA37">
        <v>2.5</v>
      </c>
      <c r="AB37" t="s">
        <v>493</v>
      </c>
      <c r="AC37" t="b">
        <v>0</v>
      </c>
      <c r="AD37" t="s">
        <v>353</v>
      </c>
      <c r="AE37">
        <v>0.37259999999999999</v>
      </c>
      <c r="AF37" t="s">
        <v>356</v>
      </c>
      <c r="AG37">
        <v>0.27189999999999998</v>
      </c>
      <c r="AH37">
        <v>6.8699999999999997E-2</v>
      </c>
      <c r="AI37">
        <v>0.67810000000000004</v>
      </c>
      <c r="AJ37" t="s">
        <v>355</v>
      </c>
      <c r="AK37">
        <v>6.8</v>
      </c>
      <c r="AL37">
        <v>14</v>
      </c>
      <c r="AM37" t="s">
        <v>356</v>
      </c>
      <c r="AN37">
        <v>5</v>
      </c>
      <c r="AO37">
        <v>1.06</v>
      </c>
      <c r="AP37">
        <v>33</v>
      </c>
      <c r="AQ37">
        <v>7.02</v>
      </c>
      <c r="AR37">
        <v>6.6</v>
      </c>
      <c r="AS37">
        <v>1</v>
      </c>
      <c r="AT37" t="s">
        <v>357</v>
      </c>
      <c r="AU37">
        <v>43.6</v>
      </c>
      <c r="AV37">
        <v>68</v>
      </c>
      <c r="AW37" t="s">
        <v>356</v>
      </c>
      <c r="AX37">
        <v>8</v>
      </c>
      <c r="AY37">
        <v>1.7</v>
      </c>
      <c r="AZ37">
        <v>0</v>
      </c>
      <c r="BA37">
        <v>6</v>
      </c>
      <c r="BB37">
        <v>0</v>
      </c>
      <c r="BC37">
        <v>1</v>
      </c>
      <c r="BD37">
        <v>1</v>
      </c>
      <c r="BE37">
        <v>7</v>
      </c>
      <c r="BF37">
        <v>0</v>
      </c>
      <c r="BG37">
        <v>7</v>
      </c>
      <c r="BH37">
        <v>0</v>
      </c>
      <c r="BI37">
        <v>0.22</v>
      </c>
      <c r="BJ37" t="b">
        <v>0</v>
      </c>
      <c r="BK37" t="b">
        <v>0</v>
      </c>
      <c r="BL37">
        <v>3</v>
      </c>
      <c r="BM37">
        <v>3</v>
      </c>
      <c r="BN37">
        <v>2</v>
      </c>
      <c r="BO37">
        <v>1</v>
      </c>
      <c r="BP37">
        <v>0</v>
      </c>
      <c r="BQ37">
        <v>1</v>
      </c>
      <c r="BR37">
        <v>0</v>
      </c>
      <c r="BS37">
        <v>4701</v>
      </c>
      <c r="BT37">
        <v>1544</v>
      </c>
      <c r="BU37">
        <v>0.32840000000000003</v>
      </c>
      <c r="BV37">
        <v>3</v>
      </c>
      <c r="BW37">
        <v>1</v>
      </c>
      <c r="BX37">
        <v>1567</v>
      </c>
      <c r="BZ37" t="s">
        <v>1307</v>
      </c>
      <c r="CA37" t="s">
        <v>1308</v>
      </c>
      <c r="CB37" t="s">
        <v>1309</v>
      </c>
      <c r="CC37" t="s">
        <v>1310</v>
      </c>
      <c r="CD37">
        <v>2</v>
      </c>
      <c r="CE37">
        <v>2</v>
      </c>
      <c r="CF37">
        <v>0</v>
      </c>
      <c r="CG37">
        <v>0.43</v>
      </c>
      <c r="CH37">
        <v>1</v>
      </c>
      <c r="CI37" t="s">
        <v>819</v>
      </c>
      <c r="CJ37">
        <v>7</v>
      </c>
      <c r="CK37">
        <v>1.49</v>
      </c>
      <c r="CL37" t="s">
        <v>1231</v>
      </c>
      <c r="CM37">
        <v>1</v>
      </c>
      <c r="CN37">
        <v>0</v>
      </c>
      <c r="CO37" t="b">
        <v>0</v>
      </c>
      <c r="CP37" t="b">
        <v>1</v>
      </c>
      <c r="CQ37" t="b">
        <v>1</v>
      </c>
      <c r="CR37" t="b">
        <v>1</v>
      </c>
      <c r="CS37" t="b">
        <v>1</v>
      </c>
      <c r="CT37" t="b">
        <v>1</v>
      </c>
      <c r="CU37" t="b">
        <v>1</v>
      </c>
      <c r="CV37">
        <v>0</v>
      </c>
      <c r="CW37">
        <v>0</v>
      </c>
      <c r="CX37">
        <v>0</v>
      </c>
      <c r="CY37">
        <v>7</v>
      </c>
      <c r="CZ37">
        <v>1.49</v>
      </c>
      <c r="DA37">
        <v>35</v>
      </c>
      <c r="DB37">
        <v>7.44</v>
      </c>
      <c r="DC37">
        <v>5</v>
      </c>
      <c r="DD37">
        <v>1</v>
      </c>
      <c r="DE37">
        <v>0.21</v>
      </c>
      <c r="DF37">
        <v>9</v>
      </c>
      <c r="DG37">
        <v>1.91</v>
      </c>
      <c r="DH37">
        <v>5</v>
      </c>
      <c r="DI37">
        <v>1.06</v>
      </c>
      <c r="DJ37">
        <v>1.8</v>
      </c>
      <c r="DK37">
        <v>4</v>
      </c>
      <c r="DL37">
        <v>0</v>
      </c>
      <c r="DM37">
        <v>12</v>
      </c>
      <c r="DN37">
        <v>0</v>
      </c>
      <c r="DO37">
        <v>239</v>
      </c>
      <c r="DP37">
        <v>1</v>
      </c>
      <c r="DQ37">
        <v>0.21</v>
      </c>
      <c r="DR37" t="s">
        <v>1311</v>
      </c>
      <c r="DS37" t="s">
        <v>1312</v>
      </c>
      <c r="DT37" t="s">
        <v>1313</v>
      </c>
      <c r="DU37" t="s">
        <v>1314</v>
      </c>
      <c r="DV37" t="s">
        <v>1315</v>
      </c>
      <c r="DW37">
        <v>4.29</v>
      </c>
      <c r="DX37">
        <v>0.5</v>
      </c>
      <c r="DY37">
        <v>3.17</v>
      </c>
      <c r="DZ37">
        <v>5</v>
      </c>
      <c r="EA37">
        <v>3</v>
      </c>
      <c r="EB37">
        <v>15.96</v>
      </c>
      <c r="EC37" t="s">
        <v>503</v>
      </c>
      <c r="ED37" t="s">
        <v>369</v>
      </c>
      <c r="EE37">
        <v>1.83</v>
      </c>
      <c r="EF37" t="s">
        <v>414</v>
      </c>
      <c r="EG37">
        <v>0.23</v>
      </c>
      <c r="EH37">
        <v>1.08</v>
      </c>
      <c r="EI37">
        <v>0.216</v>
      </c>
      <c r="EJ37" t="s">
        <v>370</v>
      </c>
      <c r="EK37">
        <v>1.06</v>
      </c>
      <c r="EL37" t="s">
        <v>371</v>
      </c>
      <c r="EM37" t="s">
        <v>1316</v>
      </c>
      <c r="EN37">
        <v>0.91</v>
      </c>
      <c r="EO37" t="s">
        <v>373</v>
      </c>
      <c r="EP37">
        <v>1</v>
      </c>
      <c r="EQ37">
        <v>0</v>
      </c>
      <c r="ER37">
        <v>41.1</v>
      </c>
      <c r="ES37" t="s">
        <v>374</v>
      </c>
      <c r="ET37">
        <v>0.21</v>
      </c>
      <c r="EU37">
        <v>1.63</v>
      </c>
      <c r="EV37">
        <v>2.2000000000000002</v>
      </c>
      <c r="EW37">
        <v>1.63</v>
      </c>
      <c r="EX37">
        <v>0.99</v>
      </c>
      <c r="EY37">
        <v>7.0000000000000007E-2</v>
      </c>
      <c r="EZ37">
        <v>0.92</v>
      </c>
      <c r="FA37">
        <v>0.21</v>
      </c>
      <c r="FB37">
        <v>0.71</v>
      </c>
      <c r="FC37">
        <v>0.5</v>
      </c>
      <c r="FD37" t="s">
        <v>375</v>
      </c>
      <c r="FE37">
        <v>409</v>
      </c>
      <c r="FF37" t="s">
        <v>1317</v>
      </c>
      <c r="FG37" t="s">
        <v>1318</v>
      </c>
      <c r="FH37" t="s">
        <v>1319</v>
      </c>
      <c r="FI37" t="s">
        <v>1320</v>
      </c>
      <c r="FJ37" t="s">
        <v>1321</v>
      </c>
      <c r="FK37" t="s">
        <v>1322</v>
      </c>
      <c r="FL37" t="s">
        <v>1323</v>
      </c>
      <c r="FM37">
        <v>0</v>
      </c>
      <c r="FN37">
        <v>0.62209999999999999</v>
      </c>
      <c r="FO37">
        <v>0.77500000000000002</v>
      </c>
      <c r="FP37">
        <v>0.68630000000000002</v>
      </c>
      <c r="FQ37">
        <v>0.75319999999999998</v>
      </c>
      <c r="FR37">
        <v>0</v>
      </c>
      <c r="FS37">
        <v>1.2699999999999999E-2</v>
      </c>
      <c r="FT37">
        <v>0</v>
      </c>
      <c r="FU37">
        <v>2.3999999999999998E-3</v>
      </c>
      <c r="FV37">
        <v>0.18609999999999999</v>
      </c>
      <c r="FW37">
        <v>0</v>
      </c>
      <c r="FX37">
        <v>9.1000000000000004E-3</v>
      </c>
      <c r="FY37">
        <v>0.26250000000000001</v>
      </c>
      <c r="FZ37">
        <v>1.83E-2</v>
      </c>
      <c r="GA37">
        <v>158</v>
      </c>
      <c r="GB37">
        <v>1</v>
      </c>
      <c r="GC37">
        <v>1</v>
      </c>
      <c r="GD37">
        <v>136</v>
      </c>
      <c r="GE37">
        <v>0</v>
      </c>
      <c r="GF37">
        <v>27</v>
      </c>
      <c r="GG37">
        <v>1</v>
      </c>
      <c r="GH37">
        <v>0</v>
      </c>
      <c r="GI37">
        <v>0</v>
      </c>
      <c r="GJ37">
        <v>0</v>
      </c>
      <c r="GK37">
        <v>0</v>
      </c>
      <c r="GL37">
        <v>0</v>
      </c>
      <c r="GM37">
        <v>0</v>
      </c>
      <c r="GN37">
        <v>0</v>
      </c>
      <c r="GO37">
        <v>0</v>
      </c>
      <c r="GP37">
        <v>0.19189999999999999</v>
      </c>
      <c r="GQ37">
        <v>0</v>
      </c>
      <c r="GR37">
        <v>0</v>
      </c>
      <c r="GS37">
        <v>2.7400000000000001E-2</v>
      </c>
      <c r="GT37">
        <v>0</v>
      </c>
      <c r="GU37">
        <v>0</v>
      </c>
      <c r="GV37">
        <v>0.1096</v>
      </c>
      <c r="GW37">
        <v>0</v>
      </c>
      <c r="GX37">
        <v>0</v>
      </c>
      <c r="GY37">
        <v>2.7400000000000001E-2</v>
      </c>
      <c r="GZ37">
        <v>0</v>
      </c>
      <c r="HA37">
        <v>2.7400000000000001E-2</v>
      </c>
      <c r="HB37">
        <v>0</v>
      </c>
      <c r="HC37" t="s">
        <v>383</v>
      </c>
      <c r="HD37">
        <v>0</v>
      </c>
      <c r="HE37">
        <v>0</v>
      </c>
      <c r="HF37">
        <v>0</v>
      </c>
      <c r="HG37">
        <v>0</v>
      </c>
      <c r="HH37">
        <v>0</v>
      </c>
      <c r="HI37" t="s">
        <v>383</v>
      </c>
      <c r="HJ37">
        <v>0</v>
      </c>
      <c r="HK37">
        <v>0</v>
      </c>
      <c r="HL37">
        <v>0</v>
      </c>
      <c r="HM37">
        <v>0</v>
      </c>
      <c r="HN37">
        <v>0</v>
      </c>
      <c r="HO37" t="s">
        <v>383</v>
      </c>
      <c r="HP37">
        <v>0</v>
      </c>
      <c r="HQ37">
        <v>0</v>
      </c>
      <c r="HR37">
        <v>0</v>
      </c>
      <c r="HS37">
        <v>0</v>
      </c>
      <c r="HT37">
        <v>0</v>
      </c>
      <c r="HU37" t="s">
        <v>383</v>
      </c>
      <c r="HV37">
        <v>0</v>
      </c>
      <c r="HW37">
        <v>0</v>
      </c>
      <c r="HX37">
        <v>0</v>
      </c>
      <c r="HY37">
        <v>0</v>
      </c>
      <c r="HZ37">
        <v>0</v>
      </c>
      <c r="IA37" t="s">
        <v>384</v>
      </c>
      <c r="IB37">
        <v>0</v>
      </c>
      <c r="IC37">
        <v>0</v>
      </c>
      <c r="ID37">
        <v>0</v>
      </c>
      <c r="IE37">
        <v>0</v>
      </c>
      <c r="IF37">
        <v>0</v>
      </c>
      <c r="IG37" t="s">
        <v>384</v>
      </c>
      <c r="IH37">
        <v>0</v>
      </c>
      <c r="II37">
        <v>0</v>
      </c>
      <c r="IJ37">
        <v>0</v>
      </c>
      <c r="IK37">
        <v>0</v>
      </c>
      <c r="IL37">
        <v>0</v>
      </c>
      <c r="IM37" t="s">
        <v>384</v>
      </c>
      <c r="IN37">
        <v>0</v>
      </c>
      <c r="IO37">
        <v>0</v>
      </c>
      <c r="IP37">
        <v>0</v>
      </c>
      <c r="IQ37">
        <v>0</v>
      </c>
      <c r="IR37">
        <v>0</v>
      </c>
      <c r="IS37" t="s">
        <v>384</v>
      </c>
      <c r="IT37">
        <v>0</v>
      </c>
      <c r="IU37">
        <v>0</v>
      </c>
      <c r="IV37">
        <v>0</v>
      </c>
      <c r="IW37">
        <v>0</v>
      </c>
      <c r="IX37">
        <v>0</v>
      </c>
      <c r="IY37">
        <v>0</v>
      </c>
      <c r="IZ37">
        <v>0</v>
      </c>
      <c r="JA37">
        <v>0</v>
      </c>
      <c r="JD37" t="s">
        <v>483</v>
      </c>
      <c r="JE37" t="s">
        <v>386</v>
      </c>
      <c r="JF37" t="s">
        <v>1324</v>
      </c>
      <c r="JG37" t="s">
        <v>1325</v>
      </c>
      <c r="JH37" t="s">
        <v>1326</v>
      </c>
      <c r="JI37" t="s">
        <v>1327</v>
      </c>
      <c r="JJ37">
        <v>0.61670000000000003</v>
      </c>
      <c r="JK37">
        <v>0</v>
      </c>
      <c r="JL37" t="s">
        <v>391</v>
      </c>
      <c r="JM37">
        <v>0</v>
      </c>
      <c r="JN37">
        <v>0</v>
      </c>
      <c r="JO37">
        <v>0</v>
      </c>
      <c r="JP37">
        <v>0</v>
      </c>
      <c r="JQ37">
        <v>0</v>
      </c>
      <c r="JR37">
        <v>0</v>
      </c>
      <c r="JS37">
        <v>0</v>
      </c>
      <c r="JT37">
        <v>0</v>
      </c>
      <c r="JU37">
        <v>0</v>
      </c>
      <c r="JV37">
        <v>0</v>
      </c>
      <c r="JX37" t="s">
        <v>392</v>
      </c>
      <c r="JY37">
        <v>0</v>
      </c>
      <c r="JZ37">
        <v>0</v>
      </c>
      <c r="KA37">
        <v>1</v>
      </c>
      <c r="KB37">
        <v>0</v>
      </c>
      <c r="KC37">
        <v>0</v>
      </c>
      <c r="KD37">
        <v>1</v>
      </c>
      <c r="KE37">
        <v>0</v>
      </c>
      <c r="KF37">
        <v>0</v>
      </c>
      <c r="KG37">
        <v>1</v>
      </c>
      <c r="KH37">
        <v>0</v>
      </c>
      <c r="KI37">
        <v>0</v>
      </c>
      <c r="KJ37">
        <v>1</v>
      </c>
      <c r="KK37">
        <v>0</v>
      </c>
      <c r="KL37">
        <v>0</v>
      </c>
      <c r="KM37">
        <v>1</v>
      </c>
      <c r="KN37">
        <v>0</v>
      </c>
      <c r="KO37">
        <v>0</v>
      </c>
      <c r="KP37">
        <v>1</v>
      </c>
      <c r="KQ37">
        <v>0</v>
      </c>
      <c r="KR37">
        <v>0</v>
      </c>
      <c r="KS37">
        <v>1</v>
      </c>
      <c r="KT37">
        <v>0</v>
      </c>
      <c r="KU37">
        <v>0</v>
      </c>
      <c r="KV37">
        <v>1</v>
      </c>
      <c r="KW37">
        <v>0</v>
      </c>
      <c r="KX37">
        <v>0</v>
      </c>
      <c r="KY37">
        <v>1</v>
      </c>
      <c r="KZ37">
        <v>0</v>
      </c>
      <c r="LA37">
        <v>0</v>
      </c>
      <c r="LB37">
        <v>0</v>
      </c>
      <c r="LC37">
        <v>0</v>
      </c>
      <c r="LD37">
        <v>0</v>
      </c>
      <c r="LE37">
        <v>0</v>
      </c>
      <c r="LF37">
        <v>0</v>
      </c>
      <c r="LG37">
        <v>0</v>
      </c>
      <c r="LH37">
        <v>0</v>
      </c>
      <c r="LI37">
        <v>0</v>
      </c>
      <c r="LJ37">
        <v>0</v>
      </c>
      <c r="LK37">
        <v>0</v>
      </c>
      <c r="LN37" t="s">
        <v>393</v>
      </c>
      <c r="LO37" t="s">
        <v>394</v>
      </c>
      <c r="LP37" t="s">
        <v>395</v>
      </c>
      <c r="LQ37">
        <v>0.31390000000000001</v>
      </c>
      <c r="LR37">
        <v>21.119800000000001</v>
      </c>
      <c r="LS37">
        <v>14.9339</v>
      </c>
      <c r="LT37">
        <v>4527</v>
      </c>
      <c r="LU37">
        <v>1421</v>
      </c>
      <c r="LV37">
        <v>90.5762</v>
      </c>
      <c r="LW37">
        <v>0.88749999999999996</v>
      </c>
      <c r="LX37">
        <v>0.56540000000000001</v>
      </c>
      <c r="LY37">
        <v>0.56540000000000001</v>
      </c>
      <c r="LZ37">
        <v>0.56540000000000001</v>
      </c>
      <c r="MA37">
        <v>0</v>
      </c>
      <c r="MB37">
        <v>2551</v>
      </c>
      <c r="MC37">
        <v>1</v>
      </c>
      <c r="MD37" t="s">
        <v>396</v>
      </c>
      <c r="ME37" t="s">
        <v>517</v>
      </c>
    </row>
    <row r="38" spans="1:343" ht="16.95" customHeight="1" x14ac:dyDescent="0.3">
      <c r="A38" t="s">
        <v>1328</v>
      </c>
      <c r="B38" t="s">
        <v>1329</v>
      </c>
      <c r="C38" t="s">
        <v>345</v>
      </c>
      <c r="D38" t="s">
        <v>346</v>
      </c>
      <c r="E38" t="s">
        <v>347</v>
      </c>
      <c r="F38" t="s">
        <v>1330</v>
      </c>
      <c r="G38" t="s">
        <v>1331</v>
      </c>
      <c r="H38" t="s">
        <v>1332</v>
      </c>
      <c r="I38" t="s">
        <v>351</v>
      </c>
      <c r="J38">
        <v>1304</v>
      </c>
      <c r="K38">
        <v>495</v>
      </c>
      <c r="L38">
        <v>0.37959999999999999</v>
      </c>
      <c r="M38">
        <v>81</v>
      </c>
      <c r="N38">
        <v>3</v>
      </c>
      <c r="O38">
        <v>1</v>
      </c>
      <c r="P38">
        <v>16.100000000000001</v>
      </c>
      <c r="Q38">
        <v>27</v>
      </c>
      <c r="R38">
        <v>14.4</v>
      </c>
      <c r="S38">
        <v>11.3</v>
      </c>
      <c r="T38">
        <v>4.7</v>
      </c>
      <c r="U38">
        <v>3.1</v>
      </c>
      <c r="V38">
        <v>6</v>
      </c>
      <c r="W38">
        <v>10</v>
      </c>
      <c r="X38">
        <v>5.3</v>
      </c>
      <c r="Y38">
        <v>4</v>
      </c>
      <c r="Z38">
        <v>1</v>
      </c>
      <c r="AA38">
        <v>4</v>
      </c>
      <c r="AB38" t="s">
        <v>352</v>
      </c>
      <c r="AC38" t="b">
        <v>0</v>
      </c>
      <c r="AD38" t="s">
        <v>353</v>
      </c>
      <c r="AE38">
        <v>0.44440000000000002</v>
      </c>
      <c r="AF38" t="s">
        <v>354</v>
      </c>
      <c r="AG38">
        <v>0.30209999999999998</v>
      </c>
      <c r="AH38">
        <v>5.45E-2</v>
      </c>
      <c r="AI38">
        <v>0.65990000000000004</v>
      </c>
      <c r="AJ38" t="s">
        <v>355</v>
      </c>
      <c r="AK38">
        <v>3.7</v>
      </c>
      <c r="AL38">
        <v>7</v>
      </c>
      <c r="AM38" t="s">
        <v>354</v>
      </c>
      <c r="AN38">
        <v>2</v>
      </c>
      <c r="AO38">
        <v>1.53</v>
      </c>
      <c r="AP38">
        <v>7</v>
      </c>
      <c r="AQ38">
        <v>5.37</v>
      </c>
      <c r="AR38">
        <v>3.5</v>
      </c>
      <c r="AS38">
        <v>0</v>
      </c>
      <c r="AT38" t="s">
        <v>357</v>
      </c>
      <c r="AU38">
        <v>22.2</v>
      </c>
      <c r="AV38">
        <v>18</v>
      </c>
      <c r="AW38" t="s">
        <v>354</v>
      </c>
      <c r="AX38">
        <v>9</v>
      </c>
      <c r="AY38">
        <v>6.9</v>
      </c>
      <c r="AZ38">
        <v>1</v>
      </c>
      <c r="BA38">
        <v>6</v>
      </c>
      <c r="BB38">
        <v>0</v>
      </c>
      <c r="BC38">
        <v>2</v>
      </c>
      <c r="BD38">
        <v>0</v>
      </c>
      <c r="BE38">
        <v>6</v>
      </c>
      <c r="BF38">
        <v>1</v>
      </c>
      <c r="BG38">
        <v>6</v>
      </c>
      <c r="BH38">
        <v>2</v>
      </c>
      <c r="BI38">
        <v>0.14000000000000001</v>
      </c>
      <c r="BJ38" t="b">
        <v>0</v>
      </c>
      <c r="BK38" t="b">
        <v>0</v>
      </c>
      <c r="BL38">
        <v>3</v>
      </c>
      <c r="BM38">
        <v>3</v>
      </c>
      <c r="BN38">
        <v>2</v>
      </c>
      <c r="BO38">
        <v>1</v>
      </c>
      <c r="BP38">
        <v>0</v>
      </c>
      <c r="BQ38">
        <v>1</v>
      </c>
      <c r="BR38">
        <v>0</v>
      </c>
      <c r="BS38">
        <v>1304</v>
      </c>
      <c r="BT38">
        <v>495</v>
      </c>
      <c r="BU38">
        <v>0.37959999999999999</v>
      </c>
      <c r="BV38">
        <v>3</v>
      </c>
      <c r="BW38">
        <v>1</v>
      </c>
      <c r="BX38">
        <v>434.7</v>
      </c>
      <c r="BZ38" t="s">
        <v>1333</v>
      </c>
      <c r="CA38" t="s">
        <v>1334</v>
      </c>
      <c r="CB38" t="s">
        <v>1335</v>
      </c>
      <c r="CC38" t="s">
        <v>1336</v>
      </c>
      <c r="CD38">
        <v>1</v>
      </c>
      <c r="CE38">
        <v>1</v>
      </c>
      <c r="CF38">
        <v>0</v>
      </c>
      <c r="CG38">
        <v>0.77</v>
      </c>
      <c r="CH38">
        <v>0</v>
      </c>
      <c r="CJ38">
        <v>4</v>
      </c>
      <c r="CK38">
        <v>3.07</v>
      </c>
      <c r="CL38" t="s">
        <v>440</v>
      </c>
      <c r="CM38">
        <v>1</v>
      </c>
      <c r="CN38">
        <v>0</v>
      </c>
      <c r="CO38" t="b">
        <v>0</v>
      </c>
      <c r="CP38" t="b">
        <v>0</v>
      </c>
      <c r="CQ38" t="b">
        <v>1</v>
      </c>
      <c r="CR38" t="b">
        <v>0</v>
      </c>
      <c r="CS38" t="b">
        <v>0</v>
      </c>
      <c r="CT38" t="b">
        <v>0</v>
      </c>
      <c r="CU38" t="b">
        <v>0</v>
      </c>
      <c r="CV38">
        <v>0</v>
      </c>
      <c r="CW38">
        <v>0</v>
      </c>
      <c r="CX38">
        <v>0</v>
      </c>
      <c r="CY38">
        <v>2</v>
      </c>
      <c r="CZ38">
        <v>1.53</v>
      </c>
      <c r="DA38">
        <v>8</v>
      </c>
      <c r="DB38">
        <v>6.13</v>
      </c>
      <c r="DC38">
        <v>4</v>
      </c>
      <c r="DD38">
        <v>0</v>
      </c>
      <c r="DE38">
        <v>0</v>
      </c>
      <c r="DF38">
        <v>1</v>
      </c>
      <c r="DG38">
        <v>0.77</v>
      </c>
      <c r="DH38">
        <v>6</v>
      </c>
      <c r="DI38">
        <v>4.5999999999999996</v>
      </c>
      <c r="DJ38">
        <v>0.17</v>
      </c>
      <c r="DK38">
        <v>0</v>
      </c>
      <c r="DL38">
        <v>0</v>
      </c>
      <c r="DM38">
        <v>0</v>
      </c>
      <c r="DN38">
        <v>0</v>
      </c>
      <c r="DO38">
        <v>48</v>
      </c>
      <c r="DP38">
        <v>1</v>
      </c>
      <c r="DQ38">
        <v>0.77</v>
      </c>
      <c r="DR38" t="s">
        <v>1337</v>
      </c>
      <c r="DS38" t="s">
        <v>1338</v>
      </c>
      <c r="DT38" t="s">
        <v>1339</v>
      </c>
      <c r="DU38" t="s">
        <v>1338</v>
      </c>
      <c r="DV38" t="s">
        <v>365</v>
      </c>
      <c r="DW38">
        <v>0.71</v>
      </c>
      <c r="DX38">
        <v>0.25</v>
      </c>
      <c r="DY38">
        <v>2.33</v>
      </c>
      <c r="DZ38">
        <v>5</v>
      </c>
      <c r="EA38">
        <v>0</v>
      </c>
      <c r="EB38">
        <v>8.2899999999999991</v>
      </c>
      <c r="EC38" t="s">
        <v>369</v>
      </c>
      <c r="ED38" t="s">
        <v>369</v>
      </c>
      <c r="EE38">
        <v>5.59</v>
      </c>
      <c r="EF38" t="s">
        <v>354</v>
      </c>
      <c r="EG38">
        <v>0.92</v>
      </c>
      <c r="EH38">
        <v>1.61</v>
      </c>
      <c r="EI38">
        <v>0.57099999999999995</v>
      </c>
      <c r="EJ38" t="s">
        <v>370</v>
      </c>
      <c r="EK38">
        <v>0.15</v>
      </c>
      <c r="EL38" t="s">
        <v>1340</v>
      </c>
      <c r="EM38" t="s">
        <v>1341</v>
      </c>
      <c r="EN38">
        <v>1.3</v>
      </c>
      <c r="EO38" t="s">
        <v>827</v>
      </c>
      <c r="EP38">
        <v>0</v>
      </c>
      <c r="EQ38">
        <v>1</v>
      </c>
      <c r="ER38">
        <v>93</v>
      </c>
      <c r="ES38" t="s">
        <v>669</v>
      </c>
      <c r="ET38">
        <v>0</v>
      </c>
      <c r="EU38">
        <v>2.04</v>
      </c>
      <c r="EV38">
        <v>1.79</v>
      </c>
      <c r="EW38">
        <v>0.77</v>
      </c>
      <c r="EX38">
        <v>1.79</v>
      </c>
      <c r="EY38">
        <v>1.79</v>
      </c>
      <c r="EZ38">
        <v>0.77</v>
      </c>
      <c r="FA38">
        <v>1.28</v>
      </c>
      <c r="FB38">
        <v>2.5499999999999998</v>
      </c>
      <c r="FC38">
        <v>0.26</v>
      </c>
      <c r="FD38" t="s">
        <v>375</v>
      </c>
      <c r="FE38">
        <v>89</v>
      </c>
      <c r="FF38" t="s">
        <v>1342</v>
      </c>
      <c r="FG38" t="s">
        <v>1343</v>
      </c>
      <c r="FH38" t="s">
        <v>1344</v>
      </c>
      <c r="FI38" t="s">
        <v>1345</v>
      </c>
      <c r="FJ38" t="s">
        <v>1346</v>
      </c>
      <c r="FK38" t="s">
        <v>1347</v>
      </c>
      <c r="FL38" t="s">
        <v>1348</v>
      </c>
      <c r="FM38">
        <v>0</v>
      </c>
      <c r="FN38">
        <v>0.48799999999999999</v>
      </c>
      <c r="FO38">
        <v>0.77500000000000002</v>
      </c>
      <c r="FP38">
        <v>0.60850000000000004</v>
      </c>
      <c r="FQ38">
        <v>0.27710000000000001</v>
      </c>
      <c r="FR38">
        <v>1.2E-2</v>
      </c>
      <c r="FS38">
        <v>0</v>
      </c>
      <c r="FT38">
        <v>0</v>
      </c>
      <c r="FU38">
        <v>0</v>
      </c>
      <c r="FV38">
        <v>0.16139999999999999</v>
      </c>
      <c r="FW38">
        <v>0</v>
      </c>
      <c r="FX38">
        <v>0</v>
      </c>
      <c r="FY38">
        <v>0.25</v>
      </c>
      <c r="FZ38">
        <v>0</v>
      </c>
      <c r="GA38">
        <v>83</v>
      </c>
      <c r="GB38">
        <v>1</v>
      </c>
      <c r="GC38">
        <v>1</v>
      </c>
      <c r="GD38">
        <v>41</v>
      </c>
      <c r="GE38">
        <v>1</v>
      </c>
      <c r="GF38">
        <v>21</v>
      </c>
      <c r="GG38">
        <v>0</v>
      </c>
      <c r="GH38">
        <v>0</v>
      </c>
      <c r="GI38">
        <v>0</v>
      </c>
      <c r="GJ38">
        <v>1</v>
      </c>
      <c r="GK38">
        <v>0</v>
      </c>
      <c r="GL38">
        <v>0</v>
      </c>
      <c r="GM38">
        <v>0</v>
      </c>
      <c r="GN38">
        <v>0</v>
      </c>
      <c r="GO38">
        <v>0</v>
      </c>
      <c r="GP38">
        <v>0</v>
      </c>
      <c r="GQ38">
        <v>0</v>
      </c>
      <c r="GR38">
        <v>0</v>
      </c>
      <c r="GS38">
        <v>0</v>
      </c>
      <c r="GT38">
        <v>0</v>
      </c>
      <c r="GU38">
        <v>0</v>
      </c>
      <c r="GV38">
        <v>0</v>
      </c>
      <c r="GW38">
        <v>0</v>
      </c>
      <c r="GX38">
        <v>0</v>
      </c>
      <c r="GY38">
        <v>0</v>
      </c>
      <c r="GZ38">
        <v>0</v>
      </c>
      <c r="HA38">
        <v>0</v>
      </c>
      <c r="HB38">
        <v>0</v>
      </c>
      <c r="HC38" t="s">
        <v>383</v>
      </c>
      <c r="HD38">
        <v>0</v>
      </c>
      <c r="HE38">
        <v>0</v>
      </c>
      <c r="HF38">
        <v>0</v>
      </c>
      <c r="HG38">
        <v>0</v>
      </c>
      <c r="HH38">
        <v>0</v>
      </c>
      <c r="HI38" t="s">
        <v>383</v>
      </c>
      <c r="HJ38">
        <v>0</v>
      </c>
      <c r="HK38">
        <v>0</v>
      </c>
      <c r="HL38">
        <v>0</v>
      </c>
      <c r="HM38">
        <v>0</v>
      </c>
      <c r="HN38">
        <v>0</v>
      </c>
      <c r="HO38" t="s">
        <v>383</v>
      </c>
      <c r="HP38">
        <v>0</v>
      </c>
      <c r="HQ38">
        <v>0</v>
      </c>
      <c r="HR38">
        <v>0</v>
      </c>
      <c r="HS38">
        <v>0</v>
      </c>
      <c r="HT38">
        <v>0</v>
      </c>
      <c r="HU38" t="s">
        <v>383</v>
      </c>
      <c r="HV38">
        <v>0</v>
      </c>
      <c r="HW38">
        <v>0</v>
      </c>
      <c r="HX38">
        <v>0</v>
      </c>
      <c r="HY38">
        <v>0</v>
      </c>
      <c r="HZ38">
        <v>0</v>
      </c>
      <c r="IA38" t="s">
        <v>384</v>
      </c>
      <c r="IB38">
        <v>0</v>
      </c>
      <c r="IC38">
        <v>0</v>
      </c>
      <c r="ID38">
        <v>0</v>
      </c>
      <c r="IE38">
        <v>0</v>
      </c>
      <c r="IF38">
        <v>0</v>
      </c>
      <c r="IG38" t="s">
        <v>384</v>
      </c>
      <c r="IH38">
        <v>0</v>
      </c>
      <c r="II38">
        <v>0</v>
      </c>
      <c r="IJ38">
        <v>0</v>
      </c>
      <c r="IK38">
        <v>0</v>
      </c>
      <c r="IL38">
        <v>0</v>
      </c>
      <c r="IM38" t="s">
        <v>384</v>
      </c>
      <c r="IN38">
        <v>0</v>
      </c>
      <c r="IO38">
        <v>0</v>
      </c>
      <c r="IP38">
        <v>0</v>
      </c>
      <c r="IQ38">
        <v>0</v>
      </c>
      <c r="IR38">
        <v>0</v>
      </c>
      <c r="IS38" t="s">
        <v>384</v>
      </c>
      <c r="IT38">
        <v>0</v>
      </c>
      <c r="IU38">
        <v>0</v>
      </c>
      <c r="IV38">
        <v>0</v>
      </c>
      <c r="IW38">
        <v>0</v>
      </c>
      <c r="IX38">
        <v>0</v>
      </c>
      <c r="IY38">
        <v>0</v>
      </c>
      <c r="IZ38">
        <v>0</v>
      </c>
      <c r="JA38">
        <v>0</v>
      </c>
      <c r="JD38" t="s">
        <v>483</v>
      </c>
      <c r="JE38" t="s">
        <v>386</v>
      </c>
      <c r="JF38" t="s">
        <v>1349</v>
      </c>
      <c r="JG38" t="s">
        <v>1350</v>
      </c>
      <c r="JH38" t="s">
        <v>1351</v>
      </c>
      <c r="JI38" t="s">
        <v>1352</v>
      </c>
      <c r="JJ38">
        <v>0.45</v>
      </c>
      <c r="JK38">
        <v>0</v>
      </c>
      <c r="JL38" t="s">
        <v>391</v>
      </c>
      <c r="JM38">
        <v>0</v>
      </c>
      <c r="JN38">
        <v>0</v>
      </c>
      <c r="JO38">
        <v>0</v>
      </c>
      <c r="JP38">
        <v>0</v>
      </c>
      <c r="JQ38">
        <v>0</v>
      </c>
      <c r="JR38">
        <v>0</v>
      </c>
      <c r="JS38">
        <v>0</v>
      </c>
      <c r="JT38">
        <v>0</v>
      </c>
      <c r="JU38">
        <v>0</v>
      </c>
      <c r="JV38">
        <v>0</v>
      </c>
      <c r="JX38" t="s">
        <v>392</v>
      </c>
      <c r="JY38">
        <v>0</v>
      </c>
      <c r="JZ38">
        <v>0</v>
      </c>
      <c r="KA38">
        <v>1</v>
      </c>
      <c r="KB38">
        <v>0</v>
      </c>
      <c r="KC38">
        <v>0</v>
      </c>
      <c r="KD38">
        <v>1</v>
      </c>
      <c r="KE38">
        <v>0</v>
      </c>
      <c r="KF38">
        <v>0</v>
      </c>
      <c r="KG38">
        <v>1</v>
      </c>
      <c r="KH38">
        <v>0</v>
      </c>
      <c r="KI38">
        <v>0</v>
      </c>
      <c r="KJ38">
        <v>1</v>
      </c>
      <c r="KK38">
        <v>0</v>
      </c>
      <c r="KL38">
        <v>0</v>
      </c>
      <c r="KM38">
        <v>1</v>
      </c>
      <c r="KN38">
        <v>0</v>
      </c>
      <c r="KO38">
        <v>0</v>
      </c>
      <c r="KP38">
        <v>1</v>
      </c>
      <c r="KQ38">
        <v>0</v>
      </c>
      <c r="KR38">
        <v>0</v>
      </c>
      <c r="KS38">
        <v>1</v>
      </c>
      <c r="KT38">
        <v>0</v>
      </c>
      <c r="KU38">
        <v>0</v>
      </c>
      <c r="KV38">
        <v>1</v>
      </c>
      <c r="KW38">
        <v>0</v>
      </c>
      <c r="KX38">
        <v>0</v>
      </c>
      <c r="KY38">
        <v>1</v>
      </c>
      <c r="KZ38">
        <v>0</v>
      </c>
      <c r="LA38">
        <v>0</v>
      </c>
      <c r="LB38">
        <v>0</v>
      </c>
      <c r="LC38">
        <v>0</v>
      </c>
      <c r="LD38">
        <v>0</v>
      </c>
      <c r="LE38">
        <v>0</v>
      </c>
      <c r="LF38">
        <v>0</v>
      </c>
      <c r="LG38">
        <v>0</v>
      </c>
      <c r="LH38">
        <v>0</v>
      </c>
      <c r="LI38">
        <v>0</v>
      </c>
      <c r="LJ38">
        <v>0</v>
      </c>
      <c r="LK38">
        <v>0</v>
      </c>
      <c r="LN38" t="s">
        <v>393</v>
      </c>
      <c r="LO38" t="s">
        <v>394</v>
      </c>
      <c r="LP38" t="s">
        <v>395</v>
      </c>
      <c r="LQ38">
        <v>0.38590000000000002</v>
      </c>
      <c r="LR38">
        <v>13.7788</v>
      </c>
      <c r="LS38">
        <v>9.7431000000000001</v>
      </c>
      <c r="LT38">
        <v>1275</v>
      </c>
      <c r="LU38">
        <v>492</v>
      </c>
      <c r="LV38">
        <v>68.969300000000004</v>
      </c>
      <c r="LW38">
        <v>0.83540000000000003</v>
      </c>
      <c r="LX38">
        <v>0.44040000000000001</v>
      </c>
      <c r="LY38">
        <v>0.44040000000000001</v>
      </c>
      <c r="LZ38">
        <v>0.44040000000000001</v>
      </c>
      <c r="MA38">
        <v>0</v>
      </c>
      <c r="MB38">
        <v>547</v>
      </c>
      <c r="MC38">
        <v>1</v>
      </c>
      <c r="MD38" t="s">
        <v>396</v>
      </c>
      <c r="ME38" t="s">
        <v>458</v>
      </c>
    </row>
    <row r="39" spans="1:343" ht="16.95" customHeight="1" x14ac:dyDescent="0.3">
      <c r="A39" t="s">
        <v>1353</v>
      </c>
      <c r="B39" t="s">
        <v>1354</v>
      </c>
      <c r="C39" t="s">
        <v>345</v>
      </c>
      <c r="D39" t="s">
        <v>346</v>
      </c>
      <c r="E39" t="s">
        <v>347</v>
      </c>
      <c r="F39" t="s">
        <v>1355</v>
      </c>
      <c r="G39" t="s">
        <v>1356</v>
      </c>
      <c r="H39" t="s">
        <v>1357</v>
      </c>
      <c r="I39" t="s">
        <v>351</v>
      </c>
      <c r="J39">
        <v>1799</v>
      </c>
      <c r="K39">
        <v>763</v>
      </c>
      <c r="L39">
        <v>0.42409999999999998</v>
      </c>
      <c r="M39">
        <v>124</v>
      </c>
      <c r="N39">
        <v>3</v>
      </c>
      <c r="O39">
        <v>1</v>
      </c>
      <c r="P39">
        <v>14.5</v>
      </c>
      <c r="Q39">
        <v>41.3</v>
      </c>
      <c r="R39">
        <v>23.3</v>
      </c>
      <c r="S39">
        <v>7.4</v>
      </c>
      <c r="T39">
        <v>7</v>
      </c>
      <c r="U39">
        <v>1.3</v>
      </c>
      <c r="V39">
        <v>6.2</v>
      </c>
      <c r="W39">
        <v>9</v>
      </c>
      <c r="X39">
        <v>5.3</v>
      </c>
      <c r="Y39">
        <v>7</v>
      </c>
      <c r="Z39">
        <v>8</v>
      </c>
      <c r="AA39">
        <v>0.88</v>
      </c>
      <c r="AB39" t="s">
        <v>493</v>
      </c>
      <c r="AC39" t="b">
        <v>0</v>
      </c>
      <c r="AD39" t="s">
        <v>353</v>
      </c>
      <c r="AE39">
        <v>0.43009999999999998</v>
      </c>
      <c r="AF39" t="s">
        <v>354</v>
      </c>
      <c r="AG39">
        <v>0.19400000000000001</v>
      </c>
      <c r="AH39">
        <v>2.8899999999999999E-2</v>
      </c>
      <c r="AI39">
        <v>0.78269999999999995</v>
      </c>
      <c r="AJ39" t="s">
        <v>355</v>
      </c>
      <c r="AK39">
        <v>3.93</v>
      </c>
      <c r="AL39">
        <v>9</v>
      </c>
      <c r="AM39" t="s">
        <v>354</v>
      </c>
      <c r="AN39">
        <v>1</v>
      </c>
      <c r="AO39">
        <v>0.56000000000000005</v>
      </c>
      <c r="AP39">
        <v>29</v>
      </c>
      <c r="AQ39">
        <v>16.12</v>
      </c>
      <c r="AR39">
        <v>29</v>
      </c>
      <c r="AS39">
        <v>4</v>
      </c>
      <c r="AT39" t="s">
        <v>357</v>
      </c>
      <c r="AU39">
        <v>9.6999999999999993</v>
      </c>
      <c r="AV39">
        <v>12</v>
      </c>
      <c r="AW39" t="s">
        <v>1094</v>
      </c>
      <c r="AX39">
        <v>14</v>
      </c>
      <c r="AY39">
        <v>7.78</v>
      </c>
      <c r="AZ39">
        <v>0</v>
      </c>
      <c r="BA39">
        <v>7</v>
      </c>
      <c r="BB39">
        <v>4</v>
      </c>
      <c r="BC39">
        <v>3</v>
      </c>
      <c r="BD39">
        <v>0</v>
      </c>
      <c r="BE39">
        <v>11</v>
      </c>
      <c r="BF39">
        <v>0</v>
      </c>
      <c r="BG39">
        <v>11</v>
      </c>
      <c r="BH39">
        <v>3</v>
      </c>
      <c r="BI39">
        <v>0.42</v>
      </c>
      <c r="BJ39" t="b">
        <v>0</v>
      </c>
      <c r="BK39" t="b">
        <v>0</v>
      </c>
      <c r="BL39">
        <v>3</v>
      </c>
      <c r="BM39">
        <v>3</v>
      </c>
      <c r="BN39">
        <v>2</v>
      </c>
      <c r="BO39">
        <v>1</v>
      </c>
      <c r="BP39">
        <v>0</v>
      </c>
      <c r="BQ39">
        <v>1</v>
      </c>
      <c r="BR39">
        <v>0</v>
      </c>
      <c r="BS39">
        <v>1799</v>
      </c>
      <c r="BT39">
        <v>763</v>
      </c>
      <c r="BU39">
        <v>0.42409999999999998</v>
      </c>
      <c r="BV39">
        <v>3</v>
      </c>
      <c r="BW39">
        <v>1</v>
      </c>
      <c r="BX39">
        <v>599.70000000000005</v>
      </c>
      <c r="BZ39" t="s">
        <v>1358</v>
      </c>
      <c r="CA39" t="s">
        <v>1359</v>
      </c>
      <c r="CB39" t="s">
        <v>1360</v>
      </c>
      <c r="CC39" t="s">
        <v>1361</v>
      </c>
      <c r="CD39">
        <v>0</v>
      </c>
      <c r="CE39">
        <v>0</v>
      </c>
      <c r="CF39">
        <v>0</v>
      </c>
      <c r="CG39">
        <v>0</v>
      </c>
      <c r="CH39">
        <v>4</v>
      </c>
      <c r="CI39" t="s">
        <v>924</v>
      </c>
      <c r="CJ39">
        <v>16</v>
      </c>
      <c r="CK39">
        <v>8.89</v>
      </c>
      <c r="CL39" t="s">
        <v>1362</v>
      </c>
      <c r="CM39">
        <v>1</v>
      </c>
      <c r="CN39">
        <v>0</v>
      </c>
      <c r="CO39" t="b">
        <v>1</v>
      </c>
      <c r="CP39" t="b">
        <v>1</v>
      </c>
      <c r="CQ39" t="b">
        <v>1</v>
      </c>
      <c r="CR39" t="b">
        <v>1</v>
      </c>
      <c r="CS39" t="b">
        <v>1</v>
      </c>
      <c r="CT39" t="b">
        <v>1</v>
      </c>
      <c r="CU39" t="b">
        <v>1</v>
      </c>
      <c r="CV39">
        <v>0</v>
      </c>
      <c r="CW39">
        <v>0</v>
      </c>
      <c r="CX39">
        <v>0</v>
      </c>
      <c r="CY39">
        <v>1</v>
      </c>
      <c r="CZ39">
        <v>0.56000000000000005</v>
      </c>
      <c r="DA39">
        <v>29</v>
      </c>
      <c r="DB39">
        <v>16.11</v>
      </c>
      <c r="DC39">
        <v>29</v>
      </c>
      <c r="DD39">
        <v>4</v>
      </c>
      <c r="DE39">
        <v>2.2200000000000002</v>
      </c>
      <c r="DF39">
        <v>3</v>
      </c>
      <c r="DG39">
        <v>1.67</v>
      </c>
      <c r="DH39">
        <v>7</v>
      </c>
      <c r="DI39">
        <v>3.89</v>
      </c>
      <c r="DJ39">
        <v>0.43</v>
      </c>
      <c r="DK39">
        <v>0</v>
      </c>
      <c r="DL39">
        <v>26</v>
      </c>
      <c r="DM39">
        <v>0</v>
      </c>
      <c r="DN39">
        <v>0</v>
      </c>
      <c r="DO39">
        <v>115</v>
      </c>
      <c r="DP39">
        <v>16</v>
      </c>
      <c r="DQ39">
        <v>8.89</v>
      </c>
      <c r="DR39" t="s">
        <v>1363</v>
      </c>
      <c r="DS39" t="s">
        <v>1364</v>
      </c>
      <c r="DT39" t="s">
        <v>1365</v>
      </c>
      <c r="DU39" t="s">
        <v>1366</v>
      </c>
      <c r="DV39" t="s">
        <v>1367</v>
      </c>
      <c r="DW39">
        <v>5</v>
      </c>
      <c r="DX39">
        <v>0</v>
      </c>
      <c r="DY39">
        <v>2.17</v>
      </c>
      <c r="DZ39">
        <v>5</v>
      </c>
      <c r="EA39">
        <v>5</v>
      </c>
      <c r="EB39">
        <v>17.170000000000002</v>
      </c>
      <c r="EC39" t="s">
        <v>825</v>
      </c>
      <c r="ED39" t="s">
        <v>667</v>
      </c>
      <c r="EE39">
        <v>10</v>
      </c>
      <c r="EF39" t="s">
        <v>356</v>
      </c>
      <c r="EG39">
        <v>0.78</v>
      </c>
      <c r="EH39">
        <v>3.83</v>
      </c>
      <c r="EI39">
        <v>0.20300000000000001</v>
      </c>
      <c r="EJ39" t="s">
        <v>370</v>
      </c>
      <c r="EK39">
        <v>2.78</v>
      </c>
      <c r="EL39" t="s">
        <v>472</v>
      </c>
      <c r="EM39" t="s">
        <v>1368</v>
      </c>
      <c r="EN39">
        <v>2.58</v>
      </c>
      <c r="EO39" t="s">
        <v>474</v>
      </c>
      <c r="EP39">
        <v>3</v>
      </c>
      <c r="EQ39">
        <v>0</v>
      </c>
      <c r="ER39">
        <v>95</v>
      </c>
      <c r="ES39" t="s">
        <v>669</v>
      </c>
      <c r="ET39">
        <v>0.74</v>
      </c>
      <c r="EU39">
        <v>2.41</v>
      </c>
      <c r="EV39">
        <v>5.56</v>
      </c>
      <c r="EW39">
        <v>1.3</v>
      </c>
      <c r="EX39">
        <v>0.56000000000000005</v>
      </c>
      <c r="EY39">
        <v>1.1100000000000001</v>
      </c>
      <c r="EZ39">
        <v>1.67</v>
      </c>
      <c r="FA39">
        <v>2.78</v>
      </c>
      <c r="FB39">
        <v>2.78</v>
      </c>
      <c r="FC39">
        <v>6.85</v>
      </c>
      <c r="FD39" t="s">
        <v>375</v>
      </c>
      <c r="FE39">
        <v>184</v>
      </c>
      <c r="FF39" t="s">
        <v>1369</v>
      </c>
      <c r="FG39" t="s">
        <v>1370</v>
      </c>
      <c r="FH39" t="s">
        <v>1371</v>
      </c>
      <c r="FI39" t="s">
        <v>1372</v>
      </c>
      <c r="FJ39" t="s">
        <v>1373</v>
      </c>
      <c r="FK39" t="s">
        <v>1374</v>
      </c>
      <c r="FL39" t="s">
        <v>1375</v>
      </c>
      <c r="FM39">
        <v>0</v>
      </c>
      <c r="FN39">
        <v>0.54579999999999995</v>
      </c>
      <c r="FO39">
        <v>0.77500000000000002</v>
      </c>
      <c r="FP39">
        <v>0.64200000000000002</v>
      </c>
      <c r="FQ39">
        <v>0.44090000000000001</v>
      </c>
      <c r="FR39">
        <v>4.7199999999999999E-2</v>
      </c>
      <c r="FS39">
        <v>7.9000000000000008E-3</v>
      </c>
      <c r="FT39">
        <v>0</v>
      </c>
      <c r="FU39">
        <v>0</v>
      </c>
      <c r="FV39">
        <v>0.15429999999999999</v>
      </c>
      <c r="FW39">
        <v>3.7499999999999999E-2</v>
      </c>
      <c r="FX39">
        <v>0</v>
      </c>
      <c r="FY39">
        <v>0.25580000000000003</v>
      </c>
      <c r="FZ39">
        <v>1.67E-2</v>
      </c>
      <c r="GA39">
        <v>127</v>
      </c>
      <c r="GB39">
        <v>1</v>
      </c>
      <c r="GC39">
        <v>1</v>
      </c>
      <c r="GD39">
        <v>60</v>
      </c>
      <c r="GE39">
        <v>4</v>
      </c>
      <c r="GF39">
        <v>24</v>
      </c>
      <c r="GG39">
        <v>0</v>
      </c>
      <c r="GH39">
        <v>1</v>
      </c>
      <c r="GI39">
        <v>0</v>
      </c>
      <c r="GJ39">
        <v>4</v>
      </c>
      <c r="GK39">
        <v>0.14990000000000001</v>
      </c>
      <c r="GL39">
        <v>0</v>
      </c>
      <c r="GM39">
        <v>0</v>
      </c>
      <c r="GN39">
        <v>0</v>
      </c>
      <c r="GO39">
        <v>0</v>
      </c>
      <c r="GP39">
        <v>0</v>
      </c>
      <c r="GQ39">
        <v>0</v>
      </c>
      <c r="GR39">
        <v>0</v>
      </c>
      <c r="GS39">
        <v>0</v>
      </c>
      <c r="GT39">
        <v>0</v>
      </c>
      <c r="GU39">
        <v>0.14990000000000001</v>
      </c>
      <c r="GV39">
        <v>0</v>
      </c>
      <c r="GW39">
        <v>0</v>
      </c>
      <c r="GX39">
        <v>0</v>
      </c>
      <c r="GY39">
        <v>0</v>
      </c>
      <c r="GZ39">
        <v>0</v>
      </c>
      <c r="HA39">
        <v>0</v>
      </c>
      <c r="HB39">
        <v>0</v>
      </c>
      <c r="HC39" t="s">
        <v>383</v>
      </c>
      <c r="HD39">
        <v>0</v>
      </c>
      <c r="HE39">
        <v>0</v>
      </c>
      <c r="HF39">
        <v>0</v>
      </c>
      <c r="HG39">
        <v>0</v>
      </c>
      <c r="HH39">
        <v>0</v>
      </c>
      <c r="HI39" t="s">
        <v>383</v>
      </c>
      <c r="HJ39">
        <v>0</v>
      </c>
      <c r="HK39">
        <v>0</v>
      </c>
      <c r="HL39">
        <v>0</v>
      </c>
      <c r="HM39">
        <v>0</v>
      </c>
      <c r="HN39">
        <v>0</v>
      </c>
      <c r="HO39" t="s">
        <v>383</v>
      </c>
      <c r="HP39">
        <v>0</v>
      </c>
      <c r="HQ39">
        <v>0</v>
      </c>
      <c r="HR39">
        <v>0</v>
      </c>
      <c r="HS39">
        <v>0</v>
      </c>
      <c r="HT39">
        <v>0</v>
      </c>
      <c r="HU39" t="s">
        <v>383</v>
      </c>
      <c r="HV39">
        <v>0</v>
      </c>
      <c r="HW39">
        <v>0</v>
      </c>
      <c r="HX39">
        <v>0</v>
      </c>
      <c r="HY39">
        <v>0</v>
      </c>
      <c r="HZ39">
        <v>0</v>
      </c>
      <c r="IA39" t="s">
        <v>384</v>
      </c>
      <c r="IB39">
        <v>0</v>
      </c>
      <c r="IC39">
        <v>0</v>
      </c>
      <c r="ID39">
        <v>0</v>
      </c>
      <c r="IE39">
        <v>0</v>
      </c>
      <c r="IF39">
        <v>0</v>
      </c>
      <c r="IG39" t="s">
        <v>384</v>
      </c>
      <c r="IH39">
        <v>0</v>
      </c>
      <c r="II39">
        <v>0</v>
      </c>
      <c r="IJ39">
        <v>0</v>
      </c>
      <c r="IK39">
        <v>0</v>
      </c>
      <c r="IL39">
        <v>0</v>
      </c>
      <c r="IM39" t="s">
        <v>384</v>
      </c>
      <c r="IN39">
        <v>0</v>
      </c>
      <c r="IO39">
        <v>0</v>
      </c>
      <c r="IP39">
        <v>0</v>
      </c>
      <c r="IQ39">
        <v>0</v>
      </c>
      <c r="IR39">
        <v>0</v>
      </c>
      <c r="IS39" t="s">
        <v>384</v>
      </c>
      <c r="IT39">
        <v>0</v>
      </c>
      <c r="IU39">
        <v>0</v>
      </c>
      <c r="IV39">
        <v>0</v>
      </c>
      <c r="IW39">
        <v>0</v>
      </c>
      <c r="IX39">
        <v>0</v>
      </c>
      <c r="IY39">
        <v>0</v>
      </c>
      <c r="IZ39">
        <v>0</v>
      </c>
      <c r="JA39">
        <v>0</v>
      </c>
      <c r="JD39" t="s">
        <v>483</v>
      </c>
      <c r="JE39" t="s">
        <v>1376</v>
      </c>
      <c r="JF39" t="s">
        <v>1377</v>
      </c>
      <c r="JG39" t="s">
        <v>1364</v>
      </c>
      <c r="JH39" t="s">
        <v>1378</v>
      </c>
      <c r="JI39" t="s">
        <v>1379</v>
      </c>
      <c r="JJ39">
        <v>0.4</v>
      </c>
      <c r="JK39">
        <v>0</v>
      </c>
      <c r="JL39" t="s">
        <v>391</v>
      </c>
      <c r="JM39">
        <v>0</v>
      </c>
      <c r="JN39">
        <v>0</v>
      </c>
      <c r="JO39">
        <v>0</v>
      </c>
      <c r="JP39">
        <v>0</v>
      </c>
      <c r="JQ39">
        <v>0</v>
      </c>
      <c r="JR39">
        <v>0</v>
      </c>
      <c r="JS39">
        <v>0</v>
      </c>
      <c r="JT39">
        <v>0</v>
      </c>
      <c r="JU39">
        <v>0</v>
      </c>
      <c r="JV39">
        <v>0</v>
      </c>
      <c r="JX39" t="s">
        <v>392</v>
      </c>
      <c r="JY39">
        <v>0</v>
      </c>
      <c r="JZ39">
        <v>0</v>
      </c>
      <c r="KA39">
        <v>1</v>
      </c>
      <c r="KB39">
        <v>0</v>
      </c>
      <c r="KC39">
        <v>0</v>
      </c>
      <c r="KD39">
        <v>1</v>
      </c>
      <c r="KE39">
        <v>0</v>
      </c>
      <c r="KF39">
        <v>0</v>
      </c>
      <c r="KG39">
        <v>1</v>
      </c>
      <c r="KH39">
        <v>0</v>
      </c>
      <c r="KI39">
        <v>0</v>
      </c>
      <c r="KJ39">
        <v>1</v>
      </c>
      <c r="KK39">
        <v>0</v>
      </c>
      <c r="KL39">
        <v>0</v>
      </c>
      <c r="KM39">
        <v>1</v>
      </c>
      <c r="KN39">
        <v>0</v>
      </c>
      <c r="KO39">
        <v>0</v>
      </c>
      <c r="KP39">
        <v>1</v>
      </c>
      <c r="KQ39">
        <v>0</v>
      </c>
      <c r="KR39">
        <v>0</v>
      </c>
      <c r="KS39">
        <v>1</v>
      </c>
      <c r="KT39">
        <v>0</v>
      </c>
      <c r="KU39">
        <v>0</v>
      </c>
      <c r="KV39">
        <v>1</v>
      </c>
      <c r="KW39">
        <v>0</v>
      </c>
      <c r="KX39">
        <v>0</v>
      </c>
      <c r="KY39">
        <v>1</v>
      </c>
      <c r="KZ39">
        <v>0</v>
      </c>
      <c r="LA39">
        <v>0</v>
      </c>
      <c r="LB39">
        <v>0</v>
      </c>
      <c r="LC39">
        <v>0</v>
      </c>
      <c r="LD39">
        <v>0</v>
      </c>
      <c r="LE39">
        <v>0</v>
      </c>
      <c r="LF39">
        <v>0</v>
      </c>
      <c r="LG39">
        <v>0</v>
      </c>
      <c r="LH39">
        <v>0</v>
      </c>
      <c r="LI39">
        <v>0</v>
      </c>
      <c r="LJ39">
        <v>0</v>
      </c>
      <c r="LK39">
        <v>0</v>
      </c>
      <c r="LN39" t="s">
        <v>393</v>
      </c>
      <c r="LO39" t="s">
        <v>394</v>
      </c>
      <c r="LP39" t="s">
        <v>395</v>
      </c>
      <c r="LQ39">
        <v>0.42120000000000002</v>
      </c>
      <c r="LR39">
        <v>17.147200000000002</v>
      </c>
      <c r="LS39">
        <v>12.1249</v>
      </c>
      <c r="LT39">
        <v>1657</v>
      </c>
      <c r="LU39">
        <v>698</v>
      </c>
      <c r="LV39">
        <v>147.84309999999999</v>
      </c>
      <c r="LW39">
        <v>0.91600000000000004</v>
      </c>
      <c r="LX39">
        <v>0.6431</v>
      </c>
      <c r="LY39">
        <v>0.6431</v>
      </c>
      <c r="LZ39">
        <v>0.6431</v>
      </c>
      <c r="MA39">
        <v>0</v>
      </c>
      <c r="MB39">
        <v>1063</v>
      </c>
      <c r="MC39">
        <v>1</v>
      </c>
      <c r="MD39" t="s">
        <v>396</v>
      </c>
      <c r="ME39" t="s">
        <v>517</v>
      </c>
    </row>
    <row r="40" spans="1:343" ht="16.95" customHeight="1" x14ac:dyDescent="0.3">
      <c r="A40" t="s">
        <v>1380</v>
      </c>
      <c r="B40" t="s">
        <v>1381</v>
      </c>
      <c r="C40" t="s">
        <v>345</v>
      </c>
      <c r="D40" t="s">
        <v>346</v>
      </c>
      <c r="E40" t="s">
        <v>347</v>
      </c>
      <c r="F40" t="s">
        <v>1382</v>
      </c>
      <c r="G40" t="s">
        <v>1383</v>
      </c>
      <c r="H40" t="s">
        <v>1384</v>
      </c>
      <c r="I40" t="s">
        <v>351</v>
      </c>
      <c r="J40">
        <v>705</v>
      </c>
      <c r="K40">
        <v>277</v>
      </c>
      <c r="L40">
        <v>0.39290000000000003</v>
      </c>
      <c r="M40">
        <v>38</v>
      </c>
      <c r="N40">
        <v>3</v>
      </c>
      <c r="O40">
        <v>1</v>
      </c>
      <c r="P40">
        <v>18.600000000000001</v>
      </c>
      <c r="Q40">
        <v>12.7</v>
      </c>
      <c r="R40">
        <v>21.5</v>
      </c>
      <c r="S40">
        <v>7.4</v>
      </c>
      <c r="T40">
        <v>7.6</v>
      </c>
      <c r="U40">
        <v>2.4</v>
      </c>
      <c r="V40">
        <v>6.1</v>
      </c>
      <c r="W40">
        <v>4</v>
      </c>
      <c r="X40">
        <v>6.2</v>
      </c>
      <c r="Y40">
        <v>1</v>
      </c>
      <c r="Z40">
        <v>1</v>
      </c>
      <c r="AA40">
        <v>1</v>
      </c>
      <c r="AB40" t="s">
        <v>493</v>
      </c>
      <c r="AC40" t="b">
        <v>0</v>
      </c>
      <c r="AD40" t="s">
        <v>353</v>
      </c>
      <c r="AE40">
        <v>0.43440000000000001</v>
      </c>
      <c r="AF40" t="s">
        <v>354</v>
      </c>
      <c r="AG40">
        <v>0.25390000000000001</v>
      </c>
      <c r="AH40">
        <v>8.2500000000000004E-2</v>
      </c>
      <c r="AI40">
        <v>0.6845</v>
      </c>
      <c r="AJ40" t="s">
        <v>355</v>
      </c>
      <c r="AK40">
        <v>4.63</v>
      </c>
      <c r="AL40">
        <v>12</v>
      </c>
      <c r="AM40" t="s">
        <v>356</v>
      </c>
      <c r="AN40">
        <v>2</v>
      </c>
      <c r="AO40">
        <v>2.84</v>
      </c>
      <c r="AP40">
        <v>6</v>
      </c>
      <c r="AQ40">
        <v>8.51</v>
      </c>
      <c r="AR40">
        <v>3</v>
      </c>
      <c r="AS40">
        <v>6</v>
      </c>
      <c r="AT40" t="s">
        <v>357</v>
      </c>
      <c r="AU40">
        <v>26.3</v>
      </c>
      <c r="AV40">
        <v>10</v>
      </c>
      <c r="AW40" t="s">
        <v>356</v>
      </c>
      <c r="AX40">
        <v>7</v>
      </c>
      <c r="AY40">
        <v>9.93</v>
      </c>
      <c r="AZ40">
        <v>0</v>
      </c>
      <c r="BA40">
        <v>7</v>
      </c>
      <c r="BB40">
        <v>0</v>
      </c>
      <c r="BC40">
        <v>0</v>
      </c>
      <c r="BD40">
        <v>0</v>
      </c>
      <c r="BE40">
        <v>7</v>
      </c>
      <c r="BF40">
        <v>0</v>
      </c>
      <c r="BG40">
        <v>7</v>
      </c>
      <c r="BH40">
        <v>1</v>
      </c>
      <c r="BI40">
        <v>0</v>
      </c>
      <c r="BJ40" t="b">
        <v>0</v>
      </c>
      <c r="BK40" t="b">
        <v>0</v>
      </c>
      <c r="BL40">
        <v>3</v>
      </c>
      <c r="BM40">
        <v>3</v>
      </c>
      <c r="BN40">
        <v>2</v>
      </c>
      <c r="BO40">
        <v>1</v>
      </c>
      <c r="BP40">
        <v>0</v>
      </c>
      <c r="BQ40">
        <v>1</v>
      </c>
      <c r="BR40">
        <v>0</v>
      </c>
      <c r="BS40">
        <v>705</v>
      </c>
      <c r="BT40">
        <v>277</v>
      </c>
      <c r="BU40">
        <v>0.39290000000000003</v>
      </c>
      <c r="BV40">
        <v>3</v>
      </c>
      <c r="BW40">
        <v>1</v>
      </c>
      <c r="BX40">
        <v>235</v>
      </c>
      <c r="BZ40" t="s">
        <v>1385</v>
      </c>
      <c r="CA40" t="s">
        <v>1386</v>
      </c>
      <c r="CB40" t="s">
        <v>1387</v>
      </c>
      <c r="CC40" t="s">
        <v>1388</v>
      </c>
      <c r="CD40">
        <v>0</v>
      </c>
      <c r="CE40">
        <v>0</v>
      </c>
      <c r="CF40">
        <v>0</v>
      </c>
      <c r="CG40">
        <v>0</v>
      </c>
      <c r="CH40">
        <v>1</v>
      </c>
      <c r="CI40" t="s">
        <v>362</v>
      </c>
      <c r="CJ40">
        <v>3</v>
      </c>
      <c r="CK40">
        <v>4.25</v>
      </c>
      <c r="CL40" t="s">
        <v>440</v>
      </c>
      <c r="CM40">
        <v>1</v>
      </c>
      <c r="CN40">
        <v>0</v>
      </c>
      <c r="CO40" t="b">
        <v>0</v>
      </c>
      <c r="CP40" t="b">
        <v>0</v>
      </c>
      <c r="CQ40" t="b">
        <v>1</v>
      </c>
      <c r="CR40" t="b">
        <v>0</v>
      </c>
      <c r="CS40" t="b">
        <v>0</v>
      </c>
      <c r="CT40" t="b">
        <v>0</v>
      </c>
      <c r="CU40" t="b">
        <v>0</v>
      </c>
      <c r="CV40">
        <v>0</v>
      </c>
      <c r="CW40">
        <v>0</v>
      </c>
      <c r="CX40">
        <v>0</v>
      </c>
      <c r="CY40">
        <v>2</v>
      </c>
      <c r="CZ40">
        <v>2.83</v>
      </c>
      <c r="DA40">
        <v>6</v>
      </c>
      <c r="DB40">
        <v>8.5</v>
      </c>
      <c r="DC40">
        <v>3</v>
      </c>
      <c r="DD40">
        <v>8</v>
      </c>
      <c r="DE40">
        <v>11.33</v>
      </c>
      <c r="DF40">
        <v>0</v>
      </c>
      <c r="DG40">
        <v>0</v>
      </c>
      <c r="DH40">
        <v>4</v>
      </c>
      <c r="DI40">
        <v>5.67</v>
      </c>
      <c r="DJ40">
        <v>0</v>
      </c>
      <c r="DK40">
        <v>0</v>
      </c>
      <c r="DL40">
        <v>0</v>
      </c>
      <c r="DM40">
        <v>0</v>
      </c>
      <c r="DN40">
        <v>0</v>
      </c>
      <c r="DO40">
        <v>23</v>
      </c>
      <c r="DP40">
        <v>4</v>
      </c>
      <c r="DQ40">
        <v>5.67</v>
      </c>
      <c r="DR40" t="s">
        <v>1389</v>
      </c>
      <c r="DS40" t="s">
        <v>1390</v>
      </c>
      <c r="DT40" t="s">
        <v>1391</v>
      </c>
      <c r="DU40" t="s">
        <v>365</v>
      </c>
      <c r="DV40" t="s">
        <v>1392</v>
      </c>
      <c r="DW40">
        <v>0.71</v>
      </c>
      <c r="DX40">
        <v>0</v>
      </c>
      <c r="DY40">
        <v>2.33</v>
      </c>
      <c r="DZ40">
        <v>5</v>
      </c>
      <c r="EA40">
        <v>5</v>
      </c>
      <c r="EB40">
        <v>13.04</v>
      </c>
      <c r="EC40" t="s">
        <v>503</v>
      </c>
      <c r="ED40" t="s">
        <v>413</v>
      </c>
      <c r="EE40">
        <v>10</v>
      </c>
      <c r="EF40" t="s">
        <v>356</v>
      </c>
      <c r="EG40">
        <v>0</v>
      </c>
      <c r="EH40">
        <v>4.67</v>
      </c>
      <c r="EI40">
        <v>0</v>
      </c>
      <c r="EJ40" t="s">
        <v>370</v>
      </c>
      <c r="EK40">
        <v>0.85</v>
      </c>
      <c r="EL40" t="s">
        <v>472</v>
      </c>
      <c r="EM40" t="s">
        <v>1393</v>
      </c>
      <c r="EN40">
        <v>1.89</v>
      </c>
      <c r="EO40" t="s">
        <v>474</v>
      </c>
      <c r="EP40">
        <v>0</v>
      </c>
      <c r="EQ40">
        <v>0</v>
      </c>
      <c r="ER40">
        <v>63</v>
      </c>
      <c r="ES40" t="s">
        <v>475</v>
      </c>
      <c r="ET40">
        <v>0</v>
      </c>
      <c r="EU40">
        <v>0.94</v>
      </c>
      <c r="EV40">
        <v>2.83</v>
      </c>
      <c r="EW40">
        <v>2.36</v>
      </c>
      <c r="EX40">
        <v>0</v>
      </c>
      <c r="EY40">
        <v>0</v>
      </c>
      <c r="EZ40">
        <v>1.89</v>
      </c>
      <c r="FA40">
        <v>0.94</v>
      </c>
      <c r="FB40">
        <v>1.89</v>
      </c>
      <c r="FC40">
        <v>8.0299999999999994</v>
      </c>
      <c r="FD40" t="s">
        <v>375</v>
      </c>
      <c r="FE40">
        <v>45</v>
      </c>
      <c r="FF40" t="s">
        <v>1394</v>
      </c>
      <c r="FG40" t="s">
        <v>1395</v>
      </c>
      <c r="FH40" t="s">
        <v>1396</v>
      </c>
      <c r="FI40" t="s">
        <v>1397</v>
      </c>
      <c r="FJ40" t="s">
        <v>1398</v>
      </c>
      <c r="FK40" t="s">
        <v>1399</v>
      </c>
      <c r="FL40" t="s">
        <v>1400</v>
      </c>
      <c r="FM40">
        <v>0</v>
      </c>
      <c r="FN40">
        <v>0.54690000000000005</v>
      </c>
      <c r="FO40">
        <v>0.77500000000000002</v>
      </c>
      <c r="FP40">
        <v>0.64270000000000005</v>
      </c>
      <c r="FQ40">
        <v>0.47370000000000001</v>
      </c>
      <c r="FR40">
        <v>0</v>
      </c>
      <c r="FS40">
        <v>0</v>
      </c>
      <c r="FT40">
        <v>0</v>
      </c>
      <c r="FU40">
        <v>0</v>
      </c>
      <c r="FV40">
        <v>0.2263</v>
      </c>
      <c r="FW40">
        <v>4.7500000000000001E-2</v>
      </c>
      <c r="FX40">
        <v>0</v>
      </c>
      <c r="FY40">
        <v>0.27110000000000001</v>
      </c>
      <c r="FZ40">
        <v>0</v>
      </c>
      <c r="GA40">
        <v>38</v>
      </c>
      <c r="GB40">
        <v>1</v>
      </c>
      <c r="GC40">
        <v>1</v>
      </c>
      <c r="GD40">
        <v>27</v>
      </c>
      <c r="GE40">
        <v>0</v>
      </c>
      <c r="GF40">
        <v>13</v>
      </c>
      <c r="GG40">
        <v>0</v>
      </c>
      <c r="GH40">
        <v>0</v>
      </c>
      <c r="GI40">
        <v>0</v>
      </c>
      <c r="GJ40">
        <v>0</v>
      </c>
      <c r="GK40">
        <v>0.18990000000000001</v>
      </c>
      <c r="GL40">
        <v>0</v>
      </c>
      <c r="GM40">
        <v>0</v>
      </c>
      <c r="GN40">
        <v>0</v>
      </c>
      <c r="GO40">
        <v>0</v>
      </c>
      <c r="GP40">
        <v>0</v>
      </c>
      <c r="GQ40">
        <v>0</v>
      </c>
      <c r="GR40">
        <v>0</v>
      </c>
      <c r="GS40">
        <v>0</v>
      </c>
      <c r="GT40">
        <v>0</v>
      </c>
      <c r="GU40">
        <v>0</v>
      </c>
      <c r="GV40">
        <v>0</v>
      </c>
      <c r="GW40">
        <v>0</v>
      </c>
      <c r="GX40">
        <v>0</v>
      </c>
      <c r="GY40">
        <v>0</v>
      </c>
      <c r="GZ40">
        <v>0</v>
      </c>
      <c r="HA40">
        <v>0</v>
      </c>
      <c r="HB40">
        <v>0</v>
      </c>
      <c r="HC40" t="s">
        <v>383</v>
      </c>
      <c r="HD40">
        <v>0</v>
      </c>
      <c r="HE40">
        <v>0</v>
      </c>
      <c r="HF40">
        <v>0</v>
      </c>
      <c r="HG40">
        <v>0</v>
      </c>
      <c r="HH40">
        <v>0</v>
      </c>
      <c r="HI40" t="s">
        <v>383</v>
      </c>
      <c r="HJ40">
        <v>0</v>
      </c>
      <c r="HK40">
        <v>0</v>
      </c>
      <c r="HL40">
        <v>0</v>
      </c>
      <c r="HM40">
        <v>0</v>
      </c>
      <c r="HN40">
        <v>0</v>
      </c>
      <c r="HO40" t="s">
        <v>383</v>
      </c>
      <c r="HP40">
        <v>0</v>
      </c>
      <c r="HQ40">
        <v>0</v>
      </c>
      <c r="HR40">
        <v>0</v>
      </c>
      <c r="HS40">
        <v>0</v>
      </c>
      <c r="HT40">
        <v>0</v>
      </c>
      <c r="HU40" t="s">
        <v>383</v>
      </c>
      <c r="HV40">
        <v>0</v>
      </c>
      <c r="HW40">
        <v>0</v>
      </c>
      <c r="HX40">
        <v>0</v>
      </c>
      <c r="HY40">
        <v>0</v>
      </c>
      <c r="HZ40">
        <v>0</v>
      </c>
      <c r="IA40" t="s">
        <v>384</v>
      </c>
      <c r="IB40">
        <v>0</v>
      </c>
      <c r="IC40">
        <v>0</v>
      </c>
      <c r="ID40">
        <v>0</v>
      </c>
      <c r="IE40">
        <v>0</v>
      </c>
      <c r="IF40">
        <v>0</v>
      </c>
      <c r="IG40" t="s">
        <v>384</v>
      </c>
      <c r="IH40">
        <v>0</v>
      </c>
      <c r="II40">
        <v>0</v>
      </c>
      <c r="IJ40">
        <v>0</v>
      </c>
      <c r="IK40">
        <v>0</v>
      </c>
      <c r="IL40">
        <v>0</v>
      </c>
      <c r="IM40" t="s">
        <v>384</v>
      </c>
      <c r="IN40">
        <v>0</v>
      </c>
      <c r="IO40">
        <v>0</v>
      </c>
      <c r="IP40">
        <v>0</v>
      </c>
      <c r="IQ40">
        <v>0</v>
      </c>
      <c r="IR40">
        <v>0</v>
      </c>
      <c r="IS40" t="s">
        <v>384</v>
      </c>
      <c r="IT40">
        <v>0</v>
      </c>
      <c r="IU40">
        <v>0</v>
      </c>
      <c r="IV40">
        <v>0</v>
      </c>
      <c r="IW40">
        <v>0</v>
      </c>
      <c r="IX40">
        <v>0</v>
      </c>
      <c r="IY40">
        <v>0</v>
      </c>
      <c r="IZ40">
        <v>0</v>
      </c>
      <c r="JA40">
        <v>0</v>
      </c>
      <c r="JD40" t="s">
        <v>483</v>
      </c>
      <c r="JE40" t="s">
        <v>386</v>
      </c>
      <c r="JF40" t="s">
        <v>1401</v>
      </c>
      <c r="JG40" t="s">
        <v>1402</v>
      </c>
      <c r="JH40" t="s">
        <v>1403</v>
      </c>
      <c r="JI40" t="s">
        <v>1404</v>
      </c>
      <c r="JJ40">
        <v>0.38329999999999997</v>
      </c>
      <c r="JK40">
        <v>0</v>
      </c>
      <c r="JL40" t="s">
        <v>391</v>
      </c>
      <c r="JM40">
        <v>0</v>
      </c>
      <c r="JN40">
        <v>0</v>
      </c>
      <c r="JO40">
        <v>0</v>
      </c>
      <c r="JP40">
        <v>0</v>
      </c>
      <c r="JQ40">
        <v>0</v>
      </c>
      <c r="JR40">
        <v>0</v>
      </c>
      <c r="JS40">
        <v>0</v>
      </c>
      <c r="JT40">
        <v>0</v>
      </c>
      <c r="JU40">
        <v>0</v>
      </c>
      <c r="JV40">
        <v>0</v>
      </c>
      <c r="JX40" t="s">
        <v>392</v>
      </c>
      <c r="JY40">
        <v>0</v>
      </c>
      <c r="JZ40">
        <v>0</v>
      </c>
      <c r="KA40">
        <v>1</v>
      </c>
      <c r="KB40">
        <v>0</v>
      </c>
      <c r="KC40">
        <v>0</v>
      </c>
      <c r="KD40">
        <v>1</v>
      </c>
      <c r="KE40">
        <v>0</v>
      </c>
      <c r="KF40">
        <v>0</v>
      </c>
      <c r="KG40">
        <v>1</v>
      </c>
      <c r="KH40">
        <v>0</v>
      </c>
      <c r="KI40">
        <v>0</v>
      </c>
      <c r="KJ40">
        <v>1</v>
      </c>
      <c r="KK40">
        <v>0</v>
      </c>
      <c r="KL40">
        <v>0</v>
      </c>
      <c r="KM40">
        <v>1</v>
      </c>
      <c r="KN40">
        <v>0</v>
      </c>
      <c r="KO40">
        <v>0</v>
      </c>
      <c r="KP40">
        <v>1</v>
      </c>
      <c r="KQ40">
        <v>0</v>
      </c>
      <c r="KR40">
        <v>0</v>
      </c>
      <c r="KS40">
        <v>1</v>
      </c>
      <c r="KT40">
        <v>0</v>
      </c>
      <c r="KU40">
        <v>0</v>
      </c>
      <c r="KV40">
        <v>1</v>
      </c>
      <c r="KW40">
        <v>0</v>
      </c>
      <c r="KX40">
        <v>0</v>
      </c>
      <c r="KY40">
        <v>1</v>
      </c>
      <c r="KZ40">
        <v>0</v>
      </c>
      <c r="LA40">
        <v>0</v>
      </c>
      <c r="LB40">
        <v>0</v>
      </c>
      <c r="LC40">
        <v>0</v>
      </c>
      <c r="LD40">
        <v>0</v>
      </c>
      <c r="LE40">
        <v>0</v>
      </c>
      <c r="LF40">
        <v>0</v>
      </c>
      <c r="LG40">
        <v>0</v>
      </c>
      <c r="LH40">
        <v>0</v>
      </c>
      <c r="LI40">
        <v>0</v>
      </c>
      <c r="LJ40">
        <v>0</v>
      </c>
      <c r="LK40">
        <v>0</v>
      </c>
      <c r="LN40" t="s">
        <v>393</v>
      </c>
      <c r="LO40" t="s">
        <v>394</v>
      </c>
      <c r="LP40" t="s">
        <v>395</v>
      </c>
      <c r="LQ40">
        <v>0.42249999999999999</v>
      </c>
      <c r="LR40">
        <v>10.680999999999999</v>
      </c>
      <c r="LS40">
        <v>7.5526</v>
      </c>
      <c r="LT40">
        <v>639</v>
      </c>
      <c r="LU40">
        <v>270</v>
      </c>
      <c r="LV40">
        <v>71.208200000000005</v>
      </c>
      <c r="LW40">
        <v>0.86460000000000004</v>
      </c>
      <c r="LX40">
        <v>0.5141</v>
      </c>
      <c r="LY40">
        <v>0.5141</v>
      </c>
      <c r="LZ40">
        <v>0.5141</v>
      </c>
      <c r="MA40">
        <v>0</v>
      </c>
      <c r="MB40">
        <v>328</v>
      </c>
      <c r="MC40">
        <v>1</v>
      </c>
      <c r="MD40" t="s">
        <v>396</v>
      </c>
      <c r="ME40" t="s">
        <v>397</v>
      </c>
    </row>
    <row r="41" spans="1:343" ht="16.95" customHeight="1" x14ac:dyDescent="0.3">
      <c r="A41" t="s">
        <v>1405</v>
      </c>
      <c r="B41" t="s">
        <v>1406</v>
      </c>
      <c r="C41" t="s">
        <v>345</v>
      </c>
      <c r="D41" t="s">
        <v>346</v>
      </c>
      <c r="E41" t="s">
        <v>347</v>
      </c>
      <c r="F41" t="s">
        <v>1407</v>
      </c>
      <c r="G41" t="s">
        <v>1408</v>
      </c>
      <c r="H41" t="s">
        <v>1409</v>
      </c>
      <c r="I41" t="s">
        <v>351</v>
      </c>
      <c r="J41">
        <v>2059</v>
      </c>
      <c r="K41">
        <v>850</v>
      </c>
      <c r="L41">
        <v>0.4128</v>
      </c>
      <c r="M41">
        <v>117</v>
      </c>
      <c r="N41">
        <v>3</v>
      </c>
      <c r="O41">
        <v>1</v>
      </c>
      <c r="P41">
        <v>17.600000000000001</v>
      </c>
      <c r="Q41">
        <v>39</v>
      </c>
      <c r="R41">
        <v>15.5</v>
      </c>
      <c r="S41">
        <v>7.3</v>
      </c>
      <c r="T41">
        <v>5.3</v>
      </c>
      <c r="U41">
        <v>2.7</v>
      </c>
      <c r="V41">
        <v>8.1999999999999993</v>
      </c>
      <c r="W41">
        <v>6</v>
      </c>
      <c r="X41">
        <v>3.2</v>
      </c>
      <c r="Y41">
        <v>14</v>
      </c>
      <c r="Z41">
        <v>0</v>
      </c>
      <c r="AA41">
        <v>14</v>
      </c>
      <c r="AB41" t="s">
        <v>352</v>
      </c>
      <c r="AC41" t="b">
        <v>0</v>
      </c>
      <c r="AD41" t="s">
        <v>353</v>
      </c>
      <c r="AE41">
        <v>0.4481</v>
      </c>
      <c r="AF41" t="s">
        <v>354</v>
      </c>
      <c r="AG41">
        <v>0.2487</v>
      </c>
      <c r="AH41">
        <v>4.1300000000000003E-2</v>
      </c>
      <c r="AI41">
        <v>0.72030000000000005</v>
      </c>
      <c r="AJ41" t="s">
        <v>355</v>
      </c>
      <c r="AK41">
        <v>4.4000000000000004</v>
      </c>
      <c r="AL41">
        <v>9</v>
      </c>
      <c r="AM41" t="s">
        <v>356</v>
      </c>
      <c r="AN41">
        <v>0</v>
      </c>
      <c r="AO41">
        <v>0</v>
      </c>
      <c r="AP41">
        <v>7</v>
      </c>
      <c r="AQ41">
        <v>3.4</v>
      </c>
      <c r="AR41">
        <v>7</v>
      </c>
      <c r="AS41">
        <v>0</v>
      </c>
      <c r="AT41" t="s">
        <v>357</v>
      </c>
      <c r="AU41">
        <v>24.8</v>
      </c>
      <c r="AV41">
        <v>29</v>
      </c>
      <c r="AW41" t="s">
        <v>354</v>
      </c>
      <c r="AX41">
        <v>27</v>
      </c>
      <c r="AY41">
        <v>13.11</v>
      </c>
      <c r="AZ41">
        <v>0</v>
      </c>
      <c r="BA41">
        <v>27</v>
      </c>
      <c r="BB41">
        <v>0</v>
      </c>
      <c r="BC41">
        <v>0</v>
      </c>
      <c r="BD41">
        <v>0</v>
      </c>
      <c r="BE41">
        <v>27</v>
      </c>
      <c r="BF41">
        <v>0</v>
      </c>
      <c r="BG41">
        <v>27</v>
      </c>
      <c r="BH41">
        <v>1</v>
      </c>
      <c r="BI41">
        <v>0</v>
      </c>
      <c r="BJ41" t="b">
        <v>0</v>
      </c>
      <c r="BK41" t="b">
        <v>0</v>
      </c>
      <c r="BL41">
        <v>3</v>
      </c>
      <c r="BM41">
        <v>3</v>
      </c>
      <c r="BN41">
        <v>2</v>
      </c>
      <c r="BO41">
        <v>1</v>
      </c>
      <c r="BP41">
        <v>0</v>
      </c>
      <c r="BQ41">
        <v>1</v>
      </c>
      <c r="BR41">
        <v>0</v>
      </c>
      <c r="BS41">
        <v>2059</v>
      </c>
      <c r="BT41">
        <v>850</v>
      </c>
      <c r="BU41">
        <v>0.4128</v>
      </c>
      <c r="BV41">
        <v>3</v>
      </c>
      <c r="BW41">
        <v>1</v>
      </c>
      <c r="BX41">
        <v>686.3</v>
      </c>
      <c r="BZ41" t="s">
        <v>1410</v>
      </c>
      <c r="CA41" t="s">
        <v>1411</v>
      </c>
      <c r="CB41" t="s">
        <v>1412</v>
      </c>
      <c r="CC41" t="s">
        <v>1413</v>
      </c>
      <c r="CD41">
        <v>0</v>
      </c>
      <c r="CE41">
        <v>0</v>
      </c>
      <c r="CF41">
        <v>0</v>
      </c>
      <c r="CG41">
        <v>0</v>
      </c>
      <c r="CH41">
        <v>0</v>
      </c>
      <c r="CJ41">
        <v>2</v>
      </c>
      <c r="CK41">
        <v>0.97</v>
      </c>
      <c r="CL41" t="s">
        <v>407</v>
      </c>
      <c r="CM41">
        <v>1</v>
      </c>
      <c r="CN41">
        <v>0</v>
      </c>
      <c r="CO41" t="b">
        <v>0</v>
      </c>
      <c r="CP41" t="b">
        <v>0</v>
      </c>
      <c r="CQ41" t="b">
        <v>1</v>
      </c>
      <c r="CR41" t="b">
        <v>1</v>
      </c>
      <c r="CS41" t="b">
        <v>0</v>
      </c>
      <c r="CT41" t="b">
        <v>0</v>
      </c>
      <c r="CU41" t="b">
        <v>0</v>
      </c>
      <c r="CV41">
        <v>0</v>
      </c>
      <c r="CW41">
        <v>0</v>
      </c>
      <c r="CX41">
        <v>0</v>
      </c>
      <c r="CY41">
        <v>0</v>
      </c>
      <c r="CZ41">
        <v>0</v>
      </c>
      <c r="DA41">
        <v>7</v>
      </c>
      <c r="DB41">
        <v>3.4</v>
      </c>
      <c r="DC41">
        <v>7</v>
      </c>
      <c r="DD41">
        <v>0</v>
      </c>
      <c r="DE41">
        <v>0</v>
      </c>
      <c r="DF41">
        <v>9</v>
      </c>
      <c r="DG41">
        <v>4.37</v>
      </c>
      <c r="DH41">
        <v>12</v>
      </c>
      <c r="DI41">
        <v>5.83</v>
      </c>
      <c r="DJ41">
        <v>0.75</v>
      </c>
      <c r="DK41">
        <v>0</v>
      </c>
      <c r="DL41">
        <v>1</v>
      </c>
      <c r="DM41">
        <v>5</v>
      </c>
      <c r="DN41">
        <v>0</v>
      </c>
      <c r="DO41">
        <v>238</v>
      </c>
      <c r="DP41">
        <v>3</v>
      </c>
      <c r="DQ41">
        <v>1.46</v>
      </c>
      <c r="DR41" t="s">
        <v>1414</v>
      </c>
      <c r="DS41" t="s">
        <v>1415</v>
      </c>
      <c r="DT41" t="s">
        <v>1416</v>
      </c>
      <c r="DU41" t="s">
        <v>411</v>
      </c>
      <c r="DV41" t="s">
        <v>1417</v>
      </c>
      <c r="DW41">
        <v>1.43</v>
      </c>
      <c r="DX41">
        <v>0</v>
      </c>
      <c r="DY41">
        <v>2</v>
      </c>
      <c r="DZ41">
        <v>5</v>
      </c>
      <c r="EA41">
        <v>0.5</v>
      </c>
      <c r="EB41">
        <v>8.93</v>
      </c>
      <c r="EC41" t="s">
        <v>369</v>
      </c>
      <c r="ED41" t="s">
        <v>413</v>
      </c>
      <c r="EE41">
        <v>1.84</v>
      </c>
      <c r="EF41" t="s">
        <v>414</v>
      </c>
      <c r="EG41">
        <v>0.49</v>
      </c>
      <c r="EH41">
        <v>0.92</v>
      </c>
      <c r="EI41">
        <v>0.52600000000000002</v>
      </c>
      <c r="EJ41" t="s">
        <v>370</v>
      </c>
      <c r="EK41">
        <v>1.07</v>
      </c>
      <c r="EL41" t="s">
        <v>444</v>
      </c>
      <c r="EM41" t="s">
        <v>1418</v>
      </c>
      <c r="EN41">
        <v>1.96</v>
      </c>
      <c r="EO41" t="s">
        <v>827</v>
      </c>
      <c r="EP41">
        <v>0</v>
      </c>
      <c r="EQ41">
        <v>0</v>
      </c>
      <c r="ER41">
        <v>26.2</v>
      </c>
      <c r="ES41" t="s">
        <v>418</v>
      </c>
      <c r="ET41">
        <v>1.1299999999999999</v>
      </c>
      <c r="EU41">
        <v>1.94</v>
      </c>
      <c r="EV41">
        <v>1.1299999999999999</v>
      </c>
      <c r="EW41">
        <v>2.27</v>
      </c>
      <c r="EX41">
        <v>2.75</v>
      </c>
      <c r="EY41">
        <v>0.65</v>
      </c>
      <c r="EZ41">
        <v>2.1</v>
      </c>
      <c r="FA41">
        <v>0.65</v>
      </c>
      <c r="FB41">
        <v>4.37</v>
      </c>
      <c r="FC41">
        <v>2.59</v>
      </c>
      <c r="FD41" t="s">
        <v>375</v>
      </c>
      <c r="FE41">
        <v>313</v>
      </c>
      <c r="FF41" t="s">
        <v>1419</v>
      </c>
      <c r="FG41" t="s">
        <v>1420</v>
      </c>
      <c r="FH41" t="s">
        <v>1421</v>
      </c>
      <c r="FI41" t="s">
        <v>1422</v>
      </c>
      <c r="FJ41" t="s">
        <v>1423</v>
      </c>
      <c r="FK41" t="s">
        <v>1424</v>
      </c>
      <c r="FL41" t="s">
        <v>1425</v>
      </c>
      <c r="FM41">
        <v>0</v>
      </c>
      <c r="FN41">
        <v>0.49919999999999998</v>
      </c>
      <c r="FO41">
        <v>0.77500000000000002</v>
      </c>
      <c r="FP41">
        <v>0.61499999999999999</v>
      </c>
      <c r="FQ41">
        <v>0.47460000000000002</v>
      </c>
      <c r="FR41">
        <v>0</v>
      </c>
      <c r="FS41">
        <v>5.9299999999999999E-2</v>
      </c>
      <c r="FT41">
        <v>1</v>
      </c>
      <c r="FU41">
        <v>1.8499999999999999E-2</v>
      </c>
      <c r="FV41">
        <v>0.10680000000000001</v>
      </c>
      <c r="FW41">
        <v>3.4000000000000002E-2</v>
      </c>
      <c r="FX41">
        <v>9.0499999999999997E-2</v>
      </c>
      <c r="FY41">
        <v>0.29039999999999999</v>
      </c>
      <c r="FZ41">
        <v>7.4999999999999997E-3</v>
      </c>
      <c r="GA41">
        <v>118</v>
      </c>
      <c r="GB41">
        <v>1</v>
      </c>
      <c r="GC41">
        <v>1</v>
      </c>
      <c r="GD41">
        <v>53</v>
      </c>
      <c r="GE41">
        <v>0</v>
      </c>
      <c r="GF41">
        <v>19</v>
      </c>
      <c r="GG41">
        <v>0</v>
      </c>
      <c r="GH41">
        <v>2</v>
      </c>
      <c r="GI41">
        <v>1</v>
      </c>
      <c r="GJ41">
        <v>0</v>
      </c>
      <c r="GK41">
        <v>6.7900000000000002E-2</v>
      </c>
      <c r="GL41">
        <v>0</v>
      </c>
      <c r="GM41">
        <v>0</v>
      </c>
      <c r="GN41">
        <v>0.27160000000000001</v>
      </c>
      <c r="GO41">
        <v>6.7900000000000002E-2</v>
      </c>
      <c r="GP41">
        <v>0</v>
      </c>
      <c r="GQ41">
        <v>0</v>
      </c>
      <c r="GR41">
        <v>0</v>
      </c>
      <c r="GS41">
        <v>0</v>
      </c>
      <c r="GT41">
        <v>0</v>
      </c>
      <c r="GU41">
        <v>0</v>
      </c>
      <c r="GV41">
        <v>0</v>
      </c>
      <c r="GW41">
        <v>0</v>
      </c>
      <c r="GX41">
        <v>6.7900000000000002E-2</v>
      </c>
      <c r="GY41">
        <v>0</v>
      </c>
      <c r="GZ41">
        <v>0</v>
      </c>
      <c r="HA41">
        <v>0</v>
      </c>
      <c r="HB41">
        <v>0</v>
      </c>
      <c r="HC41" t="s">
        <v>383</v>
      </c>
      <c r="HD41">
        <v>0</v>
      </c>
      <c r="HE41">
        <v>0</v>
      </c>
      <c r="HF41">
        <v>0</v>
      </c>
      <c r="HG41">
        <v>0</v>
      </c>
      <c r="HH41">
        <v>0</v>
      </c>
      <c r="HI41" t="s">
        <v>383</v>
      </c>
      <c r="HJ41">
        <v>0</v>
      </c>
      <c r="HK41">
        <v>0</v>
      </c>
      <c r="HL41">
        <v>0</v>
      </c>
      <c r="HM41">
        <v>0</v>
      </c>
      <c r="HN41">
        <v>0</v>
      </c>
      <c r="HO41" t="s">
        <v>383</v>
      </c>
      <c r="HP41">
        <v>0</v>
      </c>
      <c r="HQ41">
        <v>0</v>
      </c>
      <c r="HR41">
        <v>0</v>
      </c>
      <c r="HS41">
        <v>0</v>
      </c>
      <c r="HT41">
        <v>0</v>
      </c>
      <c r="HU41" t="s">
        <v>383</v>
      </c>
      <c r="HV41">
        <v>0</v>
      </c>
      <c r="HW41">
        <v>0</v>
      </c>
      <c r="HX41">
        <v>0</v>
      </c>
      <c r="HY41">
        <v>0</v>
      </c>
      <c r="HZ41">
        <v>0</v>
      </c>
      <c r="IA41" t="s">
        <v>384</v>
      </c>
      <c r="IB41">
        <v>0</v>
      </c>
      <c r="IC41">
        <v>0</v>
      </c>
      <c r="ID41">
        <v>0</v>
      </c>
      <c r="IE41">
        <v>0</v>
      </c>
      <c r="IF41">
        <v>0</v>
      </c>
      <c r="IG41" t="s">
        <v>384</v>
      </c>
      <c r="IH41">
        <v>0</v>
      </c>
      <c r="II41">
        <v>0</v>
      </c>
      <c r="IJ41">
        <v>0</v>
      </c>
      <c r="IK41">
        <v>0</v>
      </c>
      <c r="IL41">
        <v>0</v>
      </c>
      <c r="IM41" t="s">
        <v>384</v>
      </c>
      <c r="IN41">
        <v>0</v>
      </c>
      <c r="IO41">
        <v>0</v>
      </c>
      <c r="IP41">
        <v>0</v>
      </c>
      <c r="IQ41">
        <v>0</v>
      </c>
      <c r="IR41">
        <v>0</v>
      </c>
      <c r="IS41" t="s">
        <v>384</v>
      </c>
      <c r="IT41">
        <v>0</v>
      </c>
      <c r="IU41">
        <v>0</v>
      </c>
      <c r="IV41">
        <v>0</v>
      </c>
      <c r="IW41">
        <v>0</v>
      </c>
      <c r="IX41">
        <v>0</v>
      </c>
      <c r="IY41">
        <v>0</v>
      </c>
      <c r="IZ41">
        <v>0</v>
      </c>
      <c r="JA41">
        <v>0</v>
      </c>
      <c r="JD41" t="s">
        <v>483</v>
      </c>
      <c r="JE41" t="s">
        <v>779</v>
      </c>
      <c r="JF41" t="s">
        <v>1426</v>
      </c>
      <c r="JG41" t="s">
        <v>1427</v>
      </c>
      <c r="JH41" t="s">
        <v>1428</v>
      </c>
      <c r="JI41" t="s">
        <v>1415</v>
      </c>
      <c r="JJ41">
        <v>0.4</v>
      </c>
      <c r="JK41">
        <v>0</v>
      </c>
      <c r="JL41" t="s">
        <v>391</v>
      </c>
      <c r="JM41">
        <v>0</v>
      </c>
      <c r="JN41">
        <v>0</v>
      </c>
      <c r="JO41">
        <v>0</v>
      </c>
      <c r="JP41">
        <v>0</v>
      </c>
      <c r="JQ41">
        <v>0</v>
      </c>
      <c r="JR41">
        <v>0</v>
      </c>
      <c r="JS41">
        <v>0</v>
      </c>
      <c r="JT41">
        <v>0</v>
      </c>
      <c r="JU41">
        <v>0</v>
      </c>
      <c r="JV41">
        <v>0</v>
      </c>
      <c r="JX41" t="s">
        <v>392</v>
      </c>
      <c r="JY41">
        <v>0</v>
      </c>
      <c r="JZ41">
        <v>0</v>
      </c>
      <c r="KA41">
        <v>1</v>
      </c>
      <c r="KB41">
        <v>0</v>
      </c>
      <c r="KC41">
        <v>0</v>
      </c>
      <c r="KD41">
        <v>1</v>
      </c>
      <c r="KE41">
        <v>0</v>
      </c>
      <c r="KF41">
        <v>0</v>
      </c>
      <c r="KG41">
        <v>1</v>
      </c>
      <c r="KH41">
        <v>0</v>
      </c>
      <c r="KI41">
        <v>0</v>
      </c>
      <c r="KJ41">
        <v>1</v>
      </c>
      <c r="KK41">
        <v>0</v>
      </c>
      <c r="KL41">
        <v>0</v>
      </c>
      <c r="KM41">
        <v>1</v>
      </c>
      <c r="KN41">
        <v>0</v>
      </c>
      <c r="KO41">
        <v>0</v>
      </c>
      <c r="KP41">
        <v>1</v>
      </c>
      <c r="KQ41">
        <v>0</v>
      </c>
      <c r="KR41">
        <v>0</v>
      </c>
      <c r="KS41">
        <v>1</v>
      </c>
      <c r="KT41">
        <v>0</v>
      </c>
      <c r="KU41">
        <v>0</v>
      </c>
      <c r="KV41">
        <v>1</v>
      </c>
      <c r="KW41">
        <v>0</v>
      </c>
      <c r="KX41">
        <v>0</v>
      </c>
      <c r="KY41">
        <v>1</v>
      </c>
      <c r="KZ41">
        <v>0</v>
      </c>
      <c r="LA41">
        <v>0</v>
      </c>
      <c r="LB41">
        <v>0</v>
      </c>
      <c r="LC41">
        <v>0</v>
      </c>
      <c r="LD41">
        <v>0</v>
      </c>
      <c r="LE41">
        <v>0</v>
      </c>
      <c r="LF41">
        <v>0</v>
      </c>
      <c r="LG41">
        <v>0</v>
      </c>
      <c r="LH41">
        <v>0</v>
      </c>
      <c r="LI41">
        <v>0</v>
      </c>
      <c r="LJ41">
        <v>0</v>
      </c>
      <c r="LK41">
        <v>0</v>
      </c>
      <c r="LN41" t="s">
        <v>393</v>
      </c>
      <c r="LO41" t="s">
        <v>394</v>
      </c>
      <c r="LP41" t="s">
        <v>395</v>
      </c>
      <c r="LQ41">
        <v>0.40410000000000001</v>
      </c>
      <c r="LR41">
        <v>17.2102</v>
      </c>
      <c r="LS41">
        <v>12.1694</v>
      </c>
      <c r="LT41">
        <v>1814</v>
      </c>
      <c r="LU41">
        <v>733</v>
      </c>
      <c r="LV41">
        <v>110.2216</v>
      </c>
      <c r="LW41">
        <v>0.86970000000000003</v>
      </c>
      <c r="LX41">
        <v>0.49640000000000001</v>
      </c>
      <c r="LY41">
        <v>0.49640000000000001</v>
      </c>
      <c r="LZ41">
        <v>0.49640000000000001</v>
      </c>
      <c r="MA41">
        <v>0</v>
      </c>
      <c r="MB41">
        <v>896</v>
      </c>
      <c r="MC41">
        <v>1</v>
      </c>
      <c r="MD41" t="s">
        <v>396</v>
      </c>
      <c r="ME41" t="s">
        <v>397</v>
      </c>
    </row>
    <row r="42" spans="1:343" ht="16.95" customHeight="1" x14ac:dyDescent="0.3">
      <c r="A42" t="s">
        <v>1429</v>
      </c>
      <c r="B42" t="s">
        <v>1430</v>
      </c>
      <c r="C42" t="s">
        <v>345</v>
      </c>
      <c r="D42" t="s">
        <v>346</v>
      </c>
      <c r="E42" t="s">
        <v>347</v>
      </c>
      <c r="F42" t="s">
        <v>1431</v>
      </c>
      <c r="G42" t="s">
        <v>1432</v>
      </c>
      <c r="H42" t="s">
        <v>1433</v>
      </c>
      <c r="I42" t="s">
        <v>351</v>
      </c>
      <c r="J42">
        <v>936</v>
      </c>
      <c r="K42">
        <v>396</v>
      </c>
      <c r="L42">
        <v>0.42309999999999998</v>
      </c>
      <c r="M42">
        <v>37</v>
      </c>
      <c r="N42">
        <v>3</v>
      </c>
      <c r="O42">
        <v>1</v>
      </c>
      <c r="P42">
        <v>25.3</v>
      </c>
      <c r="Q42">
        <v>12.3</v>
      </c>
      <c r="R42">
        <v>20.8</v>
      </c>
      <c r="S42">
        <v>5.4</v>
      </c>
      <c r="T42">
        <v>7.7</v>
      </c>
      <c r="U42">
        <v>2.1</v>
      </c>
      <c r="V42">
        <v>5.3</v>
      </c>
      <c r="W42">
        <v>2</v>
      </c>
      <c r="X42">
        <v>3.2</v>
      </c>
      <c r="Y42">
        <v>0</v>
      </c>
      <c r="Z42">
        <v>0</v>
      </c>
      <c r="AA42">
        <v>0</v>
      </c>
      <c r="AB42" t="s">
        <v>493</v>
      </c>
      <c r="AC42" t="b">
        <v>0</v>
      </c>
      <c r="AD42" t="s">
        <v>353</v>
      </c>
      <c r="AE42">
        <v>0.39340000000000003</v>
      </c>
      <c r="AF42" t="s">
        <v>356</v>
      </c>
      <c r="AG42">
        <v>0.15809999999999999</v>
      </c>
      <c r="AH42">
        <v>0.20019999999999999</v>
      </c>
      <c r="AI42">
        <v>0.6734</v>
      </c>
      <c r="AJ42" t="s">
        <v>355</v>
      </c>
      <c r="AK42">
        <v>5.27</v>
      </c>
      <c r="AL42">
        <v>11</v>
      </c>
      <c r="AM42" t="s">
        <v>356</v>
      </c>
      <c r="AN42">
        <v>0</v>
      </c>
      <c r="AO42">
        <v>0</v>
      </c>
      <c r="AP42">
        <v>6</v>
      </c>
      <c r="AQ42">
        <v>6.41</v>
      </c>
      <c r="AR42">
        <v>6</v>
      </c>
      <c r="AS42">
        <v>0</v>
      </c>
      <c r="AT42" t="s">
        <v>357</v>
      </c>
      <c r="AU42">
        <v>35.1</v>
      </c>
      <c r="AV42">
        <v>13</v>
      </c>
      <c r="AW42" t="s">
        <v>356</v>
      </c>
      <c r="AX42">
        <v>12</v>
      </c>
      <c r="AY42">
        <v>12.82</v>
      </c>
      <c r="AZ42">
        <v>0</v>
      </c>
      <c r="BA42">
        <v>12</v>
      </c>
      <c r="BB42">
        <v>0</v>
      </c>
      <c r="BC42">
        <v>0</v>
      </c>
      <c r="BD42">
        <v>0</v>
      </c>
      <c r="BE42">
        <v>12</v>
      </c>
      <c r="BF42">
        <v>0</v>
      </c>
      <c r="BG42">
        <v>12</v>
      </c>
      <c r="BH42">
        <v>0</v>
      </c>
      <c r="BI42">
        <v>0</v>
      </c>
      <c r="BJ42" t="b">
        <v>0</v>
      </c>
      <c r="BK42" t="b">
        <v>0</v>
      </c>
      <c r="BL42">
        <v>3</v>
      </c>
      <c r="BM42">
        <v>3</v>
      </c>
      <c r="BN42">
        <v>2</v>
      </c>
      <c r="BO42">
        <v>1</v>
      </c>
      <c r="BP42">
        <v>0</v>
      </c>
      <c r="BQ42">
        <v>1</v>
      </c>
      <c r="BR42">
        <v>0</v>
      </c>
      <c r="BS42">
        <v>936</v>
      </c>
      <c r="BT42">
        <v>396</v>
      </c>
      <c r="BU42">
        <v>0.42309999999999998</v>
      </c>
      <c r="BV42">
        <v>3</v>
      </c>
      <c r="BW42">
        <v>1</v>
      </c>
      <c r="BX42">
        <v>312</v>
      </c>
      <c r="BZ42" t="s">
        <v>1434</v>
      </c>
      <c r="CA42" t="s">
        <v>1435</v>
      </c>
      <c r="CB42" t="s">
        <v>1436</v>
      </c>
      <c r="CC42" t="s">
        <v>1437</v>
      </c>
      <c r="CD42">
        <v>0</v>
      </c>
      <c r="CE42">
        <v>0</v>
      </c>
      <c r="CF42">
        <v>0</v>
      </c>
      <c r="CG42">
        <v>0</v>
      </c>
      <c r="CH42">
        <v>0</v>
      </c>
      <c r="CJ42">
        <v>2</v>
      </c>
      <c r="CK42">
        <v>2.13</v>
      </c>
      <c r="CL42" t="s">
        <v>440</v>
      </c>
      <c r="CM42">
        <v>1</v>
      </c>
      <c r="CN42">
        <v>0</v>
      </c>
      <c r="CO42" t="b">
        <v>0</v>
      </c>
      <c r="CP42" t="b">
        <v>0</v>
      </c>
      <c r="CQ42" t="b">
        <v>1</v>
      </c>
      <c r="CR42" t="b">
        <v>0</v>
      </c>
      <c r="CS42" t="b">
        <v>0</v>
      </c>
      <c r="CT42" t="b">
        <v>0</v>
      </c>
      <c r="CU42" t="b">
        <v>0</v>
      </c>
      <c r="CV42">
        <v>0</v>
      </c>
      <c r="CW42">
        <v>0</v>
      </c>
      <c r="CX42">
        <v>0</v>
      </c>
      <c r="CY42">
        <v>0</v>
      </c>
      <c r="CZ42">
        <v>0</v>
      </c>
      <c r="DA42">
        <v>6</v>
      </c>
      <c r="DB42">
        <v>6.4</v>
      </c>
      <c r="DC42">
        <v>6</v>
      </c>
      <c r="DD42">
        <v>6</v>
      </c>
      <c r="DE42">
        <v>6.4</v>
      </c>
      <c r="DF42">
        <v>0</v>
      </c>
      <c r="DG42">
        <v>0</v>
      </c>
      <c r="DH42">
        <v>8</v>
      </c>
      <c r="DI42">
        <v>8.5299999999999994</v>
      </c>
      <c r="DJ42">
        <v>0</v>
      </c>
      <c r="DK42">
        <v>0</v>
      </c>
      <c r="DL42">
        <v>0</v>
      </c>
      <c r="DM42">
        <v>0</v>
      </c>
      <c r="DN42">
        <v>0</v>
      </c>
      <c r="DO42">
        <v>107</v>
      </c>
      <c r="DP42">
        <v>6</v>
      </c>
      <c r="DQ42">
        <v>6.4</v>
      </c>
      <c r="DR42" t="s">
        <v>1438</v>
      </c>
      <c r="DS42" t="s">
        <v>1439</v>
      </c>
      <c r="DT42" t="s">
        <v>1440</v>
      </c>
      <c r="DU42" t="s">
        <v>1441</v>
      </c>
      <c r="DV42" t="s">
        <v>365</v>
      </c>
      <c r="DW42">
        <v>0.71</v>
      </c>
      <c r="DX42">
        <v>0</v>
      </c>
      <c r="DY42">
        <v>2</v>
      </c>
      <c r="DZ42">
        <v>5</v>
      </c>
      <c r="EA42">
        <v>5</v>
      </c>
      <c r="EB42">
        <v>12.71</v>
      </c>
      <c r="EC42" t="s">
        <v>503</v>
      </c>
      <c r="ED42" t="s">
        <v>413</v>
      </c>
      <c r="EE42">
        <v>4.8</v>
      </c>
      <c r="EF42" t="s">
        <v>354</v>
      </c>
      <c r="EG42">
        <v>0</v>
      </c>
      <c r="EH42">
        <v>2.77</v>
      </c>
      <c r="EI42">
        <v>0</v>
      </c>
      <c r="EJ42" t="s">
        <v>370</v>
      </c>
      <c r="EK42">
        <v>1.71</v>
      </c>
      <c r="EL42" t="s">
        <v>472</v>
      </c>
      <c r="EM42" t="s">
        <v>1442</v>
      </c>
      <c r="EN42">
        <v>1.74</v>
      </c>
      <c r="EO42" t="s">
        <v>534</v>
      </c>
      <c r="EP42">
        <v>0</v>
      </c>
      <c r="EQ42">
        <v>0</v>
      </c>
      <c r="ER42">
        <v>39</v>
      </c>
      <c r="ES42" t="s">
        <v>418</v>
      </c>
      <c r="ET42">
        <v>0.36</v>
      </c>
      <c r="EU42">
        <v>0.71</v>
      </c>
      <c r="EV42">
        <v>1.07</v>
      </c>
      <c r="EW42">
        <v>3.55</v>
      </c>
      <c r="EX42">
        <v>1.78</v>
      </c>
      <c r="EY42">
        <v>0</v>
      </c>
      <c r="EZ42">
        <v>2.84</v>
      </c>
      <c r="FA42">
        <v>1.07</v>
      </c>
      <c r="FB42">
        <v>3.55</v>
      </c>
      <c r="FC42">
        <v>2.4900000000000002</v>
      </c>
      <c r="FD42" t="s">
        <v>375</v>
      </c>
      <c r="FE42">
        <v>138</v>
      </c>
      <c r="FF42" t="s">
        <v>1443</v>
      </c>
      <c r="FG42" t="s">
        <v>1444</v>
      </c>
      <c r="FH42" t="s">
        <v>1445</v>
      </c>
      <c r="FI42" t="s">
        <v>1446</v>
      </c>
      <c r="FJ42" t="s">
        <v>1447</v>
      </c>
      <c r="FK42" t="s">
        <v>1448</v>
      </c>
      <c r="FL42" t="s">
        <v>1449</v>
      </c>
      <c r="FM42">
        <v>0</v>
      </c>
      <c r="FN42">
        <v>0.59889999999999999</v>
      </c>
      <c r="FO42">
        <v>0.77500000000000002</v>
      </c>
      <c r="FP42">
        <v>0.67290000000000005</v>
      </c>
      <c r="FQ42">
        <v>0.60529999999999995</v>
      </c>
      <c r="FR42">
        <v>0</v>
      </c>
      <c r="FS42">
        <v>0</v>
      </c>
      <c r="FT42">
        <v>0</v>
      </c>
      <c r="FU42">
        <v>0</v>
      </c>
      <c r="FV42">
        <v>0.2</v>
      </c>
      <c r="FW42">
        <v>0</v>
      </c>
      <c r="FX42">
        <v>0</v>
      </c>
      <c r="FY42">
        <v>0.25</v>
      </c>
      <c r="FZ42">
        <v>0</v>
      </c>
      <c r="GA42">
        <v>38</v>
      </c>
      <c r="GB42">
        <v>1</v>
      </c>
      <c r="GC42">
        <v>1</v>
      </c>
      <c r="GD42">
        <v>23</v>
      </c>
      <c r="GE42">
        <v>0</v>
      </c>
      <c r="GF42">
        <v>4</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t="s">
        <v>383</v>
      </c>
      <c r="HD42">
        <v>0</v>
      </c>
      <c r="HE42">
        <v>0</v>
      </c>
      <c r="HF42">
        <v>0</v>
      </c>
      <c r="HG42">
        <v>0</v>
      </c>
      <c r="HH42">
        <v>0</v>
      </c>
      <c r="HI42" t="s">
        <v>383</v>
      </c>
      <c r="HJ42">
        <v>0</v>
      </c>
      <c r="HK42">
        <v>0</v>
      </c>
      <c r="HL42">
        <v>0</v>
      </c>
      <c r="HM42">
        <v>0</v>
      </c>
      <c r="HN42">
        <v>0</v>
      </c>
      <c r="HO42" t="s">
        <v>383</v>
      </c>
      <c r="HP42">
        <v>0</v>
      </c>
      <c r="HQ42">
        <v>0</v>
      </c>
      <c r="HR42">
        <v>0</v>
      </c>
      <c r="HS42">
        <v>0</v>
      </c>
      <c r="HT42">
        <v>0</v>
      </c>
      <c r="HU42" t="s">
        <v>383</v>
      </c>
      <c r="HV42">
        <v>0</v>
      </c>
      <c r="HW42">
        <v>0</v>
      </c>
      <c r="HX42">
        <v>0</v>
      </c>
      <c r="HY42">
        <v>0</v>
      </c>
      <c r="HZ42">
        <v>0</v>
      </c>
      <c r="IA42" t="s">
        <v>384</v>
      </c>
      <c r="IB42">
        <v>0</v>
      </c>
      <c r="IC42">
        <v>0</v>
      </c>
      <c r="ID42">
        <v>0</v>
      </c>
      <c r="IE42">
        <v>0</v>
      </c>
      <c r="IF42">
        <v>0</v>
      </c>
      <c r="IG42" t="s">
        <v>384</v>
      </c>
      <c r="IH42">
        <v>0</v>
      </c>
      <c r="II42">
        <v>0</v>
      </c>
      <c r="IJ42">
        <v>0</v>
      </c>
      <c r="IK42">
        <v>0</v>
      </c>
      <c r="IL42">
        <v>0</v>
      </c>
      <c r="IM42" t="s">
        <v>384</v>
      </c>
      <c r="IN42">
        <v>0</v>
      </c>
      <c r="IO42">
        <v>0</v>
      </c>
      <c r="IP42">
        <v>0</v>
      </c>
      <c r="IQ42">
        <v>0</v>
      </c>
      <c r="IR42">
        <v>0</v>
      </c>
      <c r="IS42" t="s">
        <v>384</v>
      </c>
      <c r="IT42">
        <v>0</v>
      </c>
      <c r="IU42">
        <v>0</v>
      </c>
      <c r="IV42">
        <v>0</v>
      </c>
      <c r="IW42">
        <v>0</v>
      </c>
      <c r="IX42">
        <v>0</v>
      </c>
      <c r="IY42">
        <v>0</v>
      </c>
      <c r="IZ42">
        <v>0</v>
      </c>
      <c r="JA42">
        <v>0</v>
      </c>
      <c r="JD42" t="s">
        <v>483</v>
      </c>
      <c r="JE42" t="s">
        <v>386</v>
      </c>
      <c r="JF42" t="s">
        <v>1450</v>
      </c>
      <c r="JG42" t="s">
        <v>1451</v>
      </c>
      <c r="JH42" t="s">
        <v>1452</v>
      </c>
      <c r="JI42" t="s">
        <v>1453</v>
      </c>
      <c r="JJ42">
        <v>0.4667</v>
      </c>
      <c r="JK42">
        <v>0</v>
      </c>
      <c r="JL42" t="s">
        <v>391</v>
      </c>
      <c r="JM42">
        <v>0</v>
      </c>
      <c r="JN42">
        <v>0</v>
      </c>
      <c r="JO42">
        <v>0</v>
      </c>
      <c r="JP42">
        <v>0</v>
      </c>
      <c r="JQ42">
        <v>0</v>
      </c>
      <c r="JR42">
        <v>0</v>
      </c>
      <c r="JS42">
        <v>0</v>
      </c>
      <c r="JT42">
        <v>0</v>
      </c>
      <c r="JU42">
        <v>0</v>
      </c>
      <c r="JV42">
        <v>0</v>
      </c>
      <c r="JX42" t="s">
        <v>392</v>
      </c>
      <c r="JY42">
        <v>0</v>
      </c>
      <c r="JZ42">
        <v>0</v>
      </c>
      <c r="KA42">
        <v>1</v>
      </c>
      <c r="KB42">
        <v>0</v>
      </c>
      <c r="KC42">
        <v>0</v>
      </c>
      <c r="KD42">
        <v>1</v>
      </c>
      <c r="KE42">
        <v>0</v>
      </c>
      <c r="KF42">
        <v>0</v>
      </c>
      <c r="KG42">
        <v>1</v>
      </c>
      <c r="KH42">
        <v>0</v>
      </c>
      <c r="KI42">
        <v>0</v>
      </c>
      <c r="KJ42">
        <v>1</v>
      </c>
      <c r="KK42">
        <v>0</v>
      </c>
      <c r="KL42">
        <v>0</v>
      </c>
      <c r="KM42">
        <v>1</v>
      </c>
      <c r="KN42">
        <v>0</v>
      </c>
      <c r="KO42">
        <v>0</v>
      </c>
      <c r="KP42">
        <v>1</v>
      </c>
      <c r="KQ42">
        <v>0</v>
      </c>
      <c r="KR42">
        <v>0</v>
      </c>
      <c r="KS42">
        <v>1</v>
      </c>
      <c r="KT42">
        <v>0</v>
      </c>
      <c r="KU42">
        <v>0</v>
      </c>
      <c r="KV42">
        <v>1</v>
      </c>
      <c r="KW42">
        <v>0</v>
      </c>
      <c r="KX42">
        <v>0</v>
      </c>
      <c r="KY42">
        <v>1</v>
      </c>
      <c r="KZ42">
        <v>0</v>
      </c>
      <c r="LA42">
        <v>0</v>
      </c>
      <c r="LB42">
        <v>0</v>
      </c>
      <c r="LC42">
        <v>0</v>
      </c>
      <c r="LD42">
        <v>0</v>
      </c>
      <c r="LE42">
        <v>0</v>
      </c>
      <c r="LF42">
        <v>0</v>
      </c>
      <c r="LG42">
        <v>0</v>
      </c>
      <c r="LH42">
        <v>0</v>
      </c>
      <c r="LI42">
        <v>0</v>
      </c>
      <c r="LJ42">
        <v>0</v>
      </c>
      <c r="LK42">
        <v>0</v>
      </c>
      <c r="LN42" t="s">
        <v>393</v>
      </c>
      <c r="LO42" t="s">
        <v>394</v>
      </c>
      <c r="LP42" t="s">
        <v>395</v>
      </c>
      <c r="LQ42">
        <v>0.41670000000000001</v>
      </c>
      <c r="LR42">
        <v>11.814500000000001</v>
      </c>
      <c r="LS42">
        <v>8.3541000000000007</v>
      </c>
      <c r="LT42">
        <v>804</v>
      </c>
      <c r="LU42">
        <v>335</v>
      </c>
      <c r="LV42">
        <v>117.25</v>
      </c>
      <c r="LW42">
        <v>0.9194</v>
      </c>
      <c r="LX42">
        <v>0.47739999999999999</v>
      </c>
      <c r="LY42">
        <v>0.47739999999999999</v>
      </c>
      <c r="LZ42">
        <v>0.47739999999999999</v>
      </c>
      <c r="MA42">
        <v>0</v>
      </c>
      <c r="MB42">
        <v>381</v>
      </c>
      <c r="MC42">
        <v>1</v>
      </c>
      <c r="MD42" t="s">
        <v>396</v>
      </c>
      <c r="ME42" t="s">
        <v>397</v>
      </c>
    </row>
    <row r="43" spans="1:343" ht="16.95" customHeight="1" x14ac:dyDescent="0.3">
      <c r="A43" t="s">
        <v>1454</v>
      </c>
      <c r="B43" t="s">
        <v>1455</v>
      </c>
      <c r="C43" t="s">
        <v>345</v>
      </c>
      <c r="D43" t="s">
        <v>346</v>
      </c>
      <c r="E43" t="s">
        <v>347</v>
      </c>
      <c r="F43" t="s">
        <v>1456</v>
      </c>
      <c r="G43" t="s">
        <v>1457</v>
      </c>
      <c r="H43" t="s">
        <v>1458</v>
      </c>
      <c r="I43" t="s">
        <v>351</v>
      </c>
      <c r="J43">
        <v>996</v>
      </c>
      <c r="K43">
        <v>518</v>
      </c>
      <c r="L43">
        <v>0.52010000000000001</v>
      </c>
      <c r="M43">
        <v>91</v>
      </c>
      <c r="N43">
        <v>3</v>
      </c>
      <c r="O43">
        <v>1</v>
      </c>
      <c r="P43">
        <v>10.9</v>
      </c>
      <c r="Q43">
        <v>30.3</v>
      </c>
      <c r="R43">
        <v>21.3</v>
      </c>
      <c r="S43">
        <v>11.1</v>
      </c>
      <c r="T43">
        <v>8.6999999999999993</v>
      </c>
      <c r="U43">
        <v>1.5</v>
      </c>
      <c r="V43">
        <v>4.5999999999999996</v>
      </c>
      <c r="W43">
        <v>6</v>
      </c>
      <c r="X43">
        <v>4.0999999999999996</v>
      </c>
      <c r="Y43">
        <v>2</v>
      </c>
      <c r="Z43">
        <v>4</v>
      </c>
      <c r="AA43">
        <v>0.5</v>
      </c>
      <c r="AB43" t="s">
        <v>493</v>
      </c>
      <c r="AC43" t="b">
        <v>0</v>
      </c>
      <c r="AD43" t="s">
        <v>353</v>
      </c>
      <c r="AE43">
        <v>0.45950000000000002</v>
      </c>
      <c r="AF43" t="s">
        <v>354</v>
      </c>
      <c r="AG43">
        <v>0.18779999999999999</v>
      </c>
      <c r="AH43">
        <v>2.52E-2</v>
      </c>
      <c r="AI43">
        <v>0.79169999999999996</v>
      </c>
      <c r="AJ43" t="s">
        <v>355</v>
      </c>
      <c r="AK43">
        <v>3.43</v>
      </c>
      <c r="AL43">
        <v>8</v>
      </c>
      <c r="AM43" t="s">
        <v>354</v>
      </c>
      <c r="AN43">
        <v>1</v>
      </c>
      <c r="AO43">
        <v>1</v>
      </c>
      <c r="AP43">
        <v>6</v>
      </c>
      <c r="AQ43">
        <v>6.02</v>
      </c>
      <c r="AR43">
        <v>6</v>
      </c>
      <c r="AS43">
        <v>0</v>
      </c>
      <c r="AT43" t="s">
        <v>357</v>
      </c>
      <c r="AU43">
        <v>15.4</v>
      </c>
      <c r="AV43">
        <v>14</v>
      </c>
      <c r="AW43" t="s">
        <v>354</v>
      </c>
      <c r="AX43">
        <v>10</v>
      </c>
      <c r="AY43">
        <v>10.039999999999999</v>
      </c>
      <c r="AZ43">
        <v>0</v>
      </c>
      <c r="BA43">
        <v>5</v>
      </c>
      <c r="BB43">
        <v>5</v>
      </c>
      <c r="BC43">
        <v>0</v>
      </c>
      <c r="BD43">
        <v>0</v>
      </c>
      <c r="BE43">
        <v>10</v>
      </c>
      <c r="BF43">
        <v>0</v>
      </c>
      <c r="BG43">
        <v>10</v>
      </c>
      <c r="BH43">
        <v>0</v>
      </c>
      <c r="BI43">
        <v>0</v>
      </c>
      <c r="BJ43" t="b">
        <v>0</v>
      </c>
      <c r="BK43" t="b">
        <v>0</v>
      </c>
      <c r="BL43">
        <v>3</v>
      </c>
      <c r="BM43">
        <v>3</v>
      </c>
      <c r="BN43">
        <v>2</v>
      </c>
      <c r="BO43">
        <v>1</v>
      </c>
      <c r="BP43">
        <v>0</v>
      </c>
      <c r="BQ43">
        <v>1</v>
      </c>
      <c r="BR43">
        <v>0</v>
      </c>
      <c r="BS43">
        <v>996</v>
      </c>
      <c r="BT43">
        <v>518</v>
      </c>
      <c r="BU43">
        <v>0.52010000000000001</v>
      </c>
      <c r="BV43">
        <v>3</v>
      </c>
      <c r="BW43">
        <v>1</v>
      </c>
      <c r="BX43">
        <v>332</v>
      </c>
      <c r="BZ43" t="s">
        <v>1459</v>
      </c>
      <c r="CA43" t="s">
        <v>1460</v>
      </c>
      <c r="CB43" t="s">
        <v>1461</v>
      </c>
      <c r="CC43" t="s">
        <v>1462</v>
      </c>
      <c r="CD43">
        <v>0</v>
      </c>
      <c r="CE43">
        <v>0</v>
      </c>
      <c r="CF43">
        <v>0</v>
      </c>
      <c r="CG43">
        <v>0</v>
      </c>
      <c r="CH43">
        <v>0</v>
      </c>
      <c r="CJ43">
        <v>2</v>
      </c>
      <c r="CK43">
        <v>2.0099999999999998</v>
      </c>
      <c r="CL43" t="s">
        <v>407</v>
      </c>
      <c r="CM43">
        <v>1</v>
      </c>
      <c r="CN43">
        <v>0</v>
      </c>
      <c r="CO43" t="b">
        <v>0</v>
      </c>
      <c r="CP43" t="b">
        <v>0</v>
      </c>
      <c r="CQ43" t="b">
        <v>1</v>
      </c>
      <c r="CR43" t="b">
        <v>1</v>
      </c>
      <c r="CS43" t="b">
        <v>0</v>
      </c>
      <c r="CT43" t="b">
        <v>0</v>
      </c>
      <c r="CU43" t="b">
        <v>0</v>
      </c>
      <c r="CV43">
        <v>0</v>
      </c>
      <c r="CW43">
        <v>0</v>
      </c>
      <c r="CX43">
        <v>0</v>
      </c>
      <c r="CY43">
        <v>2</v>
      </c>
      <c r="CZ43">
        <v>2.0099999999999998</v>
      </c>
      <c r="DA43">
        <v>6</v>
      </c>
      <c r="DB43">
        <v>6.02</v>
      </c>
      <c r="DC43">
        <v>3</v>
      </c>
      <c r="DD43">
        <v>0</v>
      </c>
      <c r="DE43">
        <v>0</v>
      </c>
      <c r="DF43">
        <v>1</v>
      </c>
      <c r="DG43">
        <v>1</v>
      </c>
      <c r="DH43">
        <v>8</v>
      </c>
      <c r="DI43">
        <v>8.02</v>
      </c>
      <c r="DJ43">
        <v>0.12</v>
      </c>
      <c r="DK43">
        <v>0</v>
      </c>
      <c r="DL43">
        <v>1</v>
      </c>
      <c r="DM43">
        <v>1</v>
      </c>
      <c r="DN43">
        <v>1</v>
      </c>
      <c r="DO43">
        <v>62</v>
      </c>
      <c r="DP43">
        <v>5</v>
      </c>
      <c r="DQ43">
        <v>5.0199999999999996</v>
      </c>
      <c r="DR43" t="s">
        <v>1463</v>
      </c>
      <c r="DS43" t="s">
        <v>1464</v>
      </c>
      <c r="DT43" t="s">
        <v>1465</v>
      </c>
      <c r="DU43" t="s">
        <v>1466</v>
      </c>
      <c r="DV43" t="s">
        <v>365</v>
      </c>
      <c r="DW43">
        <v>1.43</v>
      </c>
      <c r="DX43">
        <v>0</v>
      </c>
      <c r="DY43">
        <v>2.33</v>
      </c>
      <c r="DZ43">
        <v>5</v>
      </c>
      <c r="EA43">
        <v>0.5</v>
      </c>
      <c r="EB43">
        <v>9.26</v>
      </c>
      <c r="EC43" t="s">
        <v>369</v>
      </c>
      <c r="ED43" t="s">
        <v>413</v>
      </c>
      <c r="EE43">
        <v>10</v>
      </c>
      <c r="EF43" t="s">
        <v>356</v>
      </c>
      <c r="EG43">
        <v>0.2</v>
      </c>
      <c r="EH43">
        <v>2.0099999999999998</v>
      </c>
      <c r="EI43">
        <v>0.1</v>
      </c>
      <c r="EJ43" t="s">
        <v>370</v>
      </c>
      <c r="EK43">
        <v>0.8</v>
      </c>
      <c r="EL43" t="s">
        <v>393</v>
      </c>
      <c r="EM43" t="s">
        <v>1467</v>
      </c>
      <c r="EN43">
        <v>2.57</v>
      </c>
      <c r="EO43" t="s">
        <v>474</v>
      </c>
      <c r="EP43">
        <v>0</v>
      </c>
      <c r="EQ43">
        <v>0</v>
      </c>
      <c r="ER43">
        <v>67</v>
      </c>
      <c r="ES43" t="s">
        <v>475</v>
      </c>
      <c r="ET43">
        <v>2.0099999999999998</v>
      </c>
      <c r="EU43">
        <v>1.67</v>
      </c>
      <c r="EV43">
        <v>3.01</v>
      </c>
      <c r="EW43">
        <v>1.67</v>
      </c>
      <c r="EX43">
        <v>2.0099999999999998</v>
      </c>
      <c r="EY43">
        <v>3.34</v>
      </c>
      <c r="EZ43">
        <v>3.34</v>
      </c>
      <c r="FA43">
        <v>1.67</v>
      </c>
      <c r="FB43">
        <v>1.67</v>
      </c>
      <c r="FC43">
        <v>5.35</v>
      </c>
      <c r="FD43" t="s">
        <v>375</v>
      </c>
      <c r="FE43">
        <v>80</v>
      </c>
      <c r="FF43" t="s">
        <v>1468</v>
      </c>
      <c r="FG43" t="s">
        <v>1469</v>
      </c>
      <c r="FH43" t="s">
        <v>1470</v>
      </c>
      <c r="FI43" t="s">
        <v>1471</v>
      </c>
      <c r="FJ43" t="s">
        <v>1472</v>
      </c>
      <c r="FK43" t="s">
        <v>1473</v>
      </c>
      <c r="FL43" t="s">
        <v>1474</v>
      </c>
      <c r="FM43">
        <v>0</v>
      </c>
      <c r="FN43">
        <v>0.48559999999999998</v>
      </c>
      <c r="FO43">
        <v>0.77500000000000002</v>
      </c>
      <c r="FP43">
        <v>0.60709999999999997</v>
      </c>
      <c r="FQ43">
        <v>0.3261</v>
      </c>
      <c r="FR43">
        <v>0</v>
      </c>
      <c r="FS43">
        <v>1.09E-2</v>
      </c>
      <c r="FT43">
        <v>0</v>
      </c>
      <c r="FU43">
        <v>1.09E-2</v>
      </c>
      <c r="FV43">
        <v>8.9099999999999999E-2</v>
      </c>
      <c r="FW43">
        <v>0</v>
      </c>
      <c r="FX43">
        <v>0</v>
      </c>
      <c r="FY43">
        <v>0.25</v>
      </c>
      <c r="FZ43">
        <v>0</v>
      </c>
      <c r="GA43">
        <v>92</v>
      </c>
      <c r="GB43">
        <v>1</v>
      </c>
      <c r="GC43">
        <v>1</v>
      </c>
      <c r="GD43">
        <v>27</v>
      </c>
      <c r="GE43">
        <v>0</v>
      </c>
      <c r="GF43">
        <v>15</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t="s">
        <v>383</v>
      </c>
      <c r="HD43">
        <v>0</v>
      </c>
      <c r="HE43">
        <v>0</v>
      </c>
      <c r="HF43">
        <v>0</v>
      </c>
      <c r="HG43">
        <v>0</v>
      </c>
      <c r="HH43">
        <v>0</v>
      </c>
      <c r="HI43" t="s">
        <v>383</v>
      </c>
      <c r="HJ43">
        <v>0</v>
      </c>
      <c r="HK43">
        <v>0</v>
      </c>
      <c r="HL43">
        <v>0</v>
      </c>
      <c r="HM43">
        <v>0</v>
      </c>
      <c r="HN43">
        <v>0</v>
      </c>
      <c r="HO43" t="s">
        <v>383</v>
      </c>
      <c r="HP43">
        <v>0</v>
      </c>
      <c r="HQ43">
        <v>0</v>
      </c>
      <c r="HR43">
        <v>0</v>
      </c>
      <c r="HS43">
        <v>0</v>
      </c>
      <c r="HT43">
        <v>0</v>
      </c>
      <c r="HU43" t="s">
        <v>383</v>
      </c>
      <c r="HV43">
        <v>0</v>
      </c>
      <c r="HW43">
        <v>0</v>
      </c>
      <c r="HX43">
        <v>0</v>
      </c>
      <c r="HY43">
        <v>0</v>
      </c>
      <c r="HZ43">
        <v>0</v>
      </c>
      <c r="IA43" t="s">
        <v>384</v>
      </c>
      <c r="IB43">
        <v>0</v>
      </c>
      <c r="IC43">
        <v>0</v>
      </c>
      <c r="ID43">
        <v>0</v>
      </c>
      <c r="IE43">
        <v>0</v>
      </c>
      <c r="IF43">
        <v>0</v>
      </c>
      <c r="IG43" t="s">
        <v>384</v>
      </c>
      <c r="IH43">
        <v>0</v>
      </c>
      <c r="II43">
        <v>0</v>
      </c>
      <c r="IJ43">
        <v>0</v>
      </c>
      <c r="IK43">
        <v>0</v>
      </c>
      <c r="IL43">
        <v>0</v>
      </c>
      <c r="IM43" t="s">
        <v>384</v>
      </c>
      <c r="IN43">
        <v>0</v>
      </c>
      <c r="IO43">
        <v>0</v>
      </c>
      <c r="IP43">
        <v>0</v>
      </c>
      <c r="IQ43">
        <v>0</v>
      </c>
      <c r="IR43">
        <v>0</v>
      </c>
      <c r="IS43" t="s">
        <v>384</v>
      </c>
      <c r="IT43">
        <v>0</v>
      </c>
      <c r="IU43">
        <v>0</v>
      </c>
      <c r="IV43">
        <v>0</v>
      </c>
      <c r="IW43">
        <v>0</v>
      </c>
      <c r="IX43">
        <v>0</v>
      </c>
      <c r="IY43">
        <v>0</v>
      </c>
      <c r="IZ43">
        <v>0</v>
      </c>
      <c r="JA43">
        <v>0</v>
      </c>
      <c r="JD43" t="s">
        <v>483</v>
      </c>
      <c r="JE43" t="s">
        <v>779</v>
      </c>
      <c r="JF43" t="s">
        <v>1475</v>
      </c>
      <c r="JG43" t="s">
        <v>1476</v>
      </c>
      <c r="JH43" t="s">
        <v>1477</v>
      </c>
      <c r="JI43" t="s">
        <v>1478</v>
      </c>
      <c r="JJ43">
        <v>0.38329999999999997</v>
      </c>
      <c r="JK43">
        <v>0</v>
      </c>
      <c r="JL43" t="s">
        <v>391</v>
      </c>
      <c r="JM43">
        <v>0</v>
      </c>
      <c r="JN43">
        <v>0</v>
      </c>
      <c r="JO43">
        <v>0</v>
      </c>
      <c r="JP43">
        <v>0</v>
      </c>
      <c r="JQ43">
        <v>0</v>
      </c>
      <c r="JR43">
        <v>0</v>
      </c>
      <c r="JS43">
        <v>0</v>
      </c>
      <c r="JT43">
        <v>0</v>
      </c>
      <c r="JU43">
        <v>0</v>
      </c>
      <c r="JV43">
        <v>0</v>
      </c>
      <c r="JX43" t="s">
        <v>392</v>
      </c>
      <c r="JY43">
        <v>0</v>
      </c>
      <c r="JZ43">
        <v>0</v>
      </c>
      <c r="KA43">
        <v>1</v>
      </c>
      <c r="KB43">
        <v>0</v>
      </c>
      <c r="KC43">
        <v>0</v>
      </c>
      <c r="KD43">
        <v>1</v>
      </c>
      <c r="KE43">
        <v>0</v>
      </c>
      <c r="KF43">
        <v>0</v>
      </c>
      <c r="KG43">
        <v>1</v>
      </c>
      <c r="KH43">
        <v>0</v>
      </c>
      <c r="KI43">
        <v>0</v>
      </c>
      <c r="KJ43">
        <v>1</v>
      </c>
      <c r="KK43">
        <v>0</v>
      </c>
      <c r="KL43">
        <v>0</v>
      </c>
      <c r="KM43">
        <v>1</v>
      </c>
      <c r="KN43">
        <v>0</v>
      </c>
      <c r="KO43">
        <v>0</v>
      </c>
      <c r="KP43">
        <v>1</v>
      </c>
      <c r="KQ43">
        <v>0</v>
      </c>
      <c r="KR43">
        <v>0</v>
      </c>
      <c r="KS43">
        <v>1</v>
      </c>
      <c r="KT43">
        <v>0</v>
      </c>
      <c r="KU43">
        <v>0</v>
      </c>
      <c r="KV43">
        <v>1</v>
      </c>
      <c r="KW43">
        <v>0</v>
      </c>
      <c r="KX43">
        <v>0</v>
      </c>
      <c r="KY43">
        <v>1</v>
      </c>
      <c r="KZ43">
        <v>0</v>
      </c>
      <c r="LA43">
        <v>0</v>
      </c>
      <c r="LB43">
        <v>0</v>
      </c>
      <c r="LC43">
        <v>0</v>
      </c>
      <c r="LD43">
        <v>0</v>
      </c>
      <c r="LE43">
        <v>0</v>
      </c>
      <c r="LF43">
        <v>0</v>
      </c>
      <c r="LG43">
        <v>0</v>
      </c>
      <c r="LH43">
        <v>0</v>
      </c>
      <c r="LI43">
        <v>0</v>
      </c>
      <c r="LJ43">
        <v>0</v>
      </c>
      <c r="LK43">
        <v>0</v>
      </c>
      <c r="LN43" t="s">
        <v>393</v>
      </c>
      <c r="LO43" t="s">
        <v>394</v>
      </c>
      <c r="LP43" t="s">
        <v>395</v>
      </c>
      <c r="LQ43">
        <v>0.5161</v>
      </c>
      <c r="LR43">
        <v>15.739800000000001</v>
      </c>
      <c r="LS43">
        <v>11.1297</v>
      </c>
      <c r="LT43">
        <v>930</v>
      </c>
      <c r="LU43">
        <v>480</v>
      </c>
      <c r="LV43">
        <v>116.322</v>
      </c>
      <c r="LW43">
        <v>0.88360000000000005</v>
      </c>
      <c r="LX43">
        <v>0.70109999999999995</v>
      </c>
      <c r="LY43">
        <v>0.70109999999999995</v>
      </c>
      <c r="LZ43">
        <v>0.70109999999999995</v>
      </c>
      <c r="MA43">
        <v>0</v>
      </c>
      <c r="MB43">
        <v>652</v>
      </c>
      <c r="MC43">
        <v>1</v>
      </c>
      <c r="MD43" t="s">
        <v>396</v>
      </c>
      <c r="ME43" t="s">
        <v>517</v>
      </c>
    </row>
    <row r="44" spans="1:343" ht="16.95" customHeight="1" x14ac:dyDescent="0.3">
      <c r="A44" t="s">
        <v>1479</v>
      </c>
      <c r="B44" t="s">
        <v>1480</v>
      </c>
      <c r="C44" t="s">
        <v>345</v>
      </c>
      <c r="D44" t="s">
        <v>346</v>
      </c>
      <c r="E44" t="s">
        <v>347</v>
      </c>
      <c r="F44" t="s">
        <v>1481</v>
      </c>
      <c r="G44" t="s">
        <v>1482</v>
      </c>
      <c r="H44" t="s">
        <v>1483</v>
      </c>
      <c r="I44" t="s">
        <v>351</v>
      </c>
      <c r="J44">
        <v>2212</v>
      </c>
      <c r="K44">
        <v>1007</v>
      </c>
      <c r="L44">
        <v>0.45519999999999999</v>
      </c>
      <c r="M44">
        <v>184</v>
      </c>
      <c r="N44">
        <v>3</v>
      </c>
      <c r="O44">
        <v>1</v>
      </c>
      <c r="P44">
        <v>12</v>
      </c>
      <c r="Q44">
        <v>61.3</v>
      </c>
      <c r="R44">
        <v>19.899999999999999</v>
      </c>
      <c r="S44">
        <v>9</v>
      </c>
      <c r="T44">
        <v>7.4</v>
      </c>
      <c r="U44">
        <v>1.5</v>
      </c>
      <c r="V44">
        <v>4.8</v>
      </c>
      <c r="W44">
        <v>12</v>
      </c>
      <c r="X44">
        <v>4.5999999999999996</v>
      </c>
      <c r="Y44">
        <v>9</v>
      </c>
      <c r="Z44">
        <v>4</v>
      </c>
      <c r="AA44">
        <v>2.25</v>
      </c>
      <c r="AB44" t="s">
        <v>352</v>
      </c>
      <c r="AC44" t="b">
        <v>0</v>
      </c>
      <c r="AD44" t="s">
        <v>353</v>
      </c>
      <c r="AE44">
        <v>0.44990000000000002</v>
      </c>
      <c r="AF44" t="s">
        <v>354</v>
      </c>
      <c r="AG44">
        <v>0.20519999999999999</v>
      </c>
      <c r="AH44">
        <v>2.76E-2</v>
      </c>
      <c r="AI44">
        <v>0.77290000000000003</v>
      </c>
      <c r="AJ44" t="s">
        <v>355</v>
      </c>
      <c r="AK44">
        <v>4.0999999999999996</v>
      </c>
      <c r="AL44">
        <v>8</v>
      </c>
      <c r="AM44" t="s">
        <v>356</v>
      </c>
      <c r="AN44">
        <v>1</v>
      </c>
      <c r="AO44">
        <v>0.45</v>
      </c>
      <c r="AP44">
        <v>17</v>
      </c>
      <c r="AQ44">
        <v>7.69</v>
      </c>
      <c r="AR44">
        <v>17</v>
      </c>
      <c r="AS44">
        <v>1</v>
      </c>
      <c r="AT44" t="s">
        <v>357</v>
      </c>
      <c r="AU44">
        <v>21.2</v>
      </c>
      <c r="AV44">
        <v>39</v>
      </c>
      <c r="AW44" t="s">
        <v>354</v>
      </c>
      <c r="AX44">
        <v>14</v>
      </c>
      <c r="AY44">
        <v>6.33</v>
      </c>
      <c r="AZ44">
        <v>4</v>
      </c>
      <c r="BA44">
        <v>7</v>
      </c>
      <c r="BB44">
        <v>3</v>
      </c>
      <c r="BC44">
        <v>0</v>
      </c>
      <c r="BD44">
        <v>0</v>
      </c>
      <c r="BE44">
        <v>10</v>
      </c>
      <c r="BF44">
        <v>4</v>
      </c>
      <c r="BG44">
        <v>2.5</v>
      </c>
      <c r="BH44">
        <v>2</v>
      </c>
      <c r="BI44">
        <v>0</v>
      </c>
      <c r="BJ44" t="b">
        <v>0</v>
      </c>
      <c r="BK44" t="b">
        <v>0</v>
      </c>
      <c r="BL44">
        <v>3</v>
      </c>
      <c r="BM44">
        <v>3</v>
      </c>
      <c r="BN44">
        <v>2</v>
      </c>
      <c r="BO44">
        <v>1</v>
      </c>
      <c r="BP44">
        <v>0</v>
      </c>
      <c r="BQ44">
        <v>1</v>
      </c>
      <c r="BR44">
        <v>0</v>
      </c>
      <c r="BS44">
        <v>2212</v>
      </c>
      <c r="BT44">
        <v>1007</v>
      </c>
      <c r="BU44">
        <v>0.45519999999999999</v>
      </c>
      <c r="BV44">
        <v>3</v>
      </c>
      <c r="BW44">
        <v>1</v>
      </c>
      <c r="BX44">
        <v>737.3</v>
      </c>
      <c r="BZ44" t="s">
        <v>1484</v>
      </c>
      <c r="CA44" t="s">
        <v>1485</v>
      </c>
      <c r="CB44" t="s">
        <v>1486</v>
      </c>
      <c r="CC44" t="s">
        <v>1487</v>
      </c>
      <c r="CD44">
        <v>4</v>
      </c>
      <c r="CE44">
        <v>0</v>
      </c>
      <c r="CF44">
        <v>0</v>
      </c>
      <c r="CG44">
        <v>1.81</v>
      </c>
      <c r="CH44">
        <v>1</v>
      </c>
      <c r="CI44" t="s">
        <v>362</v>
      </c>
      <c r="CJ44">
        <v>4</v>
      </c>
      <c r="CK44">
        <v>1.81</v>
      </c>
      <c r="CL44" t="s">
        <v>363</v>
      </c>
      <c r="CM44">
        <v>1</v>
      </c>
      <c r="CN44">
        <v>0</v>
      </c>
      <c r="CO44" t="b">
        <v>0</v>
      </c>
      <c r="CP44" t="b">
        <v>0</v>
      </c>
      <c r="CQ44" t="b">
        <v>1</v>
      </c>
      <c r="CR44" t="b">
        <v>1</v>
      </c>
      <c r="CS44" t="b">
        <v>1</v>
      </c>
      <c r="CT44" t="b">
        <v>0</v>
      </c>
      <c r="CU44" t="b">
        <v>0</v>
      </c>
      <c r="CV44">
        <v>0</v>
      </c>
      <c r="CW44">
        <v>0</v>
      </c>
      <c r="CX44">
        <v>0</v>
      </c>
      <c r="CY44">
        <v>1</v>
      </c>
      <c r="CZ44">
        <v>0.45</v>
      </c>
      <c r="DA44">
        <v>17</v>
      </c>
      <c r="DB44">
        <v>7.68</v>
      </c>
      <c r="DC44">
        <v>17</v>
      </c>
      <c r="DD44">
        <v>0</v>
      </c>
      <c r="DE44">
        <v>0</v>
      </c>
      <c r="DF44">
        <v>1</v>
      </c>
      <c r="DG44">
        <v>0.45</v>
      </c>
      <c r="DH44">
        <v>12</v>
      </c>
      <c r="DI44">
        <v>5.42</v>
      </c>
      <c r="DJ44">
        <v>0.08</v>
      </c>
      <c r="DK44">
        <v>0</v>
      </c>
      <c r="DL44">
        <v>3</v>
      </c>
      <c r="DM44">
        <v>4</v>
      </c>
      <c r="DN44">
        <v>1</v>
      </c>
      <c r="DO44">
        <v>170</v>
      </c>
      <c r="DP44">
        <v>5</v>
      </c>
      <c r="DQ44">
        <v>2.2599999999999998</v>
      </c>
      <c r="DR44" t="s">
        <v>1464</v>
      </c>
      <c r="DS44" t="s">
        <v>1488</v>
      </c>
      <c r="DT44" t="s">
        <v>1489</v>
      </c>
      <c r="DU44" t="s">
        <v>1490</v>
      </c>
      <c r="DV44" t="s">
        <v>1491</v>
      </c>
      <c r="DW44">
        <v>2.14</v>
      </c>
      <c r="DX44">
        <v>1</v>
      </c>
      <c r="DY44">
        <v>2.17</v>
      </c>
      <c r="DZ44">
        <v>5</v>
      </c>
      <c r="EA44">
        <v>1.5</v>
      </c>
      <c r="EB44">
        <v>11.81</v>
      </c>
      <c r="EC44" t="s">
        <v>503</v>
      </c>
      <c r="ED44" t="s">
        <v>369</v>
      </c>
      <c r="EE44">
        <v>5.92</v>
      </c>
      <c r="EF44" t="s">
        <v>354</v>
      </c>
      <c r="EG44">
        <v>0.14000000000000001</v>
      </c>
      <c r="EH44">
        <v>1.81</v>
      </c>
      <c r="EI44">
        <v>7.4999999999999997E-2</v>
      </c>
      <c r="EJ44" t="s">
        <v>370</v>
      </c>
      <c r="EK44">
        <v>1.17</v>
      </c>
      <c r="EL44" t="s">
        <v>472</v>
      </c>
      <c r="EM44" t="s">
        <v>1492</v>
      </c>
      <c r="EN44">
        <v>1.96</v>
      </c>
      <c r="EO44" t="s">
        <v>1493</v>
      </c>
      <c r="EP44">
        <v>0</v>
      </c>
      <c r="EQ44">
        <v>1</v>
      </c>
      <c r="ER44">
        <v>66.599999999999994</v>
      </c>
      <c r="ES44" t="s">
        <v>475</v>
      </c>
      <c r="ET44">
        <v>3.62</v>
      </c>
      <c r="EU44">
        <v>1.66</v>
      </c>
      <c r="EV44">
        <v>1.81</v>
      </c>
      <c r="EW44">
        <v>1.66</v>
      </c>
      <c r="EX44">
        <v>2.11</v>
      </c>
      <c r="EY44">
        <v>2.71</v>
      </c>
      <c r="EZ44">
        <v>2.11</v>
      </c>
      <c r="FA44">
        <v>0.6</v>
      </c>
      <c r="FB44">
        <v>1.36</v>
      </c>
      <c r="FC44">
        <v>1.96</v>
      </c>
      <c r="FD44" t="s">
        <v>375</v>
      </c>
      <c r="FE44">
        <v>198</v>
      </c>
      <c r="FF44" t="s">
        <v>1494</v>
      </c>
      <c r="FG44" t="s">
        <v>1495</v>
      </c>
      <c r="FH44" t="s">
        <v>1496</v>
      </c>
      <c r="FI44" t="s">
        <v>1497</v>
      </c>
      <c r="FJ44" t="s">
        <v>1498</v>
      </c>
      <c r="FK44" t="s">
        <v>1499</v>
      </c>
      <c r="FL44" t="s">
        <v>1500</v>
      </c>
      <c r="FM44">
        <v>0</v>
      </c>
      <c r="FN44">
        <v>0.51780000000000004</v>
      </c>
      <c r="FO44">
        <v>0.77500000000000002</v>
      </c>
      <c r="FP44">
        <v>0.62580000000000002</v>
      </c>
      <c r="FQ44">
        <v>0.43780000000000002</v>
      </c>
      <c r="FR44">
        <v>0</v>
      </c>
      <c r="FS44">
        <v>1.6199999999999999E-2</v>
      </c>
      <c r="FT44">
        <v>0</v>
      </c>
      <c r="FU44">
        <v>1.2699999999999999E-2</v>
      </c>
      <c r="FV44">
        <v>0.1135</v>
      </c>
      <c r="FW44">
        <v>5.8299999999999998E-2</v>
      </c>
      <c r="FX44">
        <v>0</v>
      </c>
      <c r="FY44">
        <v>0.28889999999999999</v>
      </c>
      <c r="FZ44">
        <v>0</v>
      </c>
      <c r="GA44">
        <v>185</v>
      </c>
      <c r="GB44">
        <v>1</v>
      </c>
      <c r="GC44">
        <v>1</v>
      </c>
      <c r="GD44">
        <v>68</v>
      </c>
      <c r="GE44">
        <v>1</v>
      </c>
      <c r="GF44">
        <v>22</v>
      </c>
      <c r="GG44">
        <v>1</v>
      </c>
      <c r="GH44">
        <v>0</v>
      </c>
      <c r="GI44">
        <v>0</v>
      </c>
      <c r="GJ44">
        <v>0</v>
      </c>
      <c r="GK44">
        <v>0.17480000000000001</v>
      </c>
      <c r="GL44">
        <v>0</v>
      </c>
      <c r="GM44">
        <v>5.8299999999999998E-2</v>
      </c>
      <c r="GN44">
        <v>0</v>
      </c>
      <c r="GO44">
        <v>0</v>
      </c>
      <c r="GP44">
        <v>0.1166</v>
      </c>
      <c r="GQ44">
        <v>0</v>
      </c>
      <c r="GR44">
        <v>0</v>
      </c>
      <c r="GS44">
        <v>0</v>
      </c>
      <c r="GT44">
        <v>0</v>
      </c>
      <c r="GU44">
        <v>0</v>
      </c>
      <c r="GV44">
        <v>0</v>
      </c>
      <c r="GW44">
        <v>0</v>
      </c>
      <c r="GX44">
        <v>0</v>
      </c>
      <c r="GY44">
        <v>0</v>
      </c>
      <c r="GZ44">
        <v>0</v>
      </c>
      <c r="HA44">
        <v>0</v>
      </c>
      <c r="HB44">
        <v>0</v>
      </c>
      <c r="HC44" t="s">
        <v>383</v>
      </c>
      <c r="HD44">
        <v>0</v>
      </c>
      <c r="HE44">
        <v>0</v>
      </c>
      <c r="HF44">
        <v>0</v>
      </c>
      <c r="HG44">
        <v>0</v>
      </c>
      <c r="HH44">
        <v>0</v>
      </c>
      <c r="HI44" t="s">
        <v>383</v>
      </c>
      <c r="HJ44">
        <v>0</v>
      </c>
      <c r="HK44">
        <v>0</v>
      </c>
      <c r="HL44">
        <v>0</v>
      </c>
      <c r="HM44">
        <v>0</v>
      </c>
      <c r="HN44">
        <v>0</v>
      </c>
      <c r="HO44" t="s">
        <v>383</v>
      </c>
      <c r="HP44">
        <v>0</v>
      </c>
      <c r="HQ44">
        <v>0</v>
      </c>
      <c r="HR44">
        <v>0</v>
      </c>
      <c r="HS44">
        <v>0</v>
      </c>
      <c r="HT44">
        <v>0</v>
      </c>
      <c r="HU44" t="s">
        <v>383</v>
      </c>
      <c r="HV44">
        <v>0</v>
      </c>
      <c r="HW44">
        <v>0</v>
      </c>
      <c r="HX44">
        <v>0</v>
      </c>
      <c r="HY44">
        <v>0</v>
      </c>
      <c r="HZ44">
        <v>0</v>
      </c>
      <c r="IA44" t="s">
        <v>384</v>
      </c>
      <c r="IB44">
        <v>0</v>
      </c>
      <c r="IC44">
        <v>0</v>
      </c>
      <c r="ID44">
        <v>0</v>
      </c>
      <c r="IE44">
        <v>0</v>
      </c>
      <c r="IF44">
        <v>0</v>
      </c>
      <c r="IG44" t="s">
        <v>384</v>
      </c>
      <c r="IH44">
        <v>0</v>
      </c>
      <c r="II44">
        <v>0</v>
      </c>
      <c r="IJ44">
        <v>0</v>
      </c>
      <c r="IK44">
        <v>0</v>
      </c>
      <c r="IL44">
        <v>0</v>
      </c>
      <c r="IM44" t="s">
        <v>384</v>
      </c>
      <c r="IN44">
        <v>0</v>
      </c>
      <c r="IO44">
        <v>0</v>
      </c>
      <c r="IP44">
        <v>0</v>
      </c>
      <c r="IQ44">
        <v>0</v>
      </c>
      <c r="IR44">
        <v>0</v>
      </c>
      <c r="IS44" t="s">
        <v>384</v>
      </c>
      <c r="IT44">
        <v>0</v>
      </c>
      <c r="IU44">
        <v>0</v>
      </c>
      <c r="IV44">
        <v>0</v>
      </c>
      <c r="IW44">
        <v>0</v>
      </c>
      <c r="IX44">
        <v>0</v>
      </c>
      <c r="IY44">
        <v>0</v>
      </c>
      <c r="IZ44">
        <v>0</v>
      </c>
      <c r="JA44">
        <v>0</v>
      </c>
      <c r="JD44" t="s">
        <v>483</v>
      </c>
      <c r="JE44" t="s">
        <v>779</v>
      </c>
      <c r="JF44" t="s">
        <v>1501</v>
      </c>
      <c r="JG44" t="s">
        <v>1502</v>
      </c>
      <c r="JH44" t="s">
        <v>1503</v>
      </c>
      <c r="JI44" t="s">
        <v>1504</v>
      </c>
      <c r="JJ44">
        <v>0.48330000000000001</v>
      </c>
      <c r="JK44">
        <v>0</v>
      </c>
      <c r="JL44" t="s">
        <v>391</v>
      </c>
      <c r="JM44">
        <v>0</v>
      </c>
      <c r="JN44">
        <v>0</v>
      </c>
      <c r="JO44">
        <v>0</v>
      </c>
      <c r="JP44">
        <v>0</v>
      </c>
      <c r="JQ44">
        <v>0</v>
      </c>
      <c r="JR44">
        <v>0</v>
      </c>
      <c r="JS44">
        <v>0</v>
      </c>
      <c r="JT44">
        <v>0</v>
      </c>
      <c r="JU44">
        <v>0</v>
      </c>
      <c r="JV44">
        <v>0</v>
      </c>
      <c r="JX44" t="s">
        <v>392</v>
      </c>
      <c r="JY44">
        <v>0</v>
      </c>
      <c r="JZ44">
        <v>0</v>
      </c>
      <c r="KA44">
        <v>1</v>
      </c>
      <c r="KB44">
        <v>0</v>
      </c>
      <c r="KC44">
        <v>0</v>
      </c>
      <c r="KD44">
        <v>1</v>
      </c>
      <c r="KE44">
        <v>0</v>
      </c>
      <c r="KF44">
        <v>0</v>
      </c>
      <c r="KG44">
        <v>1</v>
      </c>
      <c r="KH44">
        <v>0</v>
      </c>
      <c r="KI44">
        <v>0</v>
      </c>
      <c r="KJ44">
        <v>1</v>
      </c>
      <c r="KK44">
        <v>0</v>
      </c>
      <c r="KL44">
        <v>0</v>
      </c>
      <c r="KM44">
        <v>1</v>
      </c>
      <c r="KN44">
        <v>0</v>
      </c>
      <c r="KO44">
        <v>0</v>
      </c>
      <c r="KP44">
        <v>1</v>
      </c>
      <c r="KQ44">
        <v>0</v>
      </c>
      <c r="KR44">
        <v>0</v>
      </c>
      <c r="KS44">
        <v>1</v>
      </c>
      <c r="KT44">
        <v>0</v>
      </c>
      <c r="KU44">
        <v>0</v>
      </c>
      <c r="KV44">
        <v>1</v>
      </c>
      <c r="KW44">
        <v>0</v>
      </c>
      <c r="KX44">
        <v>0</v>
      </c>
      <c r="KY44">
        <v>1</v>
      </c>
      <c r="KZ44">
        <v>0</v>
      </c>
      <c r="LA44">
        <v>0</v>
      </c>
      <c r="LB44">
        <v>0</v>
      </c>
      <c r="LC44">
        <v>0</v>
      </c>
      <c r="LD44">
        <v>0</v>
      </c>
      <c r="LE44">
        <v>0</v>
      </c>
      <c r="LF44">
        <v>0</v>
      </c>
      <c r="LG44">
        <v>0</v>
      </c>
      <c r="LH44">
        <v>0</v>
      </c>
      <c r="LI44">
        <v>0</v>
      </c>
      <c r="LJ44">
        <v>0</v>
      </c>
      <c r="LK44">
        <v>0</v>
      </c>
      <c r="LN44" t="s">
        <v>393</v>
      </c>
      <c r="LO44" t="s">
        <v>394</v>
      </c>
      <c r="LP44" t="s">
        <v>395</v>
      </c>
      <c r="LQ44">
        <v>0.42270000000000002</v>
      </c>
      <c r="LR44">
        <v>19.611899999999999</v>
      </c>
      <c r="LS44">
        <v>13.867699999999999</v>
      </c>
      <c r="LT44">
        <v>2153</v>
      </c>
      <c r="LU44">
        <v>910</v>
      </c>
      <c r="LV44">
        <v>105.58969999999999</v>
      </c>
      <c r="LW44">
        <v>0.87709999999999999</v>
      </c>
      <c r="LX44">
        <v>0.62060000000000004</v>
      </c>
      <c r="LY44">
        <v>0.62060000000000004</v>
      </c>
      <c r="LZ44">
        <v>0.62060000000000004</v>
      </c>
      <c r="MA44">
        <v>0</v>
      </c>
      <c r="MB44">
        <v>1317</v>
      </c>
      <c r="MC44">
        <v>1</v>
      </c>
      <c r="MD44" t="s">
        <v>396</v>
      </c>
      <c r="ME44" t="s">
        <v>517</v>
      </c>
    </row>
    <row r="45" spans="1:343" ht="16.95" customHeight="1" x14ac:dyDescent="0.3">
      <c r="A45" t="s">
        <v>1505</v>
      </c>
      <c r="B45" t="s">
        <v>1506</v>
      </c>
      <c r="C45" t="s">
        <v>345</v>
      </c>
      <c r="D45" t="s">
        <v>346</v>
      </c>
      <c r="E45" t="s">
        <v>347</v>
      </c>
      <c r="F45" t="s">
        <v>1507</v>
      </c>
      <c r="G45" t="s">
        <v>1508</v>
      </c>
      <c r="H45" t="s">
        <v>1509</v>
      </c>
      <c r="I45" t="s">
        <v>351</v>
      </c>
      <c r="J45">
        <v>1342</v>
      </c>
      <c r="K45">
        <v>672</v>
      </c>
      <c r="L45">
        <v>0.50070000000000003</v>
      </c>
      <c r="M45">
        <v>85</v>
      </c>
      <c r="N45">
        <v>3</v>
      </c>
      <c r="O45">
        <v>1</v>
      </c>
      <c r="P45">
        <v>15.8</v>
      </c>
      <c r="Q45">
        <v>28.3</v>
      </c>
      <c r="R45">
        <v>20.5</v>
      </c>
      <c r="S45">
        <v>8.8000000000000007</v>
      </c>
      <c r="T45">
        <v>7.6</v>
      </c>
      <c r="U45">
        <v>2.2999999999999998</v>
      </c>
      <c r="V45">
        <v>6.6</v>
      </c>
      <c r="W45">
        <v>3</v>
      </c>
      <c r="X45">
        <v>2</v>
      </c>
      <c r="Y45">
        <v>6</v>
      </c>
      <c r="Z45">
        <v>2</v>
      </c>
      <c r="AA45">
        <v>3</v>
      </c>
      <c r="AB45" t="s">
        <v>493</v>
      </c>
      <c r="AC45" t="b">
        <v>0</v>
      </c>
      <c r="AD45" t="s">
        <v>353</v>
      </c>
      <c r="AE45">
        <v>0.47849999999999998</v>
      </c>
      <c r="AF45" t="s">
        <v>354</v>
      </c>
      <c r="AG45">
        <v>0.23619999999999999</v>
      </c>
      <c r="AH45">
        <v>1.7899999999999999E-2</v>
      </c>
      <c r="AI45">
        <v>0.75009999999999999</v>
      </c>
      <c r="AJ45" t="s">
        <v>355</v>
      </c>
      <c r="AK45">
        <v>4.53</v>
      </c>
      <c r="AL45">
        <v>9</v>
      </c>
      <c r="AM45" t="s">
        <v>356</v>
      </c>
      <c r="AN45">
        <v>0</v>
      </c>
      <c r="AO45">
        <v>0</v>
      </c>
      <c r="AP45">
        <v>16</v>
      </c>
      <c r="AQ45">
        <v>11.92</v>
      </c>
      <c r="AR45">
        <v>16</v>
      </c>
      <c r="AS45">
        <v>1</v>
      </c>
      <c r="AT45" t="s">
        <v>357</v>
      </c>
      <c r="AU45">
        <v>23.5</v>
      </c>
      <c r="AV45">
        <v>20</v>
      </c>
      <c r="AW45" t="s">
        <v>354</v>
      </c>
      <c r="AX45">
        <v>11</v>
      </c>
      <c r="AY45">
        <v>8.1999999999999993</v>
      </c>
      <c r="AZ45">
        <v>0</v>
      </c>
      <c r="BA45">
        <v>10</v>
      </c>
      <c r="BB45">
        <v>1</v>
      </c>
      <c r="BC45">
        <v>0</v>
      </c>
      <c r="BD45">
        <v>0</v>
      </c>
      <c r="BE45">
        <v>11</v>
      </c>
      <c r="BF45">
        <v>0</v>
      </c>
      <c r="BG45">
        <v>11</v>
      </c>
      <c r="BH45">
        <v>2</v>
      </c>
      <c r="BI45">
        <v>0</v>
      </c>
      <c r="BJ45" t="b">
        <v>0</v>
      </c>
      <c r="BK45" t="b">
        <v>0</v>
      </c>
      <c r="BL45">
        <v>3</v>
      </c>
      <c r="BM45">
        <v>3</v>
      </c>
      <c r="BN45">
        <v>2</v>
      </c>
      <c r="BO45">
        <v>1</v>
      </c>
      <c r="BP45">
        <v>0</v>
      </c>
      <c r="BQ45">
        <v>1</v>
      </c>
      <c r="BR45">
        <v>0</v>
      </c>
      <c r="BS45">
        <v>1342</v>
      </c>
      <c r="BT45">
        <v>672</v>
      </c>
      <c r="BU45">
        <v>0.50070000000000003</v>
      </c>
      <c r="BV45">
        <v>3</v>
      </c>
      <c r="BW45">
        <v>1</v>
      </c>
      <c r="BX45">
        <v>447.3</v>
      </c>
      <c r="BZ45" t="s">
        <v>1510</v>
      </c>
      <c r="CA45" t="s">
        <v>1511</v>
      </c>
      <c r="CB45" t="s">
        <v>1512</v>
      </c>
      <c r="CC45" t="s">
        <v>1513</v>
      </c>
      <c r="CD45">
        <v>0</v>
      </c>
      <c r="CE45">
        <v>0</v>
      </c>
      <c r="CF45">
        <v>0</v>
      </c>
      <c r="CG45">
        <v>0</v>
      </c>
      <c r="CH45">
        <v>1</v>
      </c>
      <c r="CI45" t="s">
        <v>362</v>
      </c>
      <c r="CJ45">
        <v>2</v>
      </c>
      <c r="CK45">
        <v>1.49</v>
      </c>
      <c r="CL45" t="s">
        <v>363</v>
      </c>
      <c r="CM45">
        <v>1</v>
      </c>
      <c r="CN45">
        <v>0</v>
      </c>
      <c r="CO45" t="b">
        <v>0</v>
      </c>
      <c r="CP45" t="b">
        <v>0</v>
      </c>
      <c r="CQ45" t="b">
        <v>1</v>
      </c>
      <c r="CR45" t="b">
        <v>1</v>
      </c>
      <c r="CS45" t="b">
        <v>0</v>
      </c>
      <c r="CT45" t="b">
        <v>0</v>
      </c>
      <c r="CU45" t="b">
        <v>1</v>
      </c>
      <c r="CV45">
        <v>0</v>
      </c>
      <c r="CW45">
        <v>0</v>
      </c>
      <c r="CX45">
        <v>0</v>
      </c>
      <c r="CY45">
        <v>0</v>
      </c>
      <c r="CZ45">
        <v>0</v>
      </c>
      <c r="DA45">
        <v>16</v>
      </c>
      <c r="DB45">
        <v>11.91</v>
      </c>
      <c r="DC45">
        <v>16</v>
      </c>
      <c r="DD45">
        <v>0</v>
      </c>
      <c r="DE45">
        <v>0</v>
      </c>
      <c r="DF45">
        <v>1</v>
      </c>
      <c r="DG45">
        <v>0.74</v>
      </c>
      <c r="DH45">
        <v>7</v>
      </c>
      <c r="DI45">
        <v>5.21</v>
      </c>
      <c r="DJ45">
        <v>0.14000000000000001</v>
      </c>
      <c r="DK45">
        <v>0</v>
      </c>
      <c r="DL45">
        <v>6</v>
      </c>
      <c r="DM45">
        <v>0</v>
      </c>
      <c r="DN45">
        <v>0</v>
      </c>
      <c r="DO45">
        <v>104</v>
      </c>
      <c r="DP45">
        <v>3</v>
      </c>
      <c r="DQ45">
        <v>2.23</v>
      </c>
      <c r="DR45" t="s">
        <v>1514</v>
      </c>
      <c r="DS45" t="s">
        <v>1515</v>
      </c>
      <c r="DT45" t="s">
        <v>1516</v>
      </c>
      <c r="DU45" t="s">
        <v>1515</v>
      </c>
      <c r="DV45" t="s">
        <v>1517</v>
      </c>
      <c r="DW45">
        <v>2.14</v>
      </c>
      <c r="DX45">
        <v>0</v>
      </c>
      <c r="DY45">
        <v>2</v>
      </c>
      <c r="DZ45">
        <v>5</v>
      </c>
      <c r="EA45">
        <v>3</v>
      </c>
      <c r="EB45">
        <v>12.14</v>
      </c>
      <c r="EC45" t="s">
        <v>503</v>
      </c>
      <c r="ED45" t="s">
        <v>413</v>
      </c>
      <c r="EE45">
        <v>3.8</v>
      </c>
      <c r="EF45" t="s">
        <v>414</v>
      </c>
      <c r="EG45">
        <v>7.0000000000000007E-2</v>
      </c>
      <c r="EH45">
        <v>2.0099999999999998</v>
      </c>
      <c r="EI45">
        <v>3.6999999999999998E-2</v>
      </c>
      <c r="EJ45" t="s">
        <v>370</v>
      </c>
      <c r="EK45">
        <v>1.04</v>
      </c>
      <c r="EL45" t="s">
        <v>472</v>
      </c>
      <c r="EM45" t="s">
        <v>1518</v>
      </c>
      <c r="EN45">
        <v>1.69</v>
      </c>
      <c r="EO45" t="s">
        <v>373</v>
      </c>
      <c r="EP45">
        <v>0</v>
      </c>
      <c r="EQ45">
        <v>0</v>
      </c>
      <c r="ER45">
        <v>42</v>
      </c>
      <c r="ES45" t="s">
        <v>374</v>
      </c>
      <c r="ET45">
        <v>2.23</v>
      </c>
      <c r="EU45">
        <v>2.48</v>
      </c>
      <c r="EV45">
        <v>2.73</v>
      </c>
      <c r="EW45">
        <v>2.48</v>
      </c>
      <c r="EX45">
        <v>1.99</v>
      </c>
      <c r="EY45">
        <v>0.99</v>
      </c>
      <c r="EZ45">
        <v>1.49</v>
      </c>
      <c r="FA45">
        <v>0.5</v>
      </c>
      <c r="FB45">
        <v>1.24</v>
      </c>
      <c r="FC45">
        <v>0.74</v>
      </c>
      <c r="FD45" t="s">
        <v>375</v>
      </c>
      <c r="FE45">
        <v>103</v>
      </c>
      <c r="FF45" t="s">
        <v>1519</v>
      </c>
      <c r="FG45" t="s">
        <v>1520</v>
      </c>
      <c r="FH45" t="s">
        <v>1521</v>
      </c>
      <c r="FI45" t="s">
        <v>1522</v>
      </c>
      <c r="FJ45" t="s">
        <v>1523</v>
      </c>
      <c r="FK45" t="s">
        <v>1524</v>
      </c>
      <c r="FL45" t="s">
        <v>1525</v>
      </c>
      <c r="FM45">
        <v>0</v>
      </c>
      <c r="FN45">
        <v>0.53249999999999997</v>
      </c>
      <c r="FO45">
        <v>0.77500000000000002</v>
      </c>
      <c r="FP45">
        <v>0.63439999999999996</v>
      </c>
      <c r="FQ45">
        <v>0.4819</v>
      </c>
      <c r="FR45">
        <v>0</v>
      </c>
      <c r="FS45">
        <v>0</v>
      </c>
      <c r="FT45">
        <v>1</v>
      </c>
      <c r="FU45">
        <v>8.6E-3</v>
      </c>
      <c r="FV45">
        <v>0.16389999999999999</v>
      </c>
      <c r="FW45">
        <v>4.7600000000000003E-2</v>
      </c>
      <c r="FX45">
        <v>3.1699999999999999E-2</v>
      </c>
      <c r="FY45">
        <v>0.2923</v>
      </c>
      <c r="FZ45">
        <v>0</v>
      </c>
      <c r="GA45">
        <v>83</v>
      </c>
      <c r="GB45">
        <v>1</v>
      </c>
      <c r="GC45">
        <v>1</v>
      </c>
      <c r="GD45">
        <v>46</v>
      </c>
      <c r="GE45">
        <v>2</v>
      </c>
      <c r="GF45">
        <v>16</v>
      </c>
      <c r="GG45">
        <v>0</v>
      </c>
      <c r="GH45">
        <v>0</v>
      </c>
      <c r="GI45">
        <v>1</v>
      </c>
      <c r="GJ45">
        <v>0</v>
      </c>
      <c r="GK45">
        <v>0</v>
      </c>
      <c r="GL45">
        <v>0</v>
      </c>
      <c r="GM45">
        <v>0.1903</v>
      </c>
      <c r="GN45">
        <v>0</v>
      </c>
      <c r="GO45">
        <v>0</v>
      </c>
      <c r="GP45">
        <v>9.5200000000000007E-2</v>
      </c>
      <c r="GQ45">
        <v>0</v>
      </c>
      <c r="GR45">
        <v>0</v>
      </c>
      <c r="GS45">
        <v>9.5200000000000007E-2</v>
      </c>
      <c r="GT45">
        <v>0</v>
      </c>
      <c r="GU45">
        <v>0</v>
      </c>
      <c r="GV45">
        <v>0</v>
      </c>
      <c r="GW45">
        <v>0</v>
      </c>
      <c r="GX45">
        <v>0</v>
      </c>
      <c r="GY45">
        <v>0</v>
      </c>
      <c r="GZ45">
        <v>0</v>
      </c>
      <c r="HA45">
        <v>0</v>
      </c>
      <c r="HB45">
        <v>0</v>
      </c>
      <c r="HC45" t="s">
        <v>383</v>
      </c>
      <c r="HD45">
        <v>0</v>
      </c>
      <c r="HE45">
        <v>0</v>
      </c>
      <c r="HF45">
        <v>0</v>
      </c>
      <c r="HG45">
        <v>0</v>
      </c>
      <c r="HH45">
        <v>0</v>
      </c>
      <c r="HI45" t="s">
        <v>383</v>
      </c>
      <c r="HJ45">
        <v>0</v>
      </c>
      <c r="HK45">
        <v>0</v>
      </c>
      <c r="HL45">
        <v>0</v>
      </c>
      <c r="HM45">
        <v>0</v>
      </c>
      <c r="HN45">
        <v>0</v>
      </c>
      <c r="HO45" t="s">
        <v>383</v>
      </c>
      <c r="HP45">
        <v>0</v>
      </c>
      <c r="HQ45">
        <v>0</v>
      </c>
      <c r="HR45">
        <v>0</v>
      </c>
      <c r="HS45">
        <v>0</v>
      </c>
      <c r="HT45">
        <v>0</v>
      </c>
      <c r="HU45" t="s">
        <v>383</v>
      </c>
      <c r="HV45">
        <v>0</v>
      </c>
      <c r="HW45">
        <v>0</v>
      </c>
      <c r="HX45">
        <v>0</v>
      </c>
      <c r="HY45">
        <v>0</v>
      </c>
      <c r="HZ45">
        <v>0</v>
      </c>
      <c r="IA45" t="s">
        <v>384</v>
      </c>
      <c r="IB45">
        <v>0</v>
      </c>
      <c r="IC45">
        <v>0</v>
      </c>
      <c r="ID45">
        <v>0</v>
      </c>
      <c r="IE45">
        <v>0</v>
      </c>
      <c r="IF45">
        <v>0</v>
      </c>
      <c r="IG45" t="s">
        <v>384</v>
      </c>
      <c r="IH45">
        <v>1</v>
      </c>
      <c r="II45">
        <v>0</v>
      </c>
      <c r="IJ45">
        <v>0.28570000000000001</v>
      </c>
      <c r="IK45">
        <v>0</v>
      </c>
      <c r="IL45">
        <v>0.28570000000000001</v>
      </c>
      <c r="IM45" t="s">
        <v>384</v>
      </c>
      <c r="IN45">
        <v>0</v>
      </c>
      <c r="IO45">
        <v>0</v>
      </c>
      <c r="IP45">
        <v>0</v>
      </c>
      <c r="IQ45">
        <v>0</v>
      </c>
      <c r="IR45">
        <v>0</v>
      </c>
      <c r="IS45" t="s">
        <v>384</v>
      </c>
      <c r="IT45">
        <v>0</v>
      </c>
      <c r="IU45">
        <v>0</v>
      </c>
      <c r="IV45">
        <v>0</v>
      </c>
      <c r="IW45">
        <v>0</v>
      </c>
      <c r="IX45">
        <v>0</v>
      </c>
      <c r="IY45">
        <v>0.28570000000000001</v>
      </c>
      <c r="IZ45">
        <v>0</v>
      </c>
      <c r="JA45">
        <v>-0.28570000000000001</v>
      </c>
      <c r="JB45" t="s">
        <v>1526</v>
      </c>
      <c r="JD45" t="s">
        <v>1527</v>
      </c>
      <c r="JE45" t="s">
        <v>386</v>
      </c>
      <c r="JF45" t="s">
        <v>1528</v>
      </c>
      <c r="JG45" t="s">
        <v>1529</v>
      </c>
      <c r="JH45" t="s">
        <v>1530</v>
      </c>
      <c r="JI45" t="s">
        <v>1531</v>
      </c>
      <c r="JJ45">
        <v>0.61670000000000003</v>
      </c>
      <c r="JK45">
        <v>0</v>
      </c>
      <c r="JL45" t="s">
        <v>391</v>
      </c>
      <c r="JM45">
        <v>0</v>
      </c>
      <c r="JN45">
        <v>0</v>
      </c>
      <c r="JO45">
        <v>0</v>
      </c>
      <c r="JP45">
        <v>0</v>
      </c>
      <c r="JQ45">
        <v>0</v>
      </c>
      <c r="JR45">
        <v>0</v>
      </c>
      <c r="JS45">
        <v>0</v>
      </c>
      <c r="JT45">
        <v>0</v>
      </c>
      <c r="JU45">
        <v>0</v>
      </c>
      <c r="JV45">
        <v>0</v>
      </c>
      <c r="JX45" t="s">
        <v>392</v>
      </c>
      <c r="JY45">
        <v>0</v>
      </c>
      <c r="JZ45">
        <v>0</v>
      </c>
      <c r="KA45">
        <v>1</v>
      </c>
      <c r="KB45">
        <v>0</v>
      </c>
      <c r="KC45">
        <v>0</v>
      </c>
      <c r="KD45">
        <v>1</v>
      </c>
      <c r="KE45">
        <v>0</v>
      </c>
      <c r="KF45">
        <v>0</v>
      </c>
      <c r="KG45">
        <v>1</v>
      </c>
      <c r="KH45">
        <v>0</v>
      </c>
      <c r="KI45">
        <v>0</v>
      </c>
      <c r="KJ45">
        <v>1</v>
      </c>
      <c r="KK45">
        <v>0</v>
      </c>
      <c r="KL45">
        <v>0</v>
      </c>
      <c r="KM45">
        <v>1</v>
      </c>
      <c r="KN45">
        <v>0</v>
      </c>
      <c r="KO45">
        <v>0</v>
      </c>
      <c r="KP45">
        <v>1</v>
      </c>
      <c r="KQ45">
        <v>0</v>
      </c>
      <c r="KR45">
        <v>0</v>
      </c>
      <c r="KS45">
        <v>1</v>
      </c>
      <c r="KT45">
        <v>0</v>
      </c>
      <c r="KU45">
        <v>0</v>
      </c>
      <c r="KV45">
        <v>1</v>
      </c>
      <c r="KW45">
        <v>0</v>
      </c>
      <c r="KX45">
        <v>0</v>
      </c>
      <c r="KY45">
        <v>1</v>
      </c>
      <c r="KZ45">
        <v>0</v>
      </c>
      <c r="LA45">
        <v>0</v>
      </c>
      <c r="LB45">
        <v>0</v>
      </c>
      <c r="LC45">
        <v>0</v>
      </c>
      <c r="LD45">
        <v>0</v>
      </c>
      <c r="LE45">
        <v>0</v>
      </c>
      <c r="LF45">
        <v>0</v>
      </c>
      <c r="LG45">
        <v>0</v>
      </c>
      <c r="LH45">
        <v>0</v>
      </c>
      <c r="LI45">
        <v>0</v>
      </c>
      <c r="LJ45">
        <v>0</v>
      </c>
      <c r="LK45">
        <v>0</v>
      </c>
      <c r="LN45" t="s">
        <v>393</v>
      </c>
      <c r="LO45" t="s">
        <v>394</v>
      </c>
      <c r="LP45" t="s">
        <v>395</v>
      </c>
      <c r="LQ45">
        <v>0.49270000000000003</v>
      </c>
      <c r="LR45">
        <v>17.715</v>
      </c>
      <c r="LS45">
        <v>12.526400000000001</v>
      </c>
      <c r="LT45">
        <v>1293</v>
      </c>
      <c r="LU45">
        <v>637</v>
      </c>
      <c r="LV45">
        <v>112.6477</v>
      </c>
      <c r="LW45">
        <v>0.89119999999999999</v>
      </c>
      <c r="LX45">
        <v>0.51480000000000004</v>
      </c>
      <c r="LY45">
        <v>0.51480000000000004</v>
      </c>
      <c r="LZ45">
        <v>0.51480000000000004</v>
      </c>
      <c r="MA45">
        <v>0</v>
      </c>
      <c r="MB45">
        <v>663</v>
      </c>
      <c r="MC45">
        <v>1</v>
      </c>
      <c r="MD45" t="s">
        <v>396</v>
      </c>
      <c r="ME45" t="s">
        <v>397</v>
      </c>
    </row>
    <row r="46" spans="1:343" ht="16.95" customHeight="1" x14ac:dyDescent="0.3">
      <c r="A46" t="s">
        <v>1532</v>
      </c>
      <c r="B46" t="s">
        <v>1533</v>
      </c>
      <c r="C46" t="s">
        <v>345</v>
      </c>
      <c r="D46" t="s">
        <v>346</v>
      </c>
      <c r="E46" t="s">
        <v>347</v>
      </c>
      <c r="F46" t="s">
        <v>1534</v>
      </c>
      <c r="G46" t="s">
        <v>1535</v>
      </c>
      <c r="H46" t="s">
        <v>1536</v>
      </c>
      <c r="I46" t="s">
        <v>351</v>
      </c>
      <c r="J46">
        <v>3343</v>
      </c>
      <c r="K46">
        <v>1424</v>
      </c>
      <c r="L46">
        <v>0.42599999999999999</v>
      </c>
      <c r="M46">
        <v>243</v>
      </c>
      <c r="N46">
        <v>3</v>
      </c>
      <c r="O46">
        <v>1</v>
      </c>
      <c r="P46">
        <v>13.8</v>
      </c>
      <c r="Q46">
        <v>81</v>
      </c>
      <c r="R46">
        <v>19.899999999999999</v>
      </c>
      <c r="S46">
        <v>8.1</v>
      </c>
      <c r="T46">
        <v>9.8000000000000007</v>
      </c>
      <c r="U46">
        <v>2</v>
      </c>
      <c r="V46">
        <v>6.6</v>
      </c>
      <c r="W46">
        <v>16</v>
      </c>
      <c r="X46">
        <v>4.5999999999999996</v>
      </c>
      <c r="Y46">
        <v>2</v>
      </c>
      <c r="Z46">
        <v>0</v>
      </c>
      <c r="AA46">
        <v>2</v>
      </c>
      <c r="AB46" t="s">
        <v>352</v>
      </c>
      <c r="AC46" t="b">
        <v>0</v>
      </c>
      <c r="AD46" t="s">
        <v>353</v>
      </c>
      <c r="AE46">
        <v>0.42730000000000001</v>
      </c>
      <c r="AF46" t="s">
        <v>354</v>
      </c>
      <c r="AG46">
        <v>0.23419999999999999</v>
      </c>
      <c r="AH46">
        <v>4.6399999999999997E-2</v>
      </c>
      <c r="AI46">
        <v>0.73029999999999995</v>
      </c>
      <c r="AJ46" t="s">
        <v>355</v>
      </c>
      <c r="AK46">
        <v>4.2300000000000004</v>
      </c>
      <c r="AL46">
        <v>12</v>
      </c>
      <c r="AM46" t="s">
        <v>356</v>
      </c>
      <c r="AN46">
        <v>0</v>
      </c>
      <c r="AO46">
        <v>0</v>
      </c>
      <c r="AP46">
        <v>40</v>
      </c>
      <c r="AQ46">
        <v>11.97</v>
      </c>
      <c r="AR46">
        <v>40</v>
      </c>
      <c r="AS46">
        <v>3</v>
      </c>
      <c r="AT46" t="s">
        <v>357</v>
      </c>
      <c r="AU46">
        <v>23.9</v>
      </c>
      <c r="AV46">
        <v>58</v>
      </c>
      <c r="AW46" t="s">
        <v>354</v>
      </c>
      <c r="AX46">
        <v>29</v>
      </c>
      <c r="AY46">
        <v>8.67</v>
      </c>
      <c r="AZ46">
        <v>9</v>
      </c>
      <c r="BA46">
        <v>20</v>
      </c>
      <c r="BB46">
        <v>0</v>
      </c>
      <c r="BC46">
        <v>0</v>
      </c>
      <c r="BD46">
        <v>0</v>
      </c>
      <c r="BE46">
        <v>20</v>
      </c>
      <c r="BF46">
        <v>9</v>
      </c>
      <c r="BG46">
        <v>2.2200000000000002</v>
      </c>
      <c r="BH46">
        <v>0</v>
      </c>
      <c r="BI46">
        <v>0.03</v>
      </c>
      <c r="BJ46" t="b">
        <v>0</v>
      </c>
      <c r="BK46" t="b">
        <v>0</v>
      </c>
      <c r="BL46">
        <v>3</v>
      </c>
      <c r="BM46">
        <v>3</v>
      </c>
      <c r="BN46">
        <v>2</v>
      </c>
      <c r="BO46">
        <v>1</v>
      </c>
      <c r="BP46">
        <v>0</v>
      </c>
      <c r="BQ46">
        <v>1</v>
      </c>
      <c r="BR46">
        <v>0</v>
      </c>
      <c r="BS46">
        <v>3343</v>
      </c>
      <c r="BT46">
        <v>1424</v>
      </c>
      <c r="BU46">
        <v>0.42599999999999999</v>
      </c>
      <c r="BV46">
        <v>3</v>
      </c>
      <c r="BW46">
        <v>1</v>
      </c>
      <c r="BX46">
        <v>1114.3</v>
      </c>
      <c r="BZ46" t="s">
        <v>1537</v>
      </c>
      <c r="CA46" t="s">
        <v>1538</v>
      </c>
      <c r="CB46" t="s">
        <v>1539</v>
      </c>
      <c r="CC46" t="s">
        <v>1540</v>
      </c>
      <c r="CD46">
        <v>10</v>
      </c>
      <c r="CE46">
        <v>2</v>
      </c>
      <c r="CF46">
        <v>0</v>
      </c>
      <c r="CG46">
        <v>2.99</v>
      </c>
      <c r="CH46">
        <v>1</v>
      </c>
      <c r="CI46" t="s">
        <v>362</v>
      </c>
      <c r="CJ46">
        <v>6</v>
      </c>
      <c r="CK46">
        <v>1.79</v>
      </c>
      <c r="CL46" t="s">
        <v>1541</v>
      </c>
      <c r="CM46">
        <v>1</v>
      </c>
      <c r="CN46">
        <v>0</v>
      </c>
      <c r="CO46" t="b">
        <v>1</v>
      </c>
      <c r="CP46" t="b">
        <v>0</v>
      </c>
      <c r="CQ46" t="b">
        <v>1</v>
      </c>
      <c r="CR46" t="b">
        <v>1</v>
      </c>
      <c r="CS46" t="b">
        <v>1</v>
      </c>
      <c r="CT46" t="b">
        <v>0</v>
      </c>
      <c r="CU46" t="b">
        <v>0</v>
      </c>
      <c r="CV46">
        <v>0</v>
      </c>
      <c r="CW46">
        <v>0</v>
      </c>
      <c r="CX46">
        <v>0</v>
      </c>
      <c r="CY46">
        <v>0</v>
      </c>
      <c r="CZ46">
        <v>0</v>
      </c>
      <c r="DA46">
        <v>42</v>
      </c>
      <c r="DB46">
        <v>12.54</v>
      </c>
      <c r="DC46">
        <v>42</v>
      </c>
      <c r="DD46">
        <v>1</v>
      </c>
      <c r="DE46">
        <v>0.3</v>
      </c>
      <c r="DF46">
        <v>8</v>
      </c>
      <c r="DG46">
        <v>2.39</v>
      </c>
      <c r="DH46">
        <v>5</v>
      </c>
      <c r="DI46">
        <v>1.49</v>
      </c>
      <c r="DJ46">
        <v>1.6</v>
      </c>
      <c r="DK46">
        <v>0</v>
      </c>
      <c r="DL46">
        <v>0</v>
      </c>
      <c r="DM46">
        <v>10</v>
      </c>
      <c r="DN46">
        <v>0</v>
      </c>
      <c r="DO46">
        <v>310</v>
      </c>
      <c r="DP46">
        <v>5</v>
      </c>
      <c r="DQ46">
        <v>1.49</v>
      </c>
      <c r="DR46" t="s">
        <v>1542</v>
      </c>
      <c r="DS46" t="s">
        <v>1543</v>
      </c>
      <c r="DT46" t="s">
        <v>1544</v>
      </c>
      <c r="DU46" t="s">
        <v>1545</v>
      </c>
      <c r="DV46" t="s">
        <v>1546</v>
      </c>
      <c r="DW46">
        <v>2.86</v>
      </c>
      <c r="DX46">
        <v>2.5</v>
      </c>
      <c r="DY46">
        <v>2</v>
      </c>
      <c r="DZ46">
        <v>5</v>
      </c>
      <c r="EA46">
        <v>1</v>
      </c>
      <c r="EB46">
        <v>13.36</v>
      </c>
      <c r="EC46" t="s">
        <v>503</v>
      </c>
      <c r="ED46" t="s">
        <v>667</v>
      </c>
      <c r="EE46">
        <v>3.82</v>
      </c>
      <c r="EF46" t="s">
        <v>414</v>
      </c>
      <c r="EG46">
        <v>0.12</v>
      </c>
      <c r="EH46">
        <v>1.1399999999999999</v>
      </c>
      <c r="EI46">
        <v>0.105</v>
      </c>
      <c r="EJ46" t="s">
        <v>370</v>
      </c>
      <c r="EK46">
        <v>0.6</v>
      </c>
      <c r="EL46" t="s">
        <v>393</v>
      </c>
      <c r="EM46" t="s">
        <v>1547</v>
      </c>
      <c r="EN46">
        <v>1.05</v>
      </c>
      <c r="EO46" t="s">
        <v>417</v>
      </c>
      <c r="EP46">
        <v>1</v>
      </c>
      <c r="EQ46">
        <v>0</v>
      </c>
      <c r="ER46">
        <v>90.1</v>
      </c>
      <c r="ES46" t="s">
        <v>669</v>
      </c>
      <c r="ET46">
        <v>2.29</v>
      </c>
      <c r="EU46">
        <v>0.4</v>
      </c>
      <c r="EV46">
        <v>1.49</v>
      </c>
      <c r="EW46">
        <v>1.39</v>
      </c>
      <c r="EX46">
        <v>2.69</v>
      </c>
      <c r="EY46">
        <v>0.2</v>
      </c>
      <c r="EZ46">
        <v>0.5</v>
      </c>
      <c r="FA46">
        <v>0.2</v>
      </c>
      <c r="FB46">
        <v>0.7</v>
      </c>
      <c r="FC46">
        <v>0.6</v>
      </c>
      <c r="FD46" t="s">
        <v>375</v>
      </c>
      <c r="FE46">
        <v>410</v>
      </c>
      <c r="FF46" t="s">
        <v>1548</v>
      </c>
      <c r="FG46" t="s">
        <v>1549</v>
      </c>
      <c r="FH46" t="s">
        <v>1550</v>
      </c>
      <c r="FI46" t="s">
        <v>1551</v>
      </c>
      <c r="FJ46" t="s">
        <v>1552</v>
      </c>
      <c r="FK46" t="s">
        <v>1553</v>
      </c>
      <c r="FL46" t="s">
        <v>1554</v>
      </c>
      <c r="FM46">
        <v>0</v>
      </c>
      <c r="FN46">
        <v>0.58599999999999997</v>
      </c>
      <c r="FO46">
        <v>0.77500000000000002</v>
      </c>
      <c r="FP46">
        <v>0.66539999999999999</v>
      </c>
      <c r="FQ46">
        <v>0.6331</v>
      </c>
      <c r="FR46">
        <v>4.0000000000000001E-3</v>
      </c>
      <c r="FS46">
        <v>1.61E-2</v>
      </c>
      <c r="FT46">
        <v>0</v>
      </c>
      <c r="FU46">
        <v>6.0000000000000001E-3</v>
      </c>
      <c r="FV46">
        <v>0.1532</v>
      </c>
      <c r="FW46">
        <v>4.0300000000000002E-2</v>
      </c>
      <c r="FX46">
        <v>1.34E-2</v>
      </c>
      <c r="FY46">
        <v>0.2681</v>
      </c>
      <c r="FZ46">
        <v>1.34E-2</v>
      </c>
      <c r="GA46">
        <v>248</v>
      </c>
      <c r="GB46">
        <v>1</v>
      </c>
      <c r="GC46">
        <v>1</v>
      </c>
      <c r="GD46">
        <v>123</v>
      </c>
      <c r="GE46">
        <v>2</v>
      </c>
      <c r="GF46">
        <v>41</v>
      </c>
      <c r="GG46">
        <v>1</v>
      </c>
      <c r="GH46">
        <v>1</v>
      </c>
      <c r="GI46">
        <v>0</v>
      </c>
      <c r="GJ46">
        <v>1</v>
      </c>
      <c r="GK46">
        <v>8.0500000000000002E-2</v>
      </c>
      <c r="GL46">
        <v>0</v>
      </c>
      <c r="GM46">
        <v>8.0500000000000002E-2</v>
      </c>
      <c r="GN46">
        <v>0</v>
      </c>
      <c r="GO46">
        <v>0</v>
      </c>
      <c r="GP46">
        <v>4.02E-2</v>
      </c>
      <c r="GQ46">
        <v>0</v>
      </c>
      <c r="GR46">
        <v>0</v>
      </c>
      <c r="GS46">
        <v>4.02E-2</v>
      </c>
      <c r="GT46">
        <v>0</v>
      </c>
      <c r="GU46">
        <v>8.0500000000000002E-2</v>
      </c>
      <c r="GV46">
        <v>4.02E-2</v>
      </c>
      <c r="GW46">
        <v>0</v>
      </c>
      <c r="GX46">
        <v>0</v>
      </c>
      <c r="GY46">
        <v>0</v>
      </c>
      <c r="GZ46">
        <v>0</v>
      </c>
      <c r="HA46">
        <v>0</v>
      </c>
      <c r="HB46">
        <v>0</v>
      </c>
      <c r="HC46" t="s">
        <v>383</v>
      </c>
      <c r="HD46">
        <v>0</v>
      </c>
      <c r="HE46">
        <v>0</v>
      </c>
      <c r="HF46">
        <v>0</v>
      </c>
      <c r="HG46">
        <v>0</v>
      </c>
      <c r="HH46">
        <v>0</v>
      </c>
      <c r="HI46" t="s">
        <v>383</v>
      </c>
      <c r="HJ46">
        <v>0</v>
      </c>
      <c r="HK46">
        <v>0</v>
      </c>
      <c r="HL46">
        <v>0</v>
      </c>
      <c r="HM46">
        <v>0</v>
      </c>
      <c r="HN46">
        <v>0</v>
      </c>
      <c r="HO46" t="s">
        <v>383</v>
      </c>
      <c r="HP46">
        <v>0</v>
      </c>
      <c r="HQ46">
        <v>0</v>
      </c>
      <c r="HR46">
        <v>0</v>
      </c>
      <c r="HS46">
        <v>0</v>
      </c>
      <c r="HT46">
        <v>0</v>
      </c>
      <c r="HU46" t="s">
        <v>383</v>
      </c>
      <c r="HV46">
        <v>0</v>
      </c>
      <c r="HW46">
        <v>0</v>
      </c>
      <c r="HX46">
        <v>0</v>
      </c>
      <c r="HY46">
        <v>0</v>
      </c>
      <c r="HZ46">
        <v>0</v>
      </c>
      <c r="IA46" t="s">
        <v>384</v>
      </c>
      <c r="IB46">
        <v>0</v>
      </c>
      <c r="IC46">
        <v>0</v>
      </c>
      <c r="ID46">
        <v>0</v>
      </c>
      <c r="IE46">
        <v>0</v>
      </c>
      <c r="IF46">
        <v>0</v>
      </c>
      <c r="IG46" t="s">
        <v>384</v>
      </c>
      <c r="IH46">
        <v>0</v>
      </c>
      <c r="II46">
        <v>0</v>
      </c>
      <c r="IJ46">
        <v>0</v>
      </c>
      <c r="IK46">
        <v>0</v>
      </c>
      <c r="IL46">
        <v>0</v>
      </c>
      <c r="IM46" t="s">
        <v>384</v>
      </c>
      <c r="IN46">
        <v>0</v>
      </c>
      <c r="IO46">
        <v>0</v>
      </c>
      <c r="IP46">
        <v>0</v>
      </c>
      <c r="IQ46">
        <v>0</v>
      </c>
      <c r="IR46">
        <v>0</v>
      </c>
      <c r="IS46" t="s">
        <v>384</v>
      </c>
      <c r="IT46">
        <v>0</v>
      </c>
      <c r="IU46">
        <v>0</v>
      </c>
      <c r="IV46">
        <v>0</v>
      </c>
      <c r="IW46">
        <v>0</v>
      </c>
      <c r="IX46">
        <v>0</v>
      </c>
      <c r="IY46">
        <v>0</v>
      </c>
      <c r="IZ46">
        <v>0</v>
      </c>
      <c r="JA46">
        <v>0</v>
      </c>
      <c r="JD46" t="s">
        <v>483</v>
      </c>
      <c r="JE46" t="s">
        <v>484</v>
      </c>
      <c r="JF46" t="s">
        <v>1555</v>
      </c>
      <c r="JG46" t="s">
        <v>1556</v>
      </c>
      <c r="JH46" t="s">
        <v>1557</v>
      </c>
      <c r="JI46" t="s">
        <v>1558</v>
      </c>
      <c r="JJ46">
        <v>0.5</v>
      </c>
      <c r="JK46">
        <v>0</v>
      </c>
      <c r="JL46" t="s">
        <v>391</v>
      </c>
      <c r="JM46">
        <v>0</v>
      </c>
      <c r="JN46">
        <v>0</v>
      </c>
      <c r="JO46">
        <v>0</v>
      </c>
      <c r="JP46">
        <v>0</v>
      </c>
      <c r="JQ46">
        <v>0</v>
      </c>
      <c r="JR46">
        <v>0</v>
      </c>
      <c r="JS46">
        <v>0</v>
      </c>
      <c r="JT46">
        <v>0</v>
      </c>
      <c r="JU46">
        <v>0</v>
      </c>
      <c r="JV46">
        <v>0</v>
      </c>
      <c r="JX46" t="s">
        <v>392</v>
      </c>
      <c r="JY46">
        <v>0</v>
      </c>
      <c r="JZ46">
        <v>0</v>
      </c>
      <c r="KA46">
        <v>1</v>
      </c>
      <c r="KB46">
        <v>0</v>
      </c>
      <c r="KC46">
        <v>0</v>
      </c>
      <c r="KD46">
        <v>1</v>
      </c>
      <c r="KE46">
        <v>0</v>
      </c>
      <c r="KF46">
        <v>0</v>
      </c>
      <c r="KG46">
        <v>1</v>
      </c>
      <c r="KH46">
        <v>0</v>
      </c>
      <c r="KI46">
        <v>0</v>
      </c>
      <c r="KJ46">
        <v>1</v>
      </c>
      <c r="KK46">
        <v>0</v>
      </c>
      <c r="KL46">
        <v>0</v>
      </c>
      <c r="KM46">
        <v>1</v>
      </c>
      <c r="KN46">
        <v>0</v>
      </c>
      <c r="KO46">
        <v>0</v>
      </c>
      <c r="KP46">
        <v>1</v>
      </c>
      <c r="KQ46">
        <v>0</v>
      </c>
      <c r="KR46">
        <v>0</v>
      </c>
      <c r="KS46">
        <v>1</v>
      </c>
      <c r="KT46">
        <v>0</v>
      </c>
      <c r="KU46">
        <v>0</v>
      </c>
      <c r="KV46">
        <v>1</v>
      </c>
      <c r="KW46">
        <v>0</v>
      </c>
      <c r="KX46">
        <v>0</v>
      </c>
      <c r="KY46">
        <v>1</v>
      </c>
      <c r="KZ46">
        <v>0</v>
      </c>
      <c r="LA46">
        <v>0</v>
      </c>
      <c r="LB46">
        <v>0</v>
      </c>
      <c r="LC46">
        <v>0</v>
      </c>
      <c r="LD46">
        <v>0</v>
      </c>
      <c r="LE46">
        <v>0</v>
      </c>
      <c r="LF46">
        <v>0</v>
      </c>
      <c r="LG46">
        <v>0</v>
      </c>
      <c r="LH46">
        <v>0</v>
      </c>
      <c r="LI46">
        <v>0</v>
      </c>
      <c r="LJ46">
        <v>0</v>
      </c>
      <c r="LK46">
        <v>0</v>
      </c>
      <c r="LN46" t="s">
        <v>393</v>
      </c>
      <c r="LO46" t="s">
        <v>394</v>
      </c>
      <c r="LP46" t="s">
        <v>395</v>
      </c>
      <c r="LQ46">
        <v>0.39300000000000002</v>
      </c>
      <c r="LR46">
        <v>21.8612</v>
      </c>
      <c r="LS46">
        <v>15.4582</v>
      </c>
      <c r="LT46">
        <v>3094</v>
      </c>
      <c r="LU46">
        <v>1216</v>
      </c>
      <c r="LV46">
        <v>119</v>
      </c>
      <c r="LW46">
        <v>0.89759999999999995</v>
      </c>
      <c r="LX46">
        <v>0.5827</v>
      </c>
      <c r="LY46">
        <v>0.5827</v>
      </c>
      <c r="LZ46">
        <v>0.5827</v>
      </c>
      <c r="MA46">
        <v>0</v>
      </c>
      <c r="MB46">
        <v>1803</v>
      </c>
      <c r="MC46">
        <v>1</v>
      </c>
      <c r="MD46" t="s">
        <v>396</v>
      </c>
      <c r="ME46" t="s">
        <v>517</v>
      </c>
    </row>
    <row r="47" spans="1:343" ht="16.95" customHeight="1" x14ac:dyDescent="0.3">
      <c r="A47" t="s">
        <v>1559</v>
      </c>
      <c r="B47" t="s">
        <v>1560</v>
      </c>
      <c r="C47" t="s">
        <v>345</v>
      </c>
      <c r="D47" t="s">
        <v>346</v>
      </c>
      <c r="E47" t="s">
        <v>347</v>
      </c>
      <c r="F47" t="s">
        <v>1561</v>
      </c>
      <c r="G47" t="s">
        <v>1562</v>
      </c>
      <c r="H47" t="s">
        <v>1563</v>
      </c>
      <c r="I47" t="s">
        <v>351</v>
      </c>
      <c r="J47">
        <v>2351</v>
      </c>
      <c r="K47">
        <v>1071</v>
      </c>
      <c r="L47">
        <v>0.4556</v>
      </c>
      <c r="M47">
        <v>131</v>
      </c>
      <c r="N47">
        <v>3</v>
      </c>
      <c r="O47">
        <v>1</v>
      </c>
      <c r="P47">
        <v>17.899999999999999</v>
      </c>
      <c r="Q47">
        <v>43.7</v>
      </c>
      <c r="R47">
        <v>21.1</v>
      </c>
      <c r="S47">
        <v>7</v>
      </c>
      <c r="T47">
        <v>9.1999999999999993</v>
      </c>
      <c r="U47">
        <v>2.9</v>
      </c>
      <c r="V47">
        <v>8.5</v>
      </c>
      <c r="W47">
        <v>7</v>
      </c>
      <c r="X47">
        <v>3.4</v>
      </c>
      <c r="Y47">
        <v>4</v>
      </c>
      <c r="Z47">
        <v>0</v>
      </c>
      <c r="AA47">
        <v>4</v>
      </c>
      <c r="AB47" t="s">
        <v>493</v>
      </c>
      <c r="AC47" t="b">
        <v>0</v>
      </c>
      <c r="AD47" t="s">
        <v>353</v>
      </c>
      <c r="AE47">
        <v>0.4506</v>
      </c>
      <c r="AF47" t="s">
        <v>354</v>
      </c>
      <c r="AG47">
        <v>0.28239999999999998</v>
      </c>
      <c r="AH47">
        <v>1.7000000000000001E-2</v>
      </c>
      <c r="AI47">
        <v>0.70540000000000003</v>
      </c>
      <c r="AJ47" t="s">
        <v>355</v>
      </c>
      <c r="AK47">
        <v>5.33</v>
      </c>
      <c r="AL47">
        <v>12</v>
      </c>
      <c r="AM47" t="s">
        <v>356</v>
      </c>
      <c r="AN47">
        <v>1</v>
      </c>
      <c r="AO47">
        <v>0.43</v>
      </c>
      <c r="AP47">
        <v>15</v>
      </c>
      <c r="AQ47">
        <v>6.38</v>
      </c>
      <c r="AR47">
        <v>15</v>
      </c>
      <c r="AS47">
        <v>0</v>
      </c>
      <c r="AT47" t="s">
        <v>357</v>
      </c>
      <c r="AU47">
        <v>18.3</v>
      </c>
      <c r="AV47">
        <v>24</v>
      </c>
      <c r="AW47" t="s">
        <v>354</v>
      </c>
      <c r="AX47">
        <v>9</v>
      </c>
      <c r="AY47">
        <v>3.83</v>
      </c>
      <c r="AZ47">
        <v>0</v>
      </c>
      <c r="BA47">
        <v>9</v>
      </c>
      <c r="BB47">
        <v>0</v>
      </c>
      <c r="BC47">
        <v>0</v>
      </c>
      <c r="BD47">
        <v>0</v>
      </c>
      <c r="BE47">
        <v>9</v>
      </c>
      <c r="BF47">
        <v>0</v>
      </c>
      <c r="BG47">
        <v>9</v>
      </c>
      <c r="BH47">
        <v>0</v>
      </c>
      <c r="BI47">
        <v>0.15</v>
      </c>
      <c r="BJ47" t="b">
        <v>0</v>
      </c>
      <c r="BK47" t="b">
        <v>0</v>
      </c>
      <c r="BL47">
        <v>3</v>
      </c>
      <c r="BM47">
        <v>3</v>
      </c>
      <c r="BN47">
        <v>2</v>
      </c>
      <c r="BO47">
        <v>1</v>
      </c>
      <c r="BP47">
        <v>0</v>
      </c>
      <c r="BQ47">
        <v>1</v>
      </c>
      <c r="BR47">
        <v>0</v>
      </c>
      <c r="BS47">
        <v>2351</v>
      </c>
      <c r="BT47">
        <v>1071</v>
      </c>
      <c r="BU47">
        <v>0.4556</v>
      </c>
      <c r="BV47">
        <v>3</v>
      </c>
      <c r="BW47">
        <v>1</v>
      </c>
      <c r="BX47">
        <v>783.7</v>
      </c>
      <c r="BZ47" t="s">
        <v>1564</v>
      </c>
      <c r="CA47" t="s">
        <v>1565</v>
      </c>
      <c r="CB47" t="s">
        <v>1566</v>
      </c>
      <c r="CC47" t="s">
        <v>1567</v>
      </c>
      <c r="CD47">
        <v>0</v>
      </c>
      <c r="CE47">
        <v>0</v>
      </c>
      <c r="CF47">
        <v>0</v>
      </c>
      <c r="CG47">
        <v>0</v>
      </c>
      <c r="CH47">
        <v>0</v>
      </c>
      <c r="CJ47">
        <v>5</v>
      </c>
      <c r="CK47">
        <v>2.13</v>
      </c>
      <c r="CL47" t="s">
        <v>363</v>
      </c>
      <c r="CM47">
        <v>1</v>
      </c>
      <c r="CN47">
        <v>0</v>
      </c>
      <c r="CO47" t="b">
        <v>0</v>
      </c>
      <c r="CP47" t="b">
        <v>0</v>
      </c>
      <c r="CQ47" t="b">
        <v>1</v>
      </c>
      <c r="CR47" t="b">
        <v>1</v>
      </c>
      <c r="CS47" t="b">
        <v>1</v>
      </c>
      <c r="CT47" t="b">
        <v>0</v>
      </c>
      <c r="CU47" t="b">
        <v>0</v>
      </c>
      <c r="CV47">
        <v>0</v>
      </c>
      <c r="CW47">
        <v>0</v>
      </c>
      <c r="CX47">
        <v>0</v>
      </c>
      <c r="CY47">
        <v>1</v>
      </c>
      <c r="CZ47">
        <v>0.43</v>
      </c>
      <c r="DA47">
        <v>15</v>
      </c>
      <c r="DB47">
        <v>6.38</v>
      </c>
      <c r="DC47">
        <v>15</v>
      </c>
      <c r="DD47">
        <v>0</v>
      </c>
      <c r="DE47">
        <v>0</v>
      </c>
      <c r="DF47">
        <v>5</v>
      </c>
      <c r="DG47">
        <v>2.13</v>
      </c>
      <c r="DH47">
        <v>4</v>
      </c>
      <c r="DI47">
        <v>1.7</v>
      </c>
      <c r="DJ47">
        <v>1.25</v>
      </c>
      <c r="DK47">
        <v>0</v>
      </c>
      <c r="DL47">
        <v>1</v>
      </c>
      <c r="DM47">
        <v>8</v>
      </c>
      <c r="DN47">
        <v>0</v>
      </c>
      <c r="DO47">
        <v>191</v>
      </c>
      <c r="DP47">
        <v>9</v>
      </c>
      <c r="DQ47">
        <v>3.83</v>
      </c>
      <c r="DR47" t="s">
        <v>1568</v>
      </c>
      <c r="DS47" t="s">
        <v>874</v>
      </c>
      <c r="DT47" t="s">
        <v>1569</v>
      </c>
      <c r="DU47" t="s">
        <v>1569</v>
      </c>
      <c r="DV47" t="s">
        <v>876</v>
      </c>
      <c r="DW47">
        <v>2.14</v>
      </c>
      <c r="DX47">
        <v>0</v>
      </c>
      <c r="DY47">
        <v>2.17</v>
      </c>
      <c r="DZ47">
        <v>5</v>
      </c>
      <c r="EA47">
        <v>0.5</v>
      </c>
      <c r="EB47">
        <v>9.81</v>
      </c>
      <c r="EC47" t="s">
        <v>369</v>
      </c>
      <c r="ED47" t="s">
        <v>369</v>
      </c>
      <c r="EE47">
        <v>1.08</v>
      </c>
      <c r="EF47" t="s">
        <v>414</v>
      </c>
      <c r="EG47">
        <v>0.04</v>
      </c>
      <c r="EH47">
        <v>0.94</v>
      </c>
      <c r="EI47">
        <v>4.4999999999999998E-2</v>
      </c>
      <c r="EJ47" t="s">
        <v>370</v>
      </c>
      <c r="EK47">
        <v>0.85</v>
      </c>
      <c r="EL47" t="s">
        <v>472</v>
      </c>
      <c r="EM47" t="s">
        <v>1570</v>
      </c>
      <c r="EN47">
        <v>0.85</v>
      </c>
      <c r="EO47" t="s">
        <v>373</v>
      </c>
      <c r="EP47">
        <v>0</v>
      </c>
      <c r="EQ47">
        <v>0</v>
      </c>
      <c r="ER47">
        <v>22.4</v>
      </c>
      <c r="ES47" t="s">
        <v>418</v>
      </c>
      <c r="ET47">
        <v>0.85</v>
      </c>
      <c r="EU47">
        <v>1.1299999999999999</v>
      </c>
      <c r="EV47">
        <v>2.13</v>
      </c>
      <c r="EW47">
        <v>0.99</v>
      </c>
      <c r="EX47">
        <v>1.1299999999999999</v>
      </c>
      <c r="EY47">
        <v>0.14000000000000001</v>
      </c>
      <c r="EZ47">
        <v>0.99</v>
      </c>
      <c r="FA47">
        <v>0.28000000000000003</v>
      </c>
      <c r="FB47">
        <v>0.28000000000000003</v>
      </c>
      <c r="FC47">
        <v>0.56999999999999995</v>
      </c>
      <c r="FD47" t="s">
        <v>375</v>
      </c>
      <c r="FE47">
        <v>257</v>
      </c>
      <c r="FF47" t="s">
        <v>1571</v>
      </c>
      <c r="FG47" t="s">
        <v>1572</v>
      </c>
      <c r="FH47" t="s">
        <v>1573</v>
      </c>
      <c r="FI47" t="s">
        <v>1574</v>
      </c>
      <c r="FJ47" t="s">
        <v>1575</v>
      </c>
      <c r="FK47" t="s">
        <v>1576</v>
      </c>
      <c r="FL47" t="s">
        <v>1577</v>
      </c>
      <c r="FM47">
        <v>0</v>
      </c>
      <c r="FN47">
        <v>0.61229999999999996</v>
      </c>
      <c r="FO47">
        <v>0.77500000000000002</v>
      </c>
      <c r="FP47">
        <v>0.68059999999999998</v>
      </c>
      <c r="FQ47">
        <v>0.69469999999999998</v>
      </c>
      <c r="FR47">
        <v>0</v>
      </c>
      <c r="FS47">
        <v>1.5299999999999999E-2</v>
      </c>
      <c r="FT47">
        <v>0</v>
      </c>
      <c r="FU47">
        <v>2.8999999999999998E-3</v>
      </c>
      <c r="FV47">
        <v>0.2198</v>
      </c>
      <c r="FW47">
        <v>1.4E-2</v>
      </c>
      <c r="FX47">
        <v>0</v>
      </c>
      <c r="FY47">
        <v>0.25619999999999998</v>
      </c>
      <c r="FZ47">
        <v>0</v>
      </c>
      <c r="GA47">
        <v>131</v>
      </c>
      <c r="GB47">
        <v>1</v>
      </c>
      <c r="GC47">
        <v>1</v>
      </c>
      <c r="GD47">
        <v>97</v>
      </c>
      <c r="GE47">
        <v>3</v>
      </c>
      <c r="GF47">
        <v>21</v>
      </c>
      <c r="GG47">
        <v>0</v>
      </c>
      <c r="GH47">
        <v>2</v>
      </c>
      <c r="GI47">
        <v>0</v>
      </c>
      <c r="GJ47">
        <v>0</v>
      </c>
      <c r="GK47">
        <v>0</v>
      </c>
      <c r="GL47">
        <v>0</v>
      </c>
      <c r="GM47">
        <v>5.62E-2</v>
      </c>
      <c r="GN47">
        <v>0</v>
      </c>
      <c r="GO47">
        <v>0</v>
      </c>
      <c r="GP47">
        <v>0</v>
      </c>
      <c r="GQ47">
        <v>0</v>
      </c>
      <c r="GR47">
        <v>0</v>
      </c>
      <c r="GS47">
        <v>0</v>
      </c>
      <c r="GT47">
        <v>0</v>
      </c>
      <c r="GU47">
        <v>0</v>
      </c>
      <c r="GV47">
        <v>0</v>
      </c>
      <c r="GW47">
        <v>0</v>
      </c>
      <c r="GX47">
        <v>0</v>
      </c>
      <c r="GY47">
        <v>0</v>
      </c>
      <c r="GZ47">
        <v>0</v>
      </c>
      <c r="HA47">
        <v>0</v>
      </c>
      <c r="HB47">
        <v>0</v>
      </c>
      <c r="HC47" t="s">
        <v>383</v>
      </c>
      <c r="HD47">
        <v>0</v>
      </c>
      <c r="HE47">
        <v>0</v>
      </c>
      <c r="HF47">
        <v>0</v>
      </c>
      <c r="HG47">
        <v>0</v>
      </c>
      <c r="HH47">
        <v>0</v>
      </c>
      <c r="HI47" t="s">
        <v>383</v>
      </c>
      <c r="HJ47">
        <v>0</v>
      </c>
      <c r="HK47">
        <v>0</v>
      </c>
      <c r="HL47">
        <v>0</v>
      </c>
      <c r="HM47">
        <v>0</v>
      </c>
      <c r="HN47">
        <v>0</v>
      </c>
      <c r="HO47" t="s">
        <v>383</v>
      </c>
      <c r="HP47">
        <v>0</v>
      </c>
      <c r="HQ47">
        <v>0</v>
      </c>
      <c r="HR47">
        <v>0</v>
      </c>
      <c r="HS47">
        <v>0</v>
      </c>
      <c r="HT47">
        <v>0</v>
      </c>
      <c r="HU47" t="s">
        <v>383</v>
      </c>
      <c r="HV47">
        <v>0</v>
      </c>
      <c r="HW47">
        <v>0</v>
      </c>
      <c r="HX47">
        <v>0</v>
      </c>
      <c r="HY47">
        <v>0</v>
      </c>
      <c r="HZ47">
        <v>0</v>
      </c>
      <c r="IA47" t="s">
        <v>384</v>
      </c>
      <c r="IB47">
        <v>0</v>
      </c>
      <c r="IC47">
        <v>0</v>
      </c>
      <c r="ID47">
        <v>0</v>
      </c>
      <c r="IE47">
        <v>0</v>
      </c>
      <c r="IF47">
        <v>0</v>
      </c>
      <c r="IG47" t="s">
        <v>384</v>
      </c>
      <c r="IH47">
        <v>0</v>
      </c>
      <c r="II47">
        <v>0</v>
      </c>
      <c r="IJ47">
        <v>0</v>
      </c>
      <c r="IK47">
        <v>0</v>
      </c>
      <c r="IL47">
        <v>0</v>
      </c>
      <c r="IM47" t="s">
        <v>384</v>
      </c>
      <c r="IN47">
        <v>0</v>
      </c>
      <c r="IO47">
        <v>0</v>
      </c>
      <c r="IP47">
        <v>0</v>
      </c>
      <c r="IQ47">
        <v>0</v>
      </c>
      <c r="IR47">
        <v>0</v>
      </c>
      <c r="IS47" t="s">
        <v>384</v>
      </c>
      <c r="IT47">
        <v>0</v>
      </c>
      <c r="IU47">
        <v>1</v>
      </c>
      <c r="IV47">
        <v>0</v>
      </c>
      <c r="IW47">
        <v>0.4</v>
      </c>
      <c r="IX47">
        <v>0</v>
      </c>
      <c r="IY47">
        <v>0</v>
      </c>
      <c r="IZ47">
        <v>0</v>
      </c>
      <c r="JA47">
        <v>0</v>
      </c>
      <c r="JD47" t="s">
        <v>483</v>
      </c>
      <c r="JE47" t="s">
        <v>386</v>
      </c>
      <c r="JF47" t="s">
        <v>1578</v>
      </c>
      <c r="JG47" t="s">
        <v>1579</v>
      </c>
      <c r="JH47" t="s">
        <v>888</v>
      </c>
      <c r="JI47" t="s">
        <v>1580</v>
      </c>
      <c r="JJ47">
        <v>0.58330000000000004</v>
      </c>
      <c r="JK47">
        <v>0</v>
      </c>
      <c r="JL47" t="s">
        <v>391</v>
      </c>
      <c r="JM47">
        <v>0</v>
      </c>
      <c r="JN47">
        <v>0</v>
      </c>
      <c r="JO47">
        <v>0</v>
      </c>
      <c r="JP47">
        <v>0</v>
      </c>
      <c r="JQ47">
        <v>0</v>
      </c>
      <c r="JR47">
        <v>0</v>
      </c>
      <c r="JS47">
        <v>0</v>
      </c>
      <c r="JT47">
        <v>0</v>
      </c>
      <c r="JU47">
        <v>0</v>
      </c>
      <c r="JV47">
        <v>0</v>
      </c>
      <c r="JX47" t="s">
        <v>392</v>
      </c>
      <c r="JY47">
        <v>0</v>
      </c>
      <c r="JZ47">
        <v>0</v>
      </c>
      <c r="KA47">
        <v>1</v>
      </c>
      <c r="KB47">
        <v>0</v>
      </c>
      <c r="KC47">
        <v>0</v>
      </c>
      <c r="KD47">
        <v>1</v>
      </c>
      <c r="KE47">
        <v>0</v>
      </c>
      <c r="KF47">
        <v>0</v>
      </c>
      <c r="KG47">
        <v>1</v>
      </c>
      <c r="KH47">
        <v>0</v>
      </c>
      <c r="KI47">
        <v>0</v>
      </c>
      <c r="KJ47">
        <v>1</v>
      </c>
      <c r="KK47">
        <v>0</v>
      </c>
      <c r="KL47">
        <v>0</v>
      </c>
      <c r="KM47">
        <v>1</v>
      </c>
      <c r="KN47">
        <v>0</v>
      </c>
      <c r="KO47">
        <v>0</v>
      </c>
      <c r="KP47">
        <v>1</v>
      </c>
      <c r="KQ47">
        <v>0</v>
      </c>
      <c r="KR47">
        <v>0</v>
      </c>
      <c r="KS47">
        <v>1</v>
      </c>
      <c r="KT47">
        <v>0</v>
      </c>
      <c r="KU47">
        <v>0</v>
      </c>
      <c r="KV47">
        <v>1</v>
      </c>
      <c r="KW47">
        <v>0</v>
      </c>
      <c r="KX47">
        <v>0</v>
      </c>
      <c r="KY47">
        <v>1</v>
      </c>
      <c r="KZ47">
        <v>0</v>
      </c>
      <c r="LA47">
        <v>0</v>
      </c>
      <c r="LB47">
        <v>0</v>
      </c>
      <c r="LC47">
        <v>0</v>
      </c>
      <c r="LD47">
        <v>0</v>
      </c>
      <c r="LE47">
        <v>0</v>
      </c>
      <c r="LF47">
        <v>0</v>
      </c>
      <c r="LG47">
        <v>0</v>
      </c>
      <c r="LH47">
        <v>0</v>
      </c>
      <c r="LI47">
        <v>0</v>
      </c>
      <c r="LJ47">
        <v>0</v>
      </c>
      <c r="LK47">
        <v>0</v>
      </c>
      <c r="LN47" t="s">
        <v>393</v>
      </c>
      <c r="LO47" t="s">
        <v>394</v>
      </c>
      <c r="LP47" t="s">
        <v>395</v>
      </c>
      <c r="LQ47">
        <v>0.43790000000000001</v>
      </c>
      <c r="LR47">
        <v>20.746500000000001</v>
      </c>
      <c r="LS47">
        <v>14.67</v>
      </c>
      <c r="LT47">
        <v>2245</v>
      </c>
      <c r="LU47">
        <v>983</v>
      </c>
      <c r="LV47">
        <v>104.4751</v>
      </c>
      <c r="LW47">
        <v>0.89290000000000003</v>
      </c>
      <c r="LX47">
        <v>0.54479999999999995</v>
      </c>
      <c r="LY47">
        <v>0.54479999999999995</v>
      </c>
      <c r="LZ47">
        <v>0.54479999999999995</v>
      </c>
      <c r="MA47">
        <v>0</v>
      </c>
      <c r="MB47">
        <v>1223</v>
      </c>
      <c r="MC47">
        <v>1</v>
      </c>
      <c r="MD47" t="s">
        <v>396</v>
      </c>
      <c r="ME47" t="s">
        <v>397</v>
      </c>
    </row>
    <row r="48" spans="1:343" ht="16.95" customHeight="1" x14ac:dyDescent="0.3">
      <c r="A48" t="s">
        <v>1581</v>
      </c>
      <c r="B48" t="s">
        <v>1582</v>
      </c>
      <c r="C48" t="s">
        <v>345</v>
      </c>
      <c r="D48" t="s">
        <v>346</v>
      </c>
      <c r="E48" t="s">
        <v>347</v>
      </c>
      <c r="F48" t="s">
        <v>1583</v>
      </c>
      <c r="G48" t="s">
        <v>1584</v>
      </c>
      <c r="H48" t="s">
        <v>1585</v>
      </c>
      <c r="I48" t="s">
        <v>351</v>
      </c>
      <c r="J48">
        <v>2118</v>
      </c>
      <c r="K48">
        <v>898</v>
      </c>
      <c r="L48">
        <v>0.42399999999999999</v>
      </c>
      <c r="M48">
        <v>138</v>
      </c>
      <c r="N48">
        <v>3</v>
      </c>
      <c r="O48">
        <v>1</v>
      </c>
      <c r="P48">
        <v>15.3</v>
      </c>
      <c r="Q48">
        <v>46</v>
      </c>
      <c r="R48">
        <v>22.4</v>
      </c>
      <c r="S48">
        <v>9.1999999999999993</v>
      </c>
      <c r="T48">
        <v>10</v>
      </c>
      <c r="U48">
        <v>2.4</v>
      </c>
      <c r="V48">
        <v>8.1</v>
      </c>
      <c r="W48">
        <v>9</v>
      </c>
      <c r="X48">
        <v>3.8</v>
      </c>
      <c r="Y48">
        <v>3</v>
      </c>
      <c r="Z48">
        <v>2</v>
      </c>
      <c r="AA48">
        <v>1.5</v>
      </c>
      <c r="AB48" t="s">
        <v>493</v>
      </c>
      <c r="AC48" t="b">
        <v>0</v>
      </c>
      <c r="AD48" t="s">
        <v>353</v>
      </c>
      <c r="AE48">
        <v>0.42570000000000002</v>
      </c>
      <c r="AF48" t="s">
        <v>354</v>
      </c>
      <c r="AG48">
        <v>0.27760000000000001</v>
      </c>
      <c r="AH48">
        <v>2.5499999999999998E-2</v>
      </c>
      <c r="AI48">
        <v>0.70399999999999996</v>
      </c>
      <c r="AJ48" t="s">
        <v>355</v>
      </c>
      <c r="AK48">
        <v>3.8</v>
      </c>
      <c r="AL48">
        <v>8</v>
      </c>
      <c r="AM48" t="s">
        <v>354</v>
      </c>
      <c r="AN48">
        <v>0</v>
      </c>
      <c r="AO48">
        <v>0</v>
      </c>
      <c r="AP48">
        <v>14</v>
      </c>
      <c r="AQ48">
        <v>6.61</v>
      </c>
      <c r="AR48">
        <v>14</v>
      </c>
      <c r="AS48">
        <v>3</v>
      </c>
      <c r="AT48" t="s">
        <v>357</v>
      </c>
      <c r="AU48">
        <v>28.3</v>
      </c>
      <c r="AV48">
        <v>39</v>
      </c>
      <c r="AW48" t="s">
        <v>356</v>
      </c>
      <c r="AX48">
        <v>8</v>
      </c>
      <c r="AY48">
        <v>3.78</v>
      </c>
      <c r="AZ48">
        <v>0</v>
      </c>
      <c r="BA48">
        <v>7</v>
      </c>
      <c r="BB48">
        <v>0</v>
      </c>
      <c r="BC48">
        <v>1</v>
      </c>
      <c r="BD48">
        <v>0</v>
      </c>
      <c r="BE48">
        <v>7</v>
      </c>
      <c r="BF48">
        <v>0</v>
      </c>
      <c r="BG48">
        <v>7</v>
      </c>
      <c r="BH48">
        <v>2</v>
      </c>
      <c r="BI48">
        <v>0.05</v>
      </c>
      <c r="BJ48" t="b">
        <v>0</v>
      </c>
      <c r="BK48" t="b">
        <v>0</v>
      </c>
      <c r="BL48">
        <v>3</v>
      </c>
      <c r="BM48">
        <v>3</v>
      </c>
      <c r="BN48">
        <v>2</v>
      </c>
      <c r="BO48">
        <v>1</v>
      </c>
      <c r="BP48">
        <v>0</v>
      </c>
      <c r="BQ48">
        <v>1</v>
      </c>
      <c r="BR48">
        <v>0</v>
      </c>
      <c r="BS48">
        <v>2118</v>
      </c>
      <c r="BT48">
        <v>898</v>
      </c>
      <c r="BU48">
        <v>0.42399999999999999</v>
      </c>
      <c r="BV48">
        <v>3</v>
      </c>
      <c r="BW48">
        <v>1</v>
      </c>
      <c r="BX48">
        <v>706</v>
      </c>
      <c r="BZ48" t="s">
        <v>1586</v>
      </c>
      <c r="CA48" t="s">
        <v>1587</v>
      </c>
      <c r="CB48" t="s">
        <v>1588</v>
      </c>
      <c r="CC48" t="s">
        <v>1589</v>
      </c>
      <c r="CD48">
        <v>0</v>
      </c>
      <c r="CE48">
        <v>0</v>
      </c>
      <c r="CF48">
        <v>0</v>
      </c>
      <c r="CG48">
        <v>0</v>
      </c>
      <c r="CH48">
        <v>2</v>
      </c>
      <c r="CI48" t="s">
        <v>1590</v>
      </c>
      <c r="CJ48">
        <v>2</v>
      </c>
      <c r="CK48">
        <v>0.94</v>
      </c>
      <c r="CL48" t="s">
        <v>363</v>
      </c>
      <c r="CM48">
        <v>1</v>
      </c>
      <c r="CN48">
        <v>0</v>
      </c>
      <c r="CO48" t="b">
        <v>0</v>
      </c>
      <c r="CP48" t="b">
        <v>0</v>
      </c>
      <c r="CQ48" t="b">
        <v>1</v>
      </c>
      <c r="CR48" t="b">
        <v>1</v>
      </c>
      <c r="CS48" t="b">
        <v>1</v>
      </c>
      <c r="CT48" t="b">
        <v>0</v>
      </c>
      <c r="CU48" t="b">
        <v>0</v>
      </c>
      <c r="CV48">
        <v>0</v>
      </c>
      <c r="CW48">
        <v>0</v>
      </c>
      <c r="CX48">
        <v>0</v>
      </c>
      <c r="CY48">
        <v>0</v>
      </c>
      <c r="CZ48">
        <v>0</v>
      </c>
      <c r="DA48">
        <v>14</v>
      </c>
      <c r="DB48">
        <v>6.61</v>
      </c>
      <c r="DC48">
        <v>14</v>
      </c>
      <c r="DD48">
        <v>1</v>
      </c>
      <c r="DE48">
        <v>0.47</v>
      </c>
      <c r="DF48">
        <v>5</v>
      </c>
      <c r="DG48">
        <v>2.36</v>
      </c>
      <c r="DH48">
        <v>9</v>
      </c>
      <c r="DI48">
        <v>4.25</v>
      </c>
      <c r="DJ48">
        <v>0.56000000000000005</v>
      </c>
      <c r="DK48">
        <v>0</v>
      </c>
      <c r="DL48">
        <v>0</v>
      </c>
      <c r="DM48">
        <v>1</v>
      </c>
      <c r="DN48">
        <v>0</v>
      </c>
      <c r="DO48">
        <v>84</v>
      </c>
      <c r="DP48">
        <v>1</v>
      </c>
      <c r="DQ48">
        <v>0.47</v>
      </c>
      <c r="DR48" t="s">
        <v>1591</v>
      </c>
      <c r="DS48" t="s">
        <v>1592</v>
      </c>
      <c r="DT48" t="s">
        <v>1593</v>
      </c>
      <c r="DU48" t="s">
        <v>1591</v>
      </c>
      <c r="DV48" t="s">
        <v>365</v>
      </c>
      <c r="DW48">
        <v>2.14</v>
      </c>
      <c r="DX48">
        <v>0</v>
      </c>
      <c r="DY48">
        <v>2</v>
      </c>
      <c r="DZ48">
        <v>5</v>
      </c>
      <c r="EA48">
        <v>1</v>
      </c>
      <c r="EB48">
        <v>10.14</v>
      </c>
      <c r="EC48" t="s">
        <v>369</v>
      </c>
      <c r="ED48" t="s">
        <v>413</v>
      </c>
      <c r="EE48">
        <v>4.29</v>
      </c>
      <c r="EF48" t="s">
        <v>354</v>
      </c>
      <c r="EG48">
        <v>0.09</v>
      </c>
      <c r="EH48">
        <v>1.56</v>
      </c>
      <c r="EI48">
        <v>6.0999999999999999E-2</v>
      </c>
      <c r="EJ48" t="s">
        <v>370</v>
      </c>
      <c r="EK48">
        <v>1.89</v>
      </c>
      <c r="EL48" t="s">
        <v>393</v>
      </c>
      <c r="EM48" t="s">
        <v>1594</v>
      </c>
      <c r="EN48">
        <v>1.74</v>
      </c>
      <c r="EO48" t="s">
        <v>373</v>
      </c>
      <c r="EP48">
        <v>1</v>
      </c>
      <c r="EQ48">
        <v>1</v>
      </c>
      <c r="ER48">
        <v>40.5</v>
      </c>
      <c r="ES48" t="s">
        <v>374</v>
      </c>
      <c r="ET48">
        <v>0.63</v>
      </c>
      <c r="EU48">
        <v>2.2000000000000002</v>
      </c>
      <c r="EV48">
        <v>4.25</v>
      </c>
      <c r="EW48">
        <v>1.1000000000000001</v>
      </c>
      <c r="EX48">
        <v>1.57</v>
      </c>
      <c r="EY48">
        <v>1.1000000000000001</v>
      </c>
      <c r="EZ48">
        <v>2.2000000000000002</v>
      </c>
      <c r="FA48">
        <v>0.31</v>
      </c>
      <c r="FB48">
        <v>2.04</v>
      </c>
      <c r="FC48">
        <v>2.04</v>
      </c>
      <c r="FD48" t="s">
        <v>375</v>
      </c>
      <c r="FE48">
        <v>124</v>
      </c>
      <c r="FF48" t="s">
        <v>1595</v>
      </c>
      <c r="FG48" t="s">
        <v>1596</v>
      </c>
      <c r="FH48" t="s">
        <v>1597</v>
      </c>
      <c r="FI48" t="s">
        <v>1598</v>
      </c>
      <c r="FJ48" t="s">
        <v>1599</v>
      </c>
      <c r="FK48" t="s">
        <v>1600</v>
      </c>
      <c r="FL48" t="s">
        <v>1601</v>
      </c>
      <c r="FM48">
        <v>0</v>
      </c>
      <c r="FN48">
        <v>0.49709999999999999</v>
      </c>
      <c r="FO48">
        <v>0.77500000000000002</v>
      </c>
      <c r="FP48">
        <v>0.61380000000000001</v>
      </c>
      <c r="FQ48">
        <v>0.28989999999999999</v>
      </c>
      <c r="FR48">
        <v>7.1999999999999998E-3</v>
      </c>
      <c r="FS48">
        <v>1.4500000000000001E-2</v>
      </c>
      <c r="FT48">
        <v>0</v>
      </c>
      <c r="FU48">
        <v>7.1999999999999998E-3</v>
      </c>
      <c r="FV48">
        <v>0.1638</v>
      </c>
      <c r="FW48">
        <v>3.0599999999999999E-2</v>
      </c>
      <c r="FX48">
        <v>2.0400000000000001E-2</v>
      </c>
      <c r="FY48">
        <v>0.27279999999999999</v>
      </c>
      <c r="FZ48">
        <v>6.7999999999999996E-3</v>
      </c>
      <c r="GA48">
        <v>138</v>
      </c>
      <c r="GB48">
        <v>1</v>
      </c>
      <c r="GC48">
        <v>1</v>
      </c>
      <c r="GD48">
        <v>81</v>
      </c>
      <c r="GE48">
        <v>0</v>
      </c>
      <c r="GF48">
        <v>56</v>
      </c>
      <c r="GG48">
        <v>1</v>
      </c>
      <c r="GH48">
        <v>0</v>
      </c>
      <c r="GI48">
        <v>0</v>
      </c>
      <c r="GJ48">
        <v>0</v>
      </c>
      <c r="GK48">
        <v>0</v>
      </c>
      <c r="GL48">
        <v>0</v>
      </c>
      <c r="GM48">
        <v>6.1199999999999997E-2</v>
      </c>
      <c r="GN48">
        <v>0</v>
      </c>
      <c r="GO48">
        <v>6.1199999999999997E-2</v>
      </c>
      <c r="GP48">
        <v>6.1199999999999997E-2</v>
      </c>
      <c r="GQ48">
        <v>0</v>
      </c>
      <c r="GR48">
        <v>0</v>
      </c>
      <c r="GS48">
        <v>6.1199999999999997E-2</v>
      </c>
      <c r="GT48">
        <v>0</v>
      </c>
      <c r="GU48">
        <v>0</v>
      </c>
      <c r="GV48">
        <v>0</v>
      </c>
      <c r="GW48">
        <v>0</v>
      </c>
      <c r="GX48">
        <v>6.1199999999999997E-2</v>
      </c>
      <c r="GY48">
        <v>0</v>
      </c>
      <c r="GZ48">
        <v>0</v>
      </c>
      <c r="HA48">
        <v>0</v>
      </c>
      <c r="HB48">
        <v>0</v>
      </c>
      <c r="HC48" t="s">
        <v>383</v>
      </c>
      <c r="HD48">
        <v>0</v>
      </c>
      <c r="HE48">
        <v>0</v>
      </c>
      <c r="HF48">
        <v>0</v>
      </c>
      <c r="HG48">
        <v>0</v>
      </c>
      <c r="HH48">
        <v>0</v>
      </c>
      <c r="HI48" t="s">
        <v>383</v>
      </c>
      <c r="HJ48">
        <v>0</v>
      </c>
      <c r="HK48">
        <v>0</v>
      </c>
      <c r="HL48">
        <v>0</v>
      </c>
      <c r="HM48">
        <v>0</v>
      </c>
      <c r="HN48">
        <v>0</v>
      </c>
      <c r="HO48" t="s">
        <v>383</v>
      </c>
      <c r="HP48">
        <v>0</v>
      </c>
      <c r="HQ48">
        <v>0</v>
      </c>
      <c r="HR48">
        <v>0</v>
      </c>
      <c r="HS48">
        <v>0</v>
      </c>
      <c r="HT48">
        <v>0</v>
      </c>
      <c r="HU48" t="s">
        <v>383</v>
      </c>
      <c r="HV48">
        <v>0</v>
      </c>
      <c r="HW48">
        <v>0</v>
      </c>
      <c r="HX48">
        <v>0</v>
      </c>
      <c r="HY48">
        <v>0</v>
      </c>
      <c r="HZ48">
        <v>0</v>
      </c>
      <c r="IA48" t="s">
        <v>384</v>
      </c>
      <c r="IB48">
        <v>0</v>
      </c>
      <c r="IC48">
        <v>0</v>
      </c>
      <c r="ID48">
        <v>0</v>
      </c>
      <c r="IE48">
        <v>0</v>
      </c>
      <c r="IF48">
        <v>0</v>
      </c>
      <c r="IG48" t="s">
        <v>384</v>
      </c>
      <c r="IH48">
        <v>0</v>
      </c>
      <c r="II48">
        <v>0</v>
      </c>
      <c r="IJ48">
        <v>0</v>
      </c>
      <c r="IK48">
        <v>0</v>
      </c>
      <c r="IL48">
        <v>0</v>
      </c>
      <c r="IM48" t="s">
        <v>384</v>
      </c>
      <c r="IN48">
        <v>0</v>
      </c>
      <c r="IO48">
        <v>0</v>
      </c>
      <c r="IP48">
        <v>0</v>
      </c>
      <c r="IQ48">
        <v>0</v>
      </c>
      <c r="IR48">
        <v>0</v>
      </c>
      <c r="IS48" t="s">
        <v>384</v>
      </c>
      <c r="IT48">
        <v>0</v>
      </c>
      <c r="IU48">
        <v>0</v>
      </c>
      <c r="IV48">
        <v>0</v>
      </c>
      <c r="IW48">
        <v>0</v>
      </c>
      <c r="IX48">
        <v>0</v>
      </c>
      <c r="IY48">
        <v>0</v>
      </c>
      <c r="IZ48">
        <v>0</v>
      </c>
      <c r="JA48">
        <v>0</v>
      </c>
      <c r="JD48" t="s">
        <v>483</v>
      </c>
      <c r="JE48" t="s">
        <v>386</v>
      </c>
      <c r="JF48" t="s">
        <v>1602</v>
      </c>
      <c r="JG48" t="s">
        <v>1603</v>
      </c>
      <c r="JH48" t="s">
        <v>1604</v>
      </c>
      <c r="JI48" t="s">
        <v>1605</v>
      </c>
      <c r="JJ48">
        <v>0.61670000000000003</v>
      </c>
      <c r="JK48">
        <v>0</v>
      </c>
      <c r="JL48" t="s">
        <v>391</v>
      </c>
      <c r="JM48">
        <v>0</v>
      </c>
      <c r="JN48">
        <v>0</v>
      </c>
      <c r="JO48">
        <v>0</v>
      </c>
      <c r="JP48">
        <v>0</v>
      </c>
      <c r="JQ48">
        <v>0</v>
      </c>
      <c r="JR48">
        <v>0</v>
      </c>
      <c r="JS48">
        <v>0</v>
      </c>
      <c r="JT48">
        <v>0</v>
      </c>
      <c r="JU48">
        <v>0</v>
      </c>
      <c r="JV48">
        <v>0</v>
      </c>
      <c r="JX48" t="s">
        <v>392</v>
      </c>
      <c r="JY48">
        <v>0</v>
      </c>
      <c r="JZ48">
        <v>0</v>
      </c>
      <c r="KA48">
        <v>1</v>
      </c>
      <c r="KB48">
        <v>0</v>
      </c>
      <c r="KC48">
        <v>0</v>
      </c>
      <c r="KD48">
        <v>1</v>
      </c>
      <c r="KE48">
        <v>0</v>
      </c>
      <c r="KF48">
        <v>0</v>
      </c>
      <c r="KG48">
        <v>1</v>
      </c>
      <c r="KH48">
        <v>0</v>
      </c>
      <c r="KI48">
        <v>0</v>
      </c>
      <c r="KJ48">
        <v>1</v>
      </c>
      <c r="KK48">
        <v>0</v>
      </c>
      <c r="KL48">
        <v>0</v>
      </c>
      <c r="KM48">
        <v>1</v>
      </c>
      <c r="KN48">
        <v>0</v>
      </c>
      <c r="KO48">
        <v>0</v>
      </c>
      <c r="KP48">
        <v>1</v>
      </c>
      <c r="KQ48">
        <v>0</v>
      </c>
      <c r="KR48">
        <v>0</v>
      </c>
      <c r="KS48">
        <v>1</v>
      </c>
      <c r="KT48">
        <v>0</v>
      </c>
      <c r="KU48">
        <v>0</v>
      </c>
      <c r="KV48">
        <v>1</v>
      </c>
      <c r="KW48">
        <v>0</v>
      </c>
      <c r="KX48">
        <v>0</v>
      </c>
      <c r="KY48">
        <v>1</v>
      </c>
      <c r="KZ48">
        <v>0</v>
      </c>
      <c r="LA48">
        <v>0</v>
      </c>
      <c r="LB48">
        <v>0</v>
      </c>
      <c r="LC48">
        <v>0</v>
      </c>
      <c r="LD48">
        <v>0</v>
      </c>
      <c r="LE48">
        <v>0</v>
      </c>
      <c r="LF48">
        <v>0</v>
      </c>
      <c r="LG48">
        <v>0</v>
      </c>
      <c r="LH48">
        <v>0</v>
      </c>
      <c r="LI48">
        <v>0</v>
      </c>
      <c r="LJ48">
        <v>0</v>
      </c>
      <c r="LK48">
        <v>0</v>
      </c>
      <c r="LN48" t="s">
        <v>393</v>
      </c>
      <c r="LO48" t="s">
        <v>394</v>
      </c>
      <c r="LP48" t="s">
        <v>395</v>
      </c>
      <c r="LQ48">
        <v>0.4264</v>
      </c>
      <c r="LR48">
        <v>19.149000000000001</v>
      </c>
      <c r="LS48">
        <v>13.5404</v>
      </c>
      <c r="LT48">
        <v>2017</v>
      </c>
      <c r="LU48">
        <v>860</v>
      </c>
      <c r="LV48">
        <v>115.35129999999999</v>
      </c>
      <c r="LW48">
        <v>0.88859999999999995</v>
      </c>
      <c r="LX48">
        <v>0.54100000000000004</v>
      </c>
      <c r="LY48">
        <v>0.54100000000000004</v>
      </c>
      <c r="LZ48">
        <v>0.54100000000000004</v>
      </c>
      <c r="MA48">
        <v>0</v>
      </c>
      <c r="MB48">
        <v>1088</v>
      </c>
      <c r="MC48">
        <v>1</v>
      </c>
      <c r="MD48" t="s">
        <v>396</v>
      </c>
      <c r="ME48" t="s">
        <v>397</v>
      </c>
    </row>
    <row r="49" spans="1:343" ht="16.95" customHeight="1" x14ac:dyDescent="0.3">
      <c r="A49" t="s">
        <v>1606</v>
      </c>
      <c r="B49" t="s">
        <v>1607</v>
      </c>
      <c r="C49" t="s">
        <v>345</v>
      </c>
      <c r="D49" t="s">
        <v>346</v>
      </c>
      <c r="E49" t="s">
        <v>347</v>
      </c>
      <c r="F49" t="s">
        <v>1608</v>
      </c>
      <c r="G49" t="s">
        <v>1609</v>
      </c>
      <c r="H49" t="s">
        <v>1610</v>
      </c>
      <c r="I49" t="s">
        <v>351</v>
      </c>
      <c r="J49">
        <v>4475</v>
      </c>
      <c r="K49">
        <v>1420</v>
      </c>
      <c r="L49">
        <v>0.31730000000000003</v>
      </c>
      <c r="M49">
        <v>265</v>
      </c>
      <c r="N49">
        <v>3</v>
      </c>
      <c r="O49">
        <v>1</v>
      </c>
      <c r="P49">
        <v>16.899999999999999</v>
      </c>
      <c r="Q49">
        <v>88.3</v>
      </c>
      <c r="R49">
        <v>21.5</v>
      </c>
      <c r="S49">
        <v>8.5</v>
      </c>
      <c r="T49">
        <v>8.5</v>
      </c>
      <c r="U49">
        <v>1.6</v>
      </c>
      <c r="V49">
        <v>8.1</v>
      </c>
      <c r="W49">
        <v>29</v>
      </c>
      <c r="X49">
        <v>6.2</v>
      </c>
      <c r="Y49">
        <v>31</v>
      </c>
      <c r="Z49">
        <v>7</v>
      </c>
      <c r="AA49">
        <v>4.43</v>
      </c>
      <c r="AB49" t="s">
        <v>493</v>
      </c>
      <c r="AC49" t="b">
        <v>0</v>
      </c>
      <c r="AD49" t="s">
        <v>353</v>
      </c>
      <c r="AE49">
        <v>0.38879999999999998</v>
      </c>
      <c r="AF49" t="s">
        <v>356</v>
      </c>
      <c r="AG49">
        <v>0.31909999999999999</v>
      </c>
      <c r="AH49">
        <v>3.78E-2</v>
      </c>
      <c r="AI49">
        <v>0.6552</v>
      </c>
      <c r="AJ49" t="s">
        <v>355</v>
      </c>
      <c r="AK49">
        <v>6.67</v>
      </c>
      <c r="AL49">
        <v>12</v>
      </c>
      <c r="AM49" t="s">
        <v>356</v>
      </c>
      <c r="AN49">
        <v>5</v>
      </c>
      <c r="AO49">
        <v>1.1200000000000001</v>
      </c>
      <c r="AP49">
        <v>27</v>
      </c>
      <c r="AQ49">
        <v>6.03</v>
      </c>
      <c r="AR49">
        <v>5.4</v>
      </c>
      <c r="AS49">
        <v>3</v>
      </c>
      <c r="AT49" t="s">
        <v>357</v>
      </c>
      <c r="AU49">
        <v>24.9</v>
      </c>
      <c r="AV49">
        <v>66</v>
      </c>
      <c r="AW49" t="s">
        <v>354</v>
      </c>
      <c r="AX49">
        <v>33</v>
      </c>
      <c r="AY49">
        <v>7.37</v>
      </c>
      <c r="AZ49">
        <v>20</v>
      </c>
      <c r="BA49">
        <v>5</v>
      </c>
      <c r="BB49">
        <v>6</v>
      </c>
      <c r="BC49">
        <v>1</v>
      </c>
      <c r="BD49">
        <v>1</v>
      </c>
      <c r="BE49">
        <v>12</v>
      </c>
      <c r="BF49">
        <v>20</v>
      </c>
      <c r="BG49">
        <v>0.6</v>
      </c>
      <c r="BH49">
        <v>0</v>
      </c>
      <c r="BI49">
        <v>0.02</v>
      </c>
      <c r="BJ49" t="b">
        <v>0</v>
      </c>
      <c r="BK49" t="b">
        <v>0</v>
      </c>
      <c r="BL49">
        <v>3</v>
      </c>
      <c r="BM49">
        <v>3</v>
      </c>
      <c r="BN49">
        <v>2</v>
      </c>
      <c r="BO49">
        <v>1</v>
      </c>
      <c r="BP49">
        <v>0</v>
      </c>
      <c r="BQ49">
        <v>1</v>
      </c>
      <c r="BR49">
        <v>0</v>
      </c>
      <c r="BS49">
        <v>4475</v>
      </c>
      <c r="BT49">
        <v>1420</v>
      </c>
      <c r="BU49">
        <v>0.31730000000000003</v>
      </c>
      <c r="BV49">
        <v>3</v>
      </c>
      <c r="BW49">
        <v>1</v>
      </c>
      <c r="BX49">
        <v>1491.7</v>
      </c>
      <c r="BZ49" t="s">
        <v>1611</v>
      </c>
      <c r="CA49" t="s">
        <v>1612</v>
      </c>
      <c r="CB49" t="s">
        <v>1613</v>
      </c>
      <c r="CC49" t="s">
        <v>1614</v>
      </c>
      <c r="CD49">
        <v>20</v>
      </c>
      <c r="CE49">
        <v>0</v>
      </c>
      <c r="CF49">
        <v>20</v>
      </c>
      <c r="CG49">
        <v>4.47</v>
      </c>
      <c r="CH49">
        <v>1</v>
      </c>
      <c r="CI49" t="s">
        <v>362</v>
      </c>
      <c r="CJ49">
        <v>4</v>
      </c>
      <c r="CK49">
        <v>0.89</v>
      </c>
      <c r="CL49" t="s">
        <v>1541</v>
      </c>
      <c r="CM49">
        <v>1</v>
      </c>
      <c r="CN49">
        <v>0</v>
      </c>
      <c r="CO49" t="b">
        <v>1</v>
      </c>
      <c r="CP49" t="b">
        <v>0</v>
      </c>
      <c r="CQ49" t="b">
        <v>1</v>
      </c>
      <c r="CR49" t="b">
        <v>0</v>
      </c>
      <c r="CS49" t="b">
        <v>1</v>
      </c>
      <c r="CT49" t="b">
        <v>1</v>
      </c>
      <c r="CU49" t="b">
        <v>0</v>
      </c>
      <c r="CV49">
        <v>0</v>
      </c>
      <c r="CW49">
        <v>0</v>
      </c>
      <c r="CX49">
        <v>0</v>
      </c>
      <c r="CY49">
        <v>5</v>
      </c>
      <c r="CZ49">
        <v>1.1200000000000001</v>
      </c>
      <c r="DA49">
        <v>27</v>
      </c>
      <c r="DB49">
        <v>6.03</v>
      </c>
      <c r="DC49">
        <v>5.4</v>
      </c>
      <c r="DD49">
        <v>3</v>
      </c>
      <c r="DE49">
        <v>0.67</v>
      </c>
      <c r="DF49">
        <v>10</v>
      </c>
      <c r="DG49">
        <v>2.23</v>
      </c>
      <c r="DH49">
        <v>27</v>
      </c>
      <c r="DI49">
        <v>6.03</v>
      </c>
      <c r="DJ49">
        <v>0.37</v>
      </c>
      <c r="DK49">
        <v>2</v>
      </c>
      <c r="DL49">
        <v>7</v>
      </c>
      <c r="DM49">
        <v>0</v>
      </c>
      <c r="DN49">
        <v>0</v>
      </c>
      <c r="DO49">
        <v>94</v>
      </c>
      <c r="DP49">
        <v>1</v>
      </c>
      <c r="DQ49">
        <v>0.22</v>
      </c>
      <c r="DR49" t="s">
        <v>1615</v>
      </c>
      <c r="DS49" t="s">
        <v>1616</v>
      </c>
      <c r="DT49" t="s">
        <v>1617</v>
      </c>
      <c r="DU49" t="s">
        <v>1618</v>
      </c>
      <c r="DV49" t="s">
        <v>365</v>
      </c>
      <c r="DW49">
        <v>2.86</v>
      </c>
      <c r="DX49">
        <v>5</v>
      </c>
      <c r="DY49">
        <v>2.83</v>
      </c>
      <c r="DZ49">
        <v>5</v>
      </c>
      <c r="EA49">
        <v>5</v>
      </c>
      <c r="EB49">
        <v>20.69</v>
      </c>
      <c r="EC49" t="s">
        <v>825</v>
      </c>
      <c r="ED49" t="s">
        <v>825</v>
      </c>
      <c r="EE49">
        <v>4.5599999999999996</v>
      </c>
      <c r="EF49" t="s">
        <v>354</v>
      </c>
      <c r="EG49">
        <v>0.02</v>
      </c>
      <c r="EH49">
        <v>1.03</v>
      </c>
      <c r="EI49">
        <v>2.1999999999999999E-2</v>
      </c>
      <c r="EJ49" t="s">
        <v>370</v>
      </c>
      <c r="EK49">
        <v>0.85</v>
      </c>
      <c r="EL49" t="s">
        <v>472</v>
      </c>
      <c r="EM49" t="s">
        <v>1619</v>
      </c>
      <c r="EN49">
        <v>1.68</v>
      </c>
      <c r="EO49" t="s">
        <v>373</v>
      </c>
      <c r="EP49">
        <v>1</v>
      </c>
      <c r="EQ49">
        <v>3</v>
      </c>
      <c r="ER49">
        <v>100</v>
      </c>
      <c r="ES49" t="s">
        <v>669</v>
      </c>
      <c r="ET49">
        <v>1.86</v>
      </c>
      <c r="EU49">
        <v>0.52</v>
      </c>
      <c r="EV49">
        <v>4.0999999999999996</v>
      </c>
      <c r="EW49">
        <v>2.31</v>
      </c>
      <c r="EX49">
        <v>1.34</v>
      </c>
      <c r="EY49">
        <v>0.97</v>
      </c>
      <c r="EZ49">
        <v>2.76</v>
      </c>
      <c r="FA49">
        <v>0</v>
      </c>
      <c r="FB49">
        <v>1.04</v>
      </c>
      <c r="FC49">
        <v>1.86</v>
      </c>
      <c r="FD49" t="s">
        <v>375</v>
      </c>
      <c r="FE49">
        <v>292</v>
      </c>
      <c r="FF49" t="s">
        <v>1620</v>
      </c>
      <c r="FG49" t="s">
        <v>1621</v>
      </c>
      <c r="FH49" t="s">
        <v>1622</v>
      </c>
      <c r="FI49" t="s">
        <v>1623</v>
      </c>
      <c r="FJ49" t="s">
        <v>1624</v>
      </c>
      <c r="FK49" t="s">
        <v>1625</v>
      </c>
      <c r="FL49" t="s">
        <v>1626</v>
      </c>
      <c r="FM49">
        <v>0</v>
      </c>
      <c r="FN49">
        <v>0.59930000000000005</v>
      </c>
      <c r="FO49">
        <v>0.77500000000000002</v>
      </c>
      <c r="FP49">
        <v>0.67310000000000003</v>
      </c>
      <c r="FQ49">
        <v>0.62780000000000002</v>
      </c>
      <c r="FR49">
        <v>0</v>
      </c>
      <c r="FS49">
        <v>3.8E-3</v>
      </c>
      <c r="FT49">
        <v>0</v>
      </c>
      <c r="FU49">
        <v>4.8999999999999998E-3</v>
      </c>
      <c r="FV49">
        <v>0.2233</v>
      </c>
      <c r="FW49">
        <v>2.9000000000000001E-2</v>
      </c>
      <c r="FX49">
        <v>1.9300000000000001E-2</v>
      </c>
      <c r="FY49">
        <v>0.27039999999999997</v>
      </c>
      <c r="FZ49">
        <v>3.2000000000000002E-3</v>
      </c>
      <c r="GA49">
        <v>266</v>
      </c>
      <c r="GB49">
        <v>1</v>
      </c>
      <c r="GC49">
        <v>1</v>
      </c>
      <c r="GD49">
        <v>206</v>
      </c>
      <c r="GE49">
        <v>3</v>
      </c>
      <c r="GF49">
        <v>64</v>
      </c>
      <c r="GG49">
        <v>1</v>
      </c>
      <c r="GH49">
        <v>0</v>
      </c>
      <c r="GI49">
        <v>0</v>
      </c>
      <c r="GJ49">
        <v>0</v>
      </c>
      <c r="GK49">
        <v>5.79E-2</v>
      </c>
      <c r="GL49">
        <v>0</v>
      </c>
      <c r="GM49">
        <v>5.79E-2</v>
      </c>
      <c r="GN49">
        <v>0</v>
      </c>
      <c r="GO49">
        <v>0</v>
      </c>
      <c r="GP49">
        <v>2.9000000000000001E-2</v>
      </c>
      <c r="GQ49">
        <v>0</v>
      </c>
      <c r="GR49">
        <v>0</v>
      </c>
      <c r="GS49">
        <v>5.79E-2</v>
      </c>
      <c r="GT49">
        <v>0</v>
      </c>
      <c r="GU49">
        <v>0</v>
      </c>
      <c r="GV49">
        <v>0</v>
      </c>
      <c r="GW49">
        <v>2.9000000000000001E-2</v>
      </c>
      <c r="GX49">
        <v>0</v>
      </c>
      <c r="GY49">
        <v>0</v>
      </c>
      <c r="GZ49">
        <v>0</v>
      </c>
      <c r="HA49">
        <v>0</v>
      </c>
      <c r="HB49">
        <v>0</v>
      </c>
      <c r="HC49" t="s">
        <v>383</v>
      </c>
      <c r="HD49">
        <v>0</v>
      </c>
      <c r="HE49">
        <v>0</v>
      </c>
      <c r="HF49">
        <v>0</v>
      </c>
      <c r="HG49">
        <v>0</v>
      </c>
      <c r="HH49">
        <v>0</v>
      </c>
      <c r="HI49" t="s">
        <v>383</v>
      </c>
      <c r="HJ49">
        <v>0</v>
      </c>
      <c r="HK49">
        <v>0</v>
      </c>
      <c r="HL49">
        <v>0</v>
      </c>
      <c r="HM49">
        <v>0</v>
      </c>
      <c r="HN49">
        <v>0</v>
      </c>
      <c r="HO49" t="s">
        <v>383</v>
      </c>
      <c r="HP49">
        <v>0</v>
      </c>
      <c r="HQ49">
        <v>0</v>
      </c>
      <c r="HR49">
        <v>0</v>
      </c>
      <c r="HS49">
        <v>0</v>
      </c>
      <c r="HT49">
        <v>0</v>
      </c>
      <c r="HU49" t="s">
        <v>383</v>
      </c>
      <c r="HV49">
        <v>0</v>
      </c>
      <c r="HW49">
        <v>0</v>
      </c>
      <c r="HX49">
        <v>0</v>
      </c>
      <c r="HY49">
        <v>0</v>
      </c>
      <c r="HZ49">
        <v>0</v>
      </c>
      <c r="IA49" t="s">
        <v>384</v>
      </c>
      <c r="IB49">
        <v>0</v>
      </c>
      <c r="IC49">
        <v>0</v>
      </c>
      <c r="ID49">
        <v>0</v>
      </c>
      <c r="IE49">
        <v>0</v>
      </c>
      <c r="IF49">
        <v>0</v>
      </c>
      <c r="IG49" t="s">
        <v>384</v>
      </c>
      <c r="IH49">
        <v>0</v>
      </c>
      <c r="II49">
        <v>0</v>
      </c>
      <c r="IJ49">
        <v>0</v>
      </c>
      <c r="IK49">
        <v>0</v>
      </c>
      <c r="IL49">
        <v>0</v>
      </c>
      <c r="IM49" t="s">
        <v>384</v>
      </c>
      <c r="IN49">
        <v>0</v>
      </c>
      <c r="IO49">
        <v>0</v>
      </c>
      <c r="IP49">
        <v>0</v>
      </c>
      <c r="IQ49">
        <v>0</v>
      </c>
      <c r="IR49">
        <v>0</v>
      </c>
      <c r="IS49" t="s">
        <v>384</v>
      </c>
      <c r="IT49">
        <v>0</v>
      </c>
      <c r="IU49">
        <v>0</v>
      </c>
      <c r="IV49">
        <v>0</v>
      </c>
      <c r="IW49">
        <v>0</v>
      </c>
      <c r="IX49">
        <v>0</v>
      </c>
      <c r="IY49">
        <v>0</v>
      </c>
      <c r="IZ49">
        <v>0</v>
      </c>
      <c r="JA49">
        <v>0</v>
      </c>
      <c r="JD49" t="s">
        <v>483</v>
      </c>
      <c r="JE49" t="s">
        <v>386</v>
      </c>
      <c r="JF49" t="s">
        <v>1627</v>
      </c>
      <c r="JG49" t="s">
        <v>1628</v>
      </c>
      <c r="JH49" t="s">
        <v>1629</v>
      </c>
      <c r="JI49" t="s">
        <v>1630</v>
      </c>
      <c r="JJ49">
        <v>0.56669999999999998</v>
      </c>
      <c r="JK49">
        <v>0</v>
      </c>
      <c r="JL49" t="s">
        <v>391</v>
      </c>
      <c r="JM49">
        <v>0</v>
      </c>
      <c r="JN49">
        <v>0</v>
      </c>
      <c r="JO49">
        <v>0</v>
      </c>
      <c r="JP49">
        <v>0</v>
      </c>
      <c r="JQ49">
        <v>0</v>
      </c>
      <c r="JR49">
        <v>0</v>
      </c>
      <c r="JS49">
        <v>0</v>
      </c>
      <c r="JT49">
        <v>0</v>
      </c>
      <c r="JU49">
        <v>0</v>
      </c>
      <c r="JV49">
        <v>0</v>
      </c>
      <c r="JX49" t="s">
        <v>392</v>
      </c>
      <c r="JY49">
        <v>0</v>
      </c>
      <c r="JZ49">
        <v>0</v>
      </c>
      <c r="KA49">
        <v>1</v>
      </c>
      <c r="KB49">
        <v>0</v>
      </c>
      <c r="KC49">
        <v>0</v>
      </c>
      <c r="KD49">
        <v>1</v>
      </c>
      <c r="KE49">
        <v>0</v>
      </c>
      <c r="KF49">
        <v>0</v>
      </c>
      <c r="KG49">
        <v>1</v>
      </c>
      <c r="KH49">
        <v>0</v>
      </c>
      <c r="KI49">
        <v>0</v>
      </c>
      <c r="KJ49">
        <v>1</v>
      </c>
      <c r="KK49">
        <v>0</v>
      </c>
      <c r="KL49">
        <v>0</v>
      </c>
      <c r="KM49">
        <v>1</v>
      </c>
      <c r="KN49">
        <v>0</v>
      </c>
      <c r="KO49">
        <v>0</v>
      </c>
      <c r="KP49">
        <v>1</v>
      </c>
      <c r="KQ49">
        <v>0</v>
      </c>
      <c r="KR49">
        <v>0</v>
      </c>
      <c r="KS49">
        <v>1</v>
      </c>
      <c r="KT49">
        <v>0</v>
      </c>
      <c r="KU49">
        <v>0</v>
      </c>
      <c r="KV49">
        <v>1</v>
      </c>
      <c r="KW49">
        <v>0</v>
      </c>
      <c r="KX49">
        <v>0</v>
      </c>
      <c r="KY49">
        <v>1</v>
      </c>
      <c r="KZ49">
        <v>0</v>
      </c>
      <c r="LA49">
        <v>0</v>
      </c>
      <c r="LB49">
        <v>0</v>
      </c>
      <c r="LC49">
        <v>0</v>
      </c>
      <c r="LD49">
        <v>0</v>
      </c>
      <c r="LE49">
        <v>0</v>
      </c>
      <c r="LF49">
        <v>0</v>
      </c>
      <c r="LG49">
        <v>0</v>
      </c>
      <c r="LH49">
        <v>0</v>
      </c>
      <c r="LI49">
        <v>0</v>
      </c>
      <c r="LJ49">
        <v>0</v>
      </c>
      <c r="LK49">
        <v>0</v>
      </c>
      <c r="LN49" t="s">
        <v>393</v>
      </c>
      <c r="LO49" t="s">
        <v>394</v>
      </c>
      <c r="LP49" t="s">
        <v>395</v>
      </c>
      <c r="LQ49">
        <v>0.30719999999999997</v>
      </c>
      <c r="LR49">
        <v>20.303100000000001</v>
      </c>
      <c r="LS49">
        <v>14.356400000000001</v>
      </c>
      <c r="LT49">
        <v>4369</v>
      </c>
      <c r="LU49">
        <v>1342</v>
      </c>
      <c r="LV49">
        <v>81.727800000000002</v>
      </c>
      <c r="LW49">
        <v>0.86129999999999995</v>
      </c>
      <c r="LX49">
        <v>0.50249999999999995</v>
      </c>
      <c r="LY49">
        <v>0.50249999999999995</v>
      </c>
      <c r="LZ49">
        <v>0.50249999999999995</v>
      </c>
      <c r="MA49">
        <v>0</v>
      </c>
      <c r="MB49">
        <v>2190</v>
      </c>
      <c r="MC49">
        <v>1</v>
      </c>
      <c r="MD49" t="s">
        <v>396</v>
      </c>
      <c r="ME49" t="s">
        <v>397</v>
      </c>
    </row>
    <row r="50" spans="1:343" ht="16.95" customHeight="1" x14ac:dyDescent="0.3">
      <c r="A50" t="s">
        <v>1631</v>
      </c>
      <c r="B50" t="s">
        <v>1632</v>
      </c>
      <c r="C50" t="s">
        <v>345</v>
      </c>
      <c r="D50" t="s">
        <v>346</v>
      </c>
      <c r="E50" t="s">
        <v>347</v>
      </c>
      <c r="F50" t="s">
        <v>1633</v>
      </c>
      <c r="G50" t="s">
        <v>1634</v>
      </c>
      <c r="H50" t="s">
        <v>1635</v>
      </c>
      <c r="I50" t="s">
        <v>351</v>
      </c>
      <c r="J50">
        <v>1787</v>
      </c>
      <c r="K50">
        <v>729</v>
      </c>
      <c r="L50">
        <v>0.40789999999999998</v>
      </c>
      <c r="M50">
        <v>118</v>
      </c>
      <c r="N50">
        <v>3</v>
      </c>
      <c r="O50">
        <v>1</v>
      </c>
      <c r="P50">
        <v>15.1</v>
      </c>
      <c r="Q50">
        <v>39.299999999999997</v>
      </c>
      <c r="R50">
        <v>22.6</v>
      </c>
      <c r="S50">
        <v>9.6999999999999993</v>
      </c>
      <c r="T50">
        <v>7.9</v>
      </c>
      <c r="U50">
        <v>2.6</v>
      </c>
      <c r="V50">
        <v>6.3</v>
      </c>
      <c r="W50">
        <v>11</v>
      </c>
      <c r="X50">
        <v>5.3</v>
      </c>
      <c r="Y50">
        <v>15</v>
      </c>
      <c r="Z50">
        <v>1</v>
      </c>
      <c r="AA50">
        <v>15</v>
      </c>
      <c r="AB50" t="s">
        <v>493</v>
      </c>
      <c r="AC50" t="b">
        <v>0</v>
      </c>
      <c r="AD50" t="s">
        <v>353</v>
      </c>
      <c r="AE50">
        <v>0.44180000000000003</v>
      </c>
      <c r="AF50" t="s">
        <v>354</v>
      </c>
      <c r="AG50">
        <v>0.3044</v>
      </c>
      <c r="AH50">
        <v>2.63E-2</v>
      </c>
      <c r="AI50">
        <v>0.67730000000000001</v>
      </c>
      <c r="AJ50" t="s">
        <v>355</v>
      </c>
      <c r="AK50">
        <v>4.7699999999999996</v>
      </c>
      <c r="AL50">
        <v>9</v>
      </c>
      <c r="AM50" t="s">
        <v>356</v>
      </c>
      <c r="AN50">
        <v>2</v>
      </c>
      <c r="AO50">
        <v>1.1200000000000001</v>
      </c>
      <c r="AP50">
        <v>7</v>
      </c>
      <c r="AQ50">
        <v>3.92</v>
      </c>
      <c r="AR50">
        <v>3.5</v>
      </c>
      <c r="AS50">
        <v>0</v>
      </c>
      <c r="AT50" t="s">
        <v>357</v>
      </c>
      <c r="AU50">
        <v>20.3</v>
      </c>
      <c r="AV50">
        <v>24</v>
      </c>
      <c r="AW50" t="s">
        <v>354</v>
      </c>
      <c r="AX50">
        <v>9</v>
      </c>
      <c r="AY50">
        <v>5.04</v>
      </c>
      <c r="AZ50">
        <v>0</v>
      </c>
      <c r="BA50">
        <v>8</v>
      </c>
      <c r="BB50">
        <v>1</v>
      </c>
      <c r="BC50">
        <v>0</v>
      </c>
      <c r="BD50">
        <v>0</v>
      </c>
      <c r="BE50">
        <v>9</v>
      </c>
      <c r="BF50">
        <v>0</v>
      </c>
      <c r="BG50">
        <v>9</v>
      </c>
      <c r="BH50">
        <v>0</v>
      </c>
      <c r="BI50">
        <v>7.0000000000000007E-2</v>
      </c>
      <c r="BJ50" t="b">
        <v>0</v>
      </c>
      <c r="BK50" t="b">
        <v>0</v>
      </c>
      <c r="BL50">
        <v>3</v>
      </c>
      <c r="BM50">
        <v>3</v>
      </c>
      <c r="BN50">
        <v>2</v>
      </c>
      <c r="BO50">
        <v>1</v>
      </c>
      <c r="BP50">
        <v>0</v>
      </c>
      <c r="BQ50">
        <v>1</v>
      </c>
      <c r="BR50">
        <v>0</v>
      </c>
      <c r="BS50">
        <v>1787</v>
      </c>
      <c r="BT50">
        <v>729</v>
      </c>
      <c r="BU50">
        <v>0.40789999999999998</v>
      </c>
      <c r="BV50">
        <v>3</v>
      </c>
      <c r="BW50">
        <v>1</v>
      </c>
      <c r="BX50">
        <v>595.70000000000005</v>
      </c>
      <c r="BZ50" t="s">
        <v>1636</v>
      </c>
      <c r="CA50" t="s">
        <v>1637</v>
      </c>
      <c r="CB50" t="s">
        <v>1638</v>
      </c>
      <c r="CC50" t="s">
        <v>1639</v>
      </c>
      <c r="CD50">
        <v>0</v>
      </c>
      <c r="CE50">
        <v>0</v>
      </c>
      <c r="CF50">
        <v>0</v>
      </c>
      <c r="CG50">
        <v>0</v>
      </c>
      <c r="CH50">
        <v>1</v>
      </c>
      <c r="CI50" t="s">
        <v>362</v>
      </c>
      <c r="CJ50">
        <v>3</v>
      </c>
      <c r="CK50">
        <v>1.68</v>
      </c>
      <c r="CL50" t="s">
        <v>407</v>
      </c>
      <c r="CM50">
        <v>1</v>
      </c>
      <c r="CN50">
        <v>0</v>
      </c>
      <c r="CO50" t="b">
        <v>0</v>
      </c>
      <c r="CP50" t="b">
        <v>0</v>
      </c>
      <c r="CQ50" t="b">
        <v>1</v>
      </c>
      <c r="CR50" t="b">
        <v>1</v>
      </c>
      <c r="CS50" t="b">
        <v>0</v>
      </c>
      <c r="CT50" t="b">
        <v>0</v>
      </c>
      <c r="CU50" t="b">
        <v>0</v>
      </c>
      <c r="CV50">
        <v>0</v>
      </c>
      <c r="CW50">
        <v>0</v>
      </c>
      <c r="CX50">
        <v>0</v>
      </c>
      <c r="CY50">
        <v>2</v>
      </c>
      <c r="CZ50">
        <v>1.1200000000000001</v>
      </c>
      <c r="DA50">
        <v>7</v>
      </c>
      <c r="DB50">
        <v>3.91</v>
      </c>
      <c r="DC50">
        <v>3.5</v>
      </c>
      <c r="DD50">
        <v>0</v>
      </c>
      <c r="DE50">
        <v>0</v>
      </c>
      <c r="DF50">
        <v>0</v>
      </c>
      <c r="DG50">
        <v>0</v>
      </c>
      <c r="DH50">
        <v>12</v>
      </c>
      <c r="DI50">
        <v>6.71</v>
      </c>
      <c r="DJ50">
        <v>0</v>
      </c>
      <c r="DK50">
        <v>1</v>
      </c>
      <c r="DL50">
        <v>1</v>
      </c>
      <c r="DM50">
        <v>0</v>
      </c>
      <c r="DN50">
        <v>0</v>
      </c>
      <c r="DO50">
        <v>30</v>
      </c>
      <c r="DP50">
        <v>1</v>
      </c>
      <c r="DQ50">
        <v>0.56000000000000005</v>
      </c>
      <c r="DR50" t="s">
        <v>1640</v>
      </c>
      <c r="DS50" t="s">
        <v>1641</v>
      </c>
      <c r="DT50" t="s">
        <v>1642</v>
      </c>
      <c r="DU50" t="s">
        <v>1643</v>
      </c>
      <c r="DV50" t="s">
        <v>1644</v>
      </c>
      <c r="DW50">
        <v>1.43</v>
      </c>
      <c r="DX50">
        <v>0</v>
      </c>
      <c r="DY50">
        <v>2.33</v>
      </c>
      <c r="DZ50">
        <v>5</v>
      </c>
      <c r="EA50">
        <v>1</v>
      </c>
      <c r="EB50">
        <v>9.76</v>
      </c>
      <c r="EC50" t="s">
        <v>369</v>
      </c>
      <c r="ED50" t="s">
        <v>413</v>
      </c>
      <c r="EE50">
        <v>4.8899999999999997</v>
      </c>
      <c r="EF50" t="s">
        <v>354</v>
      </c>
      <c r="EG50">
        <v>0</v>
      </c>
      <c r="EH50">
        <v>1.45</v>
      </c>
      <c r="EI50">
        <v>0</v>
      </c>
      <c r="EJ50" t="s">
        <v>370</v>
      </c>
      <c r="EK50">
        <v>0.56000000000000005</v>
      </c>
      <c r="EL50" t="s">
        <v>472</v>
      </c>
      <c r="EM50" t="s">
        <v>1645</v>
      </c>
      <c r="EN50">
        <v>1.68</v>
      </c>
      <c r="EO50" t="s">
        <v>373</v>
      </c>
      <c r="EP50">
        <v>0</v>
      </c>
      <c r="EQ50">
        <v>0</v>
      </c>
      <c r="ER50">
        <v>52.5</v>
      </c>
      <c r="ES50" t="s">
        <v>374</v>
      </c>
      <c r="ET50">
        <v>1.68</v>
      </c>
      <c r="EU50">
        <v>1.3</v>
      </c>
      <c r="EV50">
        <v>4.0999999999999996</v>
      </c>
      <c r="EW50">
        <v>1.1200000000000001</v>
      </c>
      <c r="EX50">
        <v>1.49</v>
      </c>
      <c r="EY50">
        <v>0.37</v>
      </c>
      <c r="EZ50">
        <v>2.0499999999999998</v>
      </c>
      <c r="FA50">
        <v>0.19</v>
      </c>
      <c r="FB50">
        <v>0.75</v>
      </c>
      <c r="FC50">
        <v>3.73</v>
      </c>
      <c r="FD50" t="s">
        <v>375</v>
      </c>
      <c r="FE50">
        <v>101</v>
      </c>
      <c r="FF50" t="s">
        <v>1646</v>
      </c>
      <c r="FG50" t="s">
        <v>1647</v>
      </c>
      <c r="FH50" t="s">
        <v>1648</v>
      </c>
      <c r="FI50" t="s">
        <v>1649</v>
      </c>
      <c r="FJ50" t="s">
        <v>1650</v>
      </c>
      <c r="FK50" t="s">
        <v>1651</v>
      </c>
      <c r="FL50" t="s">
        <v>1652</v>
      </c>
      <c r="FM50">
        <v>0</v>
      </c>
      <c r="FN50">
        <v>0.52990000000000004</v>
      </c>
      <c r="FO50">
        <v>0.77500000000000002</v>
      </c>
      <c r="FP50">
        <v>0.63290000000000002</v>
      </c>
      <c r="FQ50">
        <v>0.3866</v>
      </c>
      <c r="FR50">
        <v>0</v>
      </c>
      <c r="FS50">
        <v>0</v>
      </c>
      <c r="FT50">
        <v>0</v>
      </c>
      <c r="FU50">
        <v>0</v>
      </c>
      <c r="FV50">
        <v>0.18490000000000001</v>
      </c>
      <c r="FW50">
        <v>1.7899999999999999E-2</v>
      </c>
      <c r="FX50">
        <v>2.3900000000000001E-2</v>
      </c>
      <c r="FY50">
        <v>0.26590000000000003</v>
      </c>
      <c r="FZ50">
        <v>0</v>
      </c>
      <c r="GA50">
        <v>119</v>
      </c>
      <c r="GB50">
        <v>1</v>
      </c>
      <c r="GC50">
        <v>1</v>
      </c>
      <c r="GD50">
        <v>74</v>
      </c>
      <c r="GE50">
        <v>1</v>
      </c>
      <c r="GF50">
        <v>41</v>
      </c>
      <c r="GG50">
        <v>0</v>
      </c>
      <c r="GH50">
        <v>0</v>
      </c>
      <c r="GI50">
        <v>0</v>
      </c>
      <c r="GJ50">
        <v>0</v>
      </c>
      <c r="GK50">
        <v>0</v>
      </c>
      <c r="GL50">
        <v>0</v>
      </c>
      <c r="GM50">
        <v>7.1599999999999997E-2</v>
      </c>
      <c r="GN50">
        <v>0</v>
      </c>
      <c r="GO50">
        <v>0</v>
      </c>
      <c r="GP50">
        <v>0</v>
      </c>
      <c r="GQ50">
        <v>0</v>
      </c>
      <c r="GR50">
        <v>0</v>
      </c>
      <c r="GS50">
        <v>7.1599999999999997E-2</v>
      </c>
      <c r="GT50">
        <v>0</v>
      </c>
      <c r="GU50">
        <v>0</v>
      </c>
      <c r="GV50">
        <v>0</v>
      </c>
      <c r="GW50">
        <v>0</v>
      </c>
      <c r="GX50">
        <v>0</v>
      </c>
      <c r="GY50">
        <v>0</v>
      </c>
      <c r="GZ50">
        <v>0</v>
      </c>
      <c r="HA50">
        <v>0</v>
      </c>
      <c r="HB50">
        <v>0</v>
      </c>
      <c r="HC50" t="s">
        <v>383</v>
      </c>
      <c r="HD50">
        <v>0</v>
      </c>
      <c r="HE50">
        <v>0</v>
      </c>
      <c r="HF50">
        <v>0</v>
      </c>
      <c r="HG50">
        <v>0</v>
      </c>
      <c r="HH50">
        <v>0</v>
      </c>
      <c r="HI50" t="s">
        <v>383</v>
      </c>
      <c r="HJ50">
        <v>0</v>
      </c>
      <c r="HK50">
        <v>0</v>
      </c>
      <c r="HL50">
        <v>0</v>
      </c>
      <c r="HM50">
        <v>0</v>
      </c>
      <c r="HN50">
        <v>0</v>
      </c>
      <c r="HO50" t="s">
        <v>383</v>
      </c>
      <c r="HP50">
        <v>0</v>
      </c>
      <c r="HQ50">
        <v>0</v>
      </c>
      <c r="HR50">
        <v>0</v>
      </c>
      <c r="HS50">
        <v>0</v>
      </c>
      <c r="HT50">
        <v>0</v>
      </c>
      <c r="HU50" t="s">
        <v>383</v>
      </c>
      <c r="HV50">
        <v>0</v>
      </c>
      <c r="HW50">
        <v>0</v>
      </c>
      <c r="HX50">
        <v>0</v>
      </c>
      <c r="HY50">
        <v>0</v>
      </c>
      <c r="HZ50">
        <v>0</v>
      </c>
      <c r="IA50" t="s">
        <v>384</v>
      </c>
      <c r="IB50">
        <v>0</v>
      </c>
      <c r="IC50">
        <v>0</v>
      </c>
      <c r="ID50">
        <v>0</v>
      </c>
      <c r="IE50">
        <v>0</v>
      </c>
      <c r="IF50">
        <v>0</v>
      </c>
      <c r="IG50" t="s">
        <v>384</v>
      </c>
      <c r="IH50">
        <v>0</v>
      </c>
      <c r="II50">
        <v>0</v>
      </c>
      <c r="IJ50">
        <v>0</v>
      </c>
      <c r="IK50">
        <v>0</v>
      </c>
      <c r="IL50">
        <v>0</v>
      </c>
      <c r="IM50" t="s">
        <v>384</v>
      </c>
      <c r="IN50">
        <v>0</v>
      </c>
      <c r="IO50">
        <v>0</v>
      </c>
      <c r="IP50">
        <v>0</v>
      </c>
      <c r="IQ50">
        <v>0</v>
      </c>
      <c r="IR50">
        <v>0</v>
      </c>
      <c r="IS50" t="s">
        <v>384</v>
      </c>
      <c r="IT50">
        <v>0</v>
      </c>
      <c r="IU50">
        <v>0</v>
      </c>
      <c r="IV50">
        <v>0</v>
      </c>
      <c r="IW50">
        <v>0</v>
      </c>
      <c r="IX50">
        <v>0</v>
      </c>
      <c r="IY50">
        <v>0</v>
      </c>
      <c r="IZ50">
        <v>0</v>
      </c>
      <c r="JA50">
        <v>0</v>
      </c>
      <c r="JD50" t="s">
        <v>483</v>
      </c>
      <c r="JE50" t="s">
        <v>386</v>
      </c>
      <c r="JF50" t="s">
        <v>1653</v>
      </c>
      <c r="JG50" t="s">
        <v>1654</v>
      </c>
      <c r="JH50" t="s">
        <v>1655</v>
      </c>
      <c r="JI50" t="s">
        <v>1656</v>
      </c>
      <c r="JJ50">
        <v>0.6</v>
      </c>
      <c r="JK50">
        <v>0</v>
      </c>
      <c r="JL50" t="s">
        <v>391</v>
      </c>
      <c r="JM50">
        <v>0</v>
      </c>
      <c r="JN50">
        <v>0</v>
      </c>
      <c r="JO50">
        <v>0</v>
      </c>
      <c r="JP50">
        <v>0</v>
      </c>
      <c r="JQ50">
        <v>0</v>
      </c>
      <c r="JR50">
        <v>0</v>
      </c>
      <c r="JS50">
        <v>0</v>
      </c>
      <c r="JT50">
        <v>0</v>
      </c>
      <c r="JU50">
        <v>0</v>
      </c>
      <c r="JV50">
        <v>0</v>
      </c>
      <c r="JX50" t="s">
        <v>392</v>
      </c>
      <c r="JY50">
        <v>0</v>
      </c>
      <c r="JZ50">
        <v>0</v>
      </c>
      <c r="KA50">
        <v>1</v>
      </c>
      <c r="KB50">
        <v>0</v>
      </c>
      <c r="KC50">
        <v>0</v>
      </c>
      <c r="KD50">
        <v>1</v>
      </c>
      <c r="KE50">
        <v>0</v>
      </c>
      <c r="KF50">
        <v>0</v>
      </c>
      <c r="KG50">
        <v>1</v>
      </c>
      <c r="KH50">
        <v>0</v>
      </c>
      <c r="KI50">
        <v>0</v>
      </c>
      <c r="KJ50">
        <v>1</v>
      </c>
      <c r="KK50">
        <v>0</v>
      </c>
      <c r="KL50">
        <v>0</v>
      </c>
      <c r="KM50">
        <v>1</v>
      </c>
      <c r="KN50">
        <v>0</v>
      </c>
      <c r="KO50">
        <v>0</v>
      </c>
      <c r="KP50">
        <v>1</v>
      </c>
      <c r="KQ50">
        <v>0</v>
      </c>
      <c r="KR50">
        <v>0</v>
      </c>
      <c r="KS50">
        <v>1</v>
      </c>
      <c r="KT50">
        <v>0</v>
      </c>
      <c r="KU50">
        <v>0</v>
      </c>
      <c r="KV50">
        <v>1</v>
      </c>
      <c r="KW50">
        <v>0</v>
      </c>
      <c r="KX50">
        <v>0</v>
      </c>
      <c r="KY50">
        <v>1</v>
      </c>
      <c r="KZ50">
        <v>0</v>
      </c>
      <c r="LA50">
        <v>0</v>
      </c>
      <c r="LB50">
        <v>0</v>
      </c>
      <c r="LC50">
        <v>0</v>
      </c>
      <c r="LD50">
        <v>0</v>
      </c>
      <c r="LE50">
        <v>0</v>
      </c>
      <c r="LF50">
        <v>0</v>
      </c>
      <c r="LG50">
        <v>0</v>
      </c>
      <c r="LH50">
        <v>0</v>
      </c>
      <c r="LI50">
        <v>0</v>
      </c>
      <c r="LJ50">
        <v>0</v>
      </c>
      <c r="LK50">
        <v>0</v>
      </c>
      <c r="LN50" t="s">
        <v>393</v>
      </c>
      <c r="LO50" t="s">
        <v>394</v>
      </c>
      <c r="LP50" t="s">
        <v>395</v>
      </c>
      <c r="LQ50">
        <v>0.42180000000000001</v>
      </c>
      <c r="LR50">
        <v>17.596299999999999</v>
      </c>
      <c r="LS50">
        <v>12.442500000000001</v>
      </c>
      <c r="LT50">
        <v>1740</v>
      </c>
      <c r="LU50">
        <v>734</v>
      </c>
      <c r="LV50">
        <v>95.452699999999993</v>
      </c>
      <c r="LW50">
        <v>0.86680000000000001</v>
      </c>
      <c r="LX50">
        <v>0.48270000000000002</v>
      </c>
      <c r="LY50">
        <v>0.48270000000000002</v>
      </c>
      <c r="LZ50">
        <v>0.48270000000000002</v>
      </c>
      <c r="MA50">
        <v>0</v>
      </c>
      <c r="MB50">
        <v>839</v>
      </c>
      <c r="MC50">
        <v>1</v>
      </c>
      <c r="MD50" t="s">
        <v>396</v>
      </c>
      <c r="ME50" t="s">
        <v>397</v>
      </c>
    </row>
    <row r="51" spans="1:343" ht="16.95" customHeight="1" x14ac:dyDescent="0.3">
      <c r="A51" t="s">
        <v>1657</v>
      </c>
      <c r="B51" t="s">
        <v>1658</v>
      </c>
      <c r="C51" t="s">
        <v>345</v>
      </c>
      <c r="D51" t="s">
        <v>346</v>
      </c>
      <c r="E51" t="s">
        <v>347</v>
      </c>
      <c r="F51" t="s">
        <v>1659</v>
      </c>
      <c r="G51" t="s">
        <v>1660</v>
      </c>
      <c r="H51" t="s">
        <v>1661</v>
      </c>
      <c r="I51" t="s">
        <v>351</v>
      </c>
      <c r="J51">
        <v>4456</v>
      </c>
      <c r="K51">
        <v>1119</v>
      </c>
      <c r="L51">
        <v>0.25109999999999999</v>
      </c>
      <c r="M51">
        <v>421</v>
      </c>
      <c r="N51">
        <v>3</v>
      </c>
      <c r="O51">
        <v>1</v>
      </c>
      <c r="P51">
        <v>10.6</v>
      </c>
      <c r="Q51">
        <v>140.30000000000001</v>
      </c>
      <c r="R51">
        <v>12.9</v>
      </c>
      <c r="S51">
        <v>11.9</v>
      </c>
      <c r="T51">
        <v>5.2</v>
      </c>
      <c r="U51">
        <v>4.5</v>
      </c>
      <c r="V51">
        <v>6.1</v>
      </c>
      <c r="W51">
        <v>18</v>
      </c>
      <c r="X51">
        <v>2.5</v>
      </c>
      <c r="Y51">
        <v>14</v>
      </c>
      <c r="Z51">
        <v>1</v>
      </c>
      <c r="AA51">
        <v>14</v>
      </c>
      <c r="AB51" t="s">
        <v>352</v>
      </c>
      <c r="AC51" t="b">
        <v>0</v>
      </c>
      <c r="AD51" t="s">
        <v>353</v>
      </c>
      <c r="AE51">
        <v>0.39750000000000002</v>
      </c>
      <c r="AF51" t="s">
        <v>356</v>
      </c>
      <c r="AG51">
        <v>0.33239999999999997</v>
      </c>
      <c r="AH51">
        <v>4.4200000000000003E-2</v>
      </c>
      <c r="AI51">
        <v>0.6381</v>
      </c>
      <c r="AJ51" t="s">
        <v>355</v>
      </c>
      <c r="AK51">
        <v>3.03</v>
      </c>
      <c r="AL51">
        <v>7</v>
      </c>
      <c r="AM51" t="s">
        <v>354</v>
      </c>
      <c r="AN51">
        <v>1</v>
      </c>
      <c r="AO51">
        <v>0.22</v>
      </c>
      <c r="AP51">
        <v>4</v>
      </c>
      <c r="AQ51">
        <v>0.9</v>
      </c>
      <c r="AR51">
        <v>4</v>
      </c>
      <c r="AS51">
        <v>0</v>
      </c>
      <c r="AT51" t="s">
        <v>357</v>
      </c>
      <c r="AU51">
        <v>27.1</v>
      </c>
      <c r="AV51">
        <v>114</v>
      </c>
      <c r="AW51" t="s">
        <v>356</v>
      </c>
      <c r="AX51">
        <v>24</v>
      </c>
      <c r="AY51">
        <v>5.39</v>
      </c>
      <c r="AZ51">
        <v>0</v>
      </c>
      <c r="BA51">
        <v>23</v>
      </c>
      <c r="BB51">
        <v>1</v>
      </c>
      <c r="BC51">
        <v>0</v>
      </c>
      <c r="BD51">
        <v>0</v>
      </c>
      <c r="BE51">
        <v>24</v>
      </c>
      <c r="BF51">
        <v>0</v>
      </c>
      <c r="BG51">
        <v>24</v>
      </c>
      <c r="BH51">
        <v>1</v>
      </c>
      <c r="BI51">
        <v>0</v>
      </c>
      <c r="BJ51" t="b">
        <v>0</v>
      </c>
      <c r="BK51" t="b">
        <v>0</v>
      </c>
      <c r="BL51">
        <v>3</v>
      </c>
      <c r="BM51">
        <v>1</v>
      </c>
      <c r="BN51">
        <v>0.67</v>
      </c>
      <c r="BO51">
        <v>0</v>
      </c>
      <c r="BP51">
        <v>0</v>
      </c>
      <c r="BQ51">
        <v>0.5</v>
      </c>
      <c r="BR51">
        <v>1</v>
      </c>
      <c r="BS51">
        <v>4456</v>
      </c>
      <c r="BT51">
        <v>1119</v>
      </c>
      <c r="BU51">
        <v>0.25109999999999999</v>
      </c>
      <c r="BV51">
        <v>3</v>
      </c>
      <c r="BW51">
        <v>1</v>
      </c>
      <c r="BX51">
        <v>1485.3</v>
      </c>
      <c r="BZ51" t="s">
        <v>1662</v>
      </c>
      <c r="CA51" t="s">
        <v>1663</v>
      </c>
      <c r="CB51" t="s">
        <v>1664</v>
      </c>
      <c r="CC51" t="s">
        <v>1665</v>
      </c>
      <c r="CD51">
        <v>0</v>
      </c>
      <c r="CE51">
        <v>0</v>
      </c>
      <c r="CF51">
        <v>0</v>
      </c>
      <c r="CG51">
        <v>0</v>
      </c>
      <c r="CH51">
        <v>0</v>
      </c>
      <c r="CJ51">
        <v>2</v>
      </c>
      <c r="CK51">
        <v>0.45</v>
      </c>
      <c r="CL51" t="s">
        <v>1541</v>
      </c>
      <c r="CM51">
        <v>1</v>
      </c>
      <c r="CN51">
        <v>0</v>
      </c>
      <c r="CO51" t="b">
        <v>0</v>
      </c>
      <c r="CP51" t="b">
        <v>1</v>
      </c>
      <c r="CQ51" t="b">
        <v>1</v>
      </c>
      <c r="CR51" t="b">
        <v>0</v>
      </c>
      <c r="CS51" t="b">
        <v>1</v>
      </c>
      <c r="CT51" t="b">
        <v>1</v>
      </c>
      <c r="CU51" t="b">
        <v>0</v>
      </c>
      <c r="CV51">
        <v>0</v>
      </c>
      <c r="CW51">
        <v>0</v>
      </c>
      <c r="CX51">
        <v>0</v>
      </c>
      <c r="CY51">
        <v>1</v>
      </c>
      <c r="CZ51">
        <v>0.22</v>
      </c>
      <c r="DA51">
        <v>4</v>
      </c>
      <c r="DB51">
        <v>0.9</v>
      </c>
      <c r="DC51">
        <v>4</v>
      </c>
      <c r="DD51">
        <v>0</v>
      </c>
      <c r="DE51">
        <v>0</v>
      </c>
      <c r="DF51">
        <v>6</v>
      </c>
      <c r="DG51">
        <v>1.35</v>
      </c>
      <c r="DH51">
        <v>28</v>
      </c>
      <c r="DI51">
        <v>6.28</v>
      </c>
      <c r="DJ51">
        <v>0.21</v>
      </c>
      <c r="DK51">
        <v>0</v>
      </c>
      <c r="DL51">
        <v>9</v>
      </c>
      <c r="DM51">
        <v>4</v>
      </c>
      <c r="DN51">
        <v>0</v>
      </c>
      <c r="DO51">
        <v>59</v>
      </c>
      <c r="DP51">
        <v>0</v>
      </c>
      <c r="DQ51">
        <v>0</v>
      </c>
      <c r="DR51" t="s">
        <v>1666</v>
      </c>
      <c r="DS51" t="s">
        <v>1667</v>
      </c>
      <c r="DT51" t="s">
        <v>1668</v>
      </c>
      <c r="DU51" t="s">
        <v>411</v>
      </c>
      <c r="DV51" t="s">
        <v>1669</v>
      </c>
      <c r="DW51">
        <v>2.86</v>
      </c>
      <c r="DX51">
        <v>0</v>
      </c>
      <c r="DY51">
        <v>2.17</v>
      </c>
      <c r="DZ51">
        <v>5</v>
      </c>
      <c r="EA51">
        <v>4.5</v>
      </c>
      <c r="EB51">
        <v>14.53</v>
      </c>
      <c r="EC51" t="s">
        <v>503</v>
      </c>
      <c r="ED51" t="s">
        <v>413</v>
      </c>
      <c r="EE51">
        <v>1.18</v>
      </c>
      <c r="EF51" t="s">
        <v>414</v>
      </c>
      <c r="EG51">
        <v>0.27</v>
      </c>
      <c r="EH51">
        <v>0.34</v>
      </c>
      <c r="EI51">
        <v>0.8</v>
      </c>
      <c r="EJ51" t="s">
        <v>370</v>
      </c>
      <c r="EK51">
        <v>1.97</v>
      </c>
      <c r="EL51" t="s">
        <v>371</v>
      </c>
      <c r="EM51" t="s">
        <v>1670</v>
      </c>
      <c r="EN51">
        <v>1.46</v>
      </c>
      <c r="EO51" t="s">
        <v>417</v>
      </c>
      <c r="EP51">
        <v>0</v>
      </c>
      <c r="EQ51">
        <v>0</v>
      </c>
      <c r="ER51">
        <v>18.899999999999999</v>
      </c>
      <c r="ES51" t="s">
        <v>587</v>
      </c>
      <c r="ET51">
        <v>0.75</v>
      </c>
      <c r="EU51">
        <v>0.6</v>
      </c>
      <c r="EV51">
        <v>1.57</v>
      </c>
      <c r="EW51">
        <v>2.62</v>
      </c>
      <c r="EX51">
        <v>5.01</v>
      </c>
      <c r="EY51">
        <v>1.27</v>
      </c>
      <c r="EZ51">
        <v>0.67</v>
      </c>
      <c r="FA51">
        <v>0.22</v>
      </c>
      <c r="FB51">
        <v>1.05</v>
      </c>
      <c r="FC51">
        <v>0.82</v>
      </c>
      <c r="FD51" t="s">
        <v>375</v>
      </c>
      <c r="FE51">
        <v>302</v>
      </c>
      <c r="FF51" t="s">
        <v>1671</v>
      </c>
      <c r="FG51" t="s">
        <v>1672</v>
      </c>
      <c r="FH51" t="s">
        <v>1673</v>
      </c>
      <c r="FI51" t="s">
        <v>1674</v>
      </c>
      <c r="FJ51" t="s">
        <v>1675</v>
      </c>
      <c r="FK51" t="s">
        <v>1676</v>
      </c>
      <c r="FL51" t="s">
        <v>1677</v>
      </c>
      <c r="FM51">
        <v>0</v>
      </c>
      <c r="FN51">
        <v>0.48880000000000001</v>
      </c>
      <c r="FO51">
        <v>0.77500000000000002</v>
      </c>
      <c r="FP51">
        <v>0.60899999999999999</v>
      </c>
      <c r="FQ51">
        <v>0.42730000000000001</v>
      </c>
      <c r="FR51">
        <v>0</v>
      </c>
      <c r="FS51">
        <v>3.2300000000000002E-2</v>
      </c>
      <c r="FT51">
        <v>1</v>
      </c>
      <c r="FU51">
        <v>1.2699999999999999E-2</v>
      </c>
      <c r="FV51">
        <v>9.8799999999999999E-2</v>
      </c>
      <c r="FW51">
        <v>7.0599999999999996E-2</v>
      </c>
      <c r="FX51">
        <v>4.7E-2</v>
      </c>
      <c r="FY51">
        <v>0.32529999999999998</v>
      </c>
      <c r="FZ51">
        <v>0</v>
      </c>
      <c r="GA51">
        <v>433</v>
      </c>
      <c r="GB51">
        <v>1</v>
      </c>
      <c r="GC51">
        <v>1</v>
      </c>
      <c r="GD51">
        <v>153</v>
      </c>
      <c r="GE51">
        <v>5</v>
      </c>
      <c r="GF51">
        <v>52</v>
      </c>
      <c r="GG51">
        <v>1</v>
      </c>
      <c r="GH51">
        <v>2</v>
      </c>
      <c r="GI51">
        <v>1</v>
      </c>
      <c r="GJ51">
        <v>0</v>
      </c>
      <c r="GK51">
        <v>8.4699999999999998E-2</v>
      </c>
      <c r="GL51">
        <v>0</v>
      </c>
      <c r="GM51">
        <v>8.4699999999999998E-2</v>
      </c>
      <c r="GN51">
        <v>5.6399999999999999E-2</v>
      </c>
      <c r="GO51">
        <v>0.1129</v>
      </c>
      <c r="GP51">
        <v>0.254</v>
      </c>
      <c r="GQ51">
        <v>5.6399999999999999E-2</v>
      </c>
      <c r="GR51">
        <v>0</v>
      </c>
      <c r="GS51">
        <v>2.8199999999999999E-2</v>
      </c>
      <c r="GT51">
        <v>0</v>
      </c>
      <c r="GU51">
        <v>0</v>
      </c>
      <c r="GV51">
        <v>0</v>
      </c>
      <c r="GW51">
        <v>0</v>
      </c>
      <c r="GX51">
        <v>0</v>
      </c>
      <c r="GY51">
        <v>0</v>
      </c>
      <c r="GZ51">
        <v>0</v>
      </c>
      <c r="HA51">
        <v>0</v>
      </c>
      <c r="HB51">
        <v>0</v>
      </c>
      <c r="HC51" t="s">
        <v>383</v>
      </c>
      <c r="HD51">
        <v>0</v>
      </c>
      <c r="HE51">
        <v>0</v>
      </c>
      <c r="HF51">
        <v>0</v>
      </c>
      <c r="HG51">
        <v>0</v>
      </c>
      <c r="HH51">
        <v>0</v>
      </c>
      <c r="HI51" t="s">
        <v>383</v>
      </c>
      <c r="HJ51">
        <v>0</v>
      </c>
      <c r="HK51">
        <v>0</v>
      </c>
      <c r="HL51">
        <v>0</v>
      </c>
      <c r="HM51">
        <v>0</v>
      </c>
      <c r="HN51">
        <v>0</v>
      </c>
      <c r="HO51" t="s">
        <v>383</v>
      </c>
      <c r="HP51">
        <v>0</v>
      </c>
      <c r="HQ51">
        <v>0</v>
      </c>
      <c r="HR51">
        <v>0</v>
      </c>
      <c r="HS51">
        <v>0</v>
      </c>
      <c r="HT51">
        <v>0</v>
      </c>
      <c r="HU51" t="s">
        <v>383</v>
      </c>
      <c r="HV51">
        <v>0</v>
      </c>
      <c r="HW51">
        <v>0</v>
      </c>
      <c r="HX51">
        <v>0</v>
      </c>
      <c r="HY51">
        <v>0</v>
      </c>
      <c r="HZ51">
        <v>0</v>
      </c>
      <c r="IA51" t="s">
        <v>384</v>
      </c>
      <c r="IB51">
        <v>0</v>
      </c>
      <c r="IC51">
        <v>0</v>
      </c>
      <c r="ID51">
        <v>0</v>
      </c>
      <c r="IE51">
        <v>0</v>
      </c>
      <c r="IF51">
        <v>0</v>
      </c>
      <c r="IG51" t="s">
        <v>384</v>
      </c>
      <c r="IH51">
        <v>0</v>
      </c>
      <c r="II51">
        <v>0</v>
      </c>
      <c r="IJ51">
        <v>0</v>
      </c>
      <c r="IK51">
        <v>0</v>
      </c>
      <c r="IL51">
        <v>0</v>
      </c>
      <c r="IM51" t="s">
        <v>384</v>
      </c>
      <c r="IN51">
        <v>0</v>
      </c>
      <c r="IO51">
        <v>0</v>
      </c>
      <c r="IP51">
        <v>0</v>
      </c>
      <c r="IQ51">
        <v>0</v>
      </c>
      <c r="IR51">
        <v>0</v>
      </c>
      <c r="IS51" t="s">
        <v>384</v>
      </c>
      <c r="IT51">
        <v>0</v>
      </c>
      <c r="IU51">
        <v>0</v>
      </c>
      <c r="IV51">
        <v>0</v>
      </c>
      <c r="IW51">
        <v>0</v>
      </c>
      <c r="IX51">
        <v>0</v>
      </c>
      <c r="IY51">
        <v>0</v>
      </c>
      <c r="IZ51">
        <v>0</v>
      </c>
      <c r="JA51">
        <v>0</v>
      </c>
      <c r="JD51" t="s">
        <v>453</v>
      </c>
      <c r="JE51" t="s">
        <v>779</v>
      </c>
      <c r="JF51" t="s">
        <v>1678</v>
      </c>
      <c r="JG51" t="s">
        <v>1666</v>
      </c>
      <c r="JH51" t="s">
        <v>1679</v>
      </c>
      <c r="JI51" t="s">
        <v>1680</v>
      </c>
      <c r="JJ51">
        <v>0.33329999999999999</v>
      </c>
      <c r="JK51">
        <v>0</v>
      </c>
      <c r="JL51" t="s">
        <v>391</v>
      </c>
      <c r="JM51">
        <v>0</v>
      </c>
      <c r="JN51">
        <v>0</v>
      </c>
      <c r="JO51">
        <v>0</v>
      </c>
      <c r="JP51">
        <v>0</v>
      </c>
      <c r="JQ51">
        <v>0</v>
      </c>
      <c r="JR51">
        <v>0</v>
      </c>
      <c r="JS51">
        <v>0</v>
      </c>
      <c r="JT51">
        <v>0</v>
      </c>
      <c r="JU51">
        <v>0</v>
      </c>
      <c r="JV51">
        <v>0</v>
      </c>
      <c r="JX51" t="s">
        <v>392</v>
      </c>
      <c r="JY51">
        <v>0</v>
      </c>
      <c r="JZ51">
        <v>0</v>
      </c>
      <c r="KA51">
        <v>1</v>
      </c>
      <c r="KB51">
        <v>0</v>
      </c>
      <c r="KC51">
        <v>0</v>
      </c>
      <c r="KD51">
        <v>1</v>
      </c>
      <c r="KE51">
        <v>0</v>
      </c>
      <c r="KF51">
        <v>0</v>
      </c>
      <c r="KG51">
        <v>1</v>
      </c>
      <c r="KH51">
        <v>0</v>
      </c>
      <c r="KI51">
        <v>0</v>
      </c>
      <c r="KJ51">
        <v>1</v>
      </c>
      <c r="KK51">
        <v>0</v>
      </c>
      <c r="KL51">
        <v>0</v>
      </c>
      <c r="KM51">
        <v>1</v>
      </c>
      <c r="KN51">
        <v>0</v>
      </c>
      <c r="KO51">
        <v>0</v>
      </c>
      <c r="KP51">
        <v>1</v>
      </c>
      <c r="KQ51">
        <v>0</v>
      </c>
      <c r="KR51">
        <v>0</v>
      </c>
      <c r="KS51">
        <v>1</v>
      </c>
      <c r="KT51">
        <v>0</v>
      </c>
      <c r="KU51">
        <v>0</v>
      </c>
      <c r="KV51">
        <v>1</v>
      </c>
      <c r="KW51">
        <v>0</v>
      </c>
      <c r="KX51">
        <v>0</v>
      </c>
      <c r="KY51">
        <v>1</v>
      </c>
      <c r="KZ51">
        <v>0</v>
      </c>
      <c r="LA51">
        <v>0</v>
      </c>
      <c r="LB51">
        <v>0</v>
      </c>
      <c r="LC51">
        <v>0</v>
      </c>
      <c r="LD51">
        <v>0</v>
      </c>
      <c r="LE51">
        <v>0</v>
      </c>
      <c r="LF51">
        <v>0</v>
      </c>
      <c r="LG51">
        <v>0</v>
      </c>
      <c r="LH51">
        <v>0</v>
      </c>
      <c r="LI51">
        <v>0</v>
      </c>
      <c r="LJ51">
        <v>0</v>
      </c>
      <c r="LK51">
        <v>0</v>
      </c>
      <c r="LN51" t="s">
        <v>393</v>
      </c>
      <c r="LO51" t="s">
        <v>394</v>
      </c>
      <c r="LP51" t="s">
        <v>395</v>
      </c>
      <c r="LQ51">
        <v>0.23250000000000001</v>
      </c>
      <c r="LR51">
        <v>15.736800000000001</v>
      </c>
      <c r="LS51">
        <v>11.127599999999999</v>
      </c>
      <c r="LT51">
        <v>4580</v>
      </c>
      <c r="LU51">
        <v>1065</v>
      </c>
      <c r="LV51">
        <v>75.956699999999998</v>
      </c>
      <c r="LW51">
        <v>0.86180000000000001</v>
      </c>
      <c r="LX51">
        <v>0.47289999999999999</v>
      </c>
      <c r="LY51">
        <v>0.47289999999999999</v>
      </c>
      <c r="LZ51">
        <v>0.47289999999999999</v>
      </c>
      <c r="MA51">
        <v>0</v>
      </c>
      <c r="MB51">
        <v>2076</v>
      </c>
      <c r="MC51">
        <v>1</v>
      </c>
      <c r="MD51" t="s">
        <v>396</v>
      </c>
      <c r="ME51" t="s">
        <v>397</v>
      </c>
    </row>
    <row r="52" spans="1:343" ht="16.95" customHeight="1" x14ac:dyDescent="0.3">
      <c r="A52" t="s">
        <v>1681</v>
      </c>
      <c r="B52" t="s">
        <v>1682</v>
      </c>
      <c r="C52" t="s">
        <v>345</v>
      </c>
      <c r="D52" t="s">
        <v>346</v>
      </c>
      <c r="E52" t="s">
        <v>347</v>
      </c>
      <c r="F52" t="s">
        <v>1683</v>
      </c>
      <c r="G52" t="s">
        <v>1684</v>
      </c>
      <c r="H52" t="s">
        <v>1685</v>
      </c>
      <c r="I52" t="s">
        <v>351</v>
      </c>
      <c r="J52">
        <v>962</v>
      </c>
      <c r="K52">
        <v>466</v>
      </c>
      <c r="L52">
        <v>0.4844</v>
      </c>
      <c r="M52">
        <v>53</v>
      </c>
      <c r="N52">
        <v>3</v>
      </c>
      <c r="O52">
        <v>1</v>
      </c>
      <c r="P52">
        <v>18.2</v>
      </c>
      <c r="Q52">
        <v>17.7</v>
      </c>
      <c r="R52">
        <v>21.6</v>
      </c>
      <c r="S52">
        <v>7.4</v>
      </c>
      <c r="T52">
        <v>8.1999999999999993</v>
      </c>
      <c r="U52">
        <v>2</v>
      </c>
      <c r="V52">
        <v>5.3</v>
      </c>
      <c r="W52">
        <v>4</v>
      </c>
      <c r="X52">
        <v>4.4000000000000004</v>
      </c>
      <c r="Y52">
        <v>3</v>
      </c>
      <c r="Z52">
        <v>4</v>
      </c>
      <c r="AA52">
        <v>0.75</v>
      </c>
      <c r="AB52" t="s">
        <v>493</v>
      </c>
      <c r="AC52" t="b">
        <v>0</v>
      </c>
      <c r="AD52" t="s">
        <v>353</v>
      </c>
      <c r="AE52">
        <v>0.46829999999999999</v>
      </c>
      <c r="AF52" t="s">
        <v>354</v>
      </c>
      <c r="AG52">
        <v>0.16220000000000001</v>
      </c>
      <c r="AH52">
        <v>4.0599999999999997E-2</v>
      </c>
      <c r="AI52">
        <v>0.80379999999999996</v>
      </c>
      <c r="AJ52" t="s">
        <v>355</v>
      </c>
      <c r="AK52">
        <v>4.13</v>
      </c>
      <c r="AL52">
        <v>10</v>
      </c>
      <c r="AM52" t="s">
        <v>356</v>
      </c>
      <c r="AN52">
        <v>0</v>
      </c>
      <c r="AO52">
        <v>0</v>
      </c>
      <c r="AP52">
        <v>16</v>
      </c>
      <c r="AQ52">
        <v>16.63</v>
      </c>
      <c r="AR52">
        <v>16</v>
      </c>
      <c r="AS52">
        <v>0</v>
      </c>
      <c r="AT52" t="s">
        <v>357</v>
      </c>
      <c r="AU52">
        <v>35.799999999999997</v>
      </c>
      <c r="AV52">
        <v>19</v>
      </c>
      <c r="AW52" t="s">
        <v>356</v>
      </c>
      <c r="AX52">
        <v>12</v>
      </c>
      <c r="AY52">
        <v>12.47</v>
      </c>
      <c r="AZ52">
        <v>0</v>
      </c>
      <c r="BA52">
        <v>12</v>
      </c>
      <c r="BB52">
        <v>0</v>
      </c>
      <c r="BC52">
        <v>0</v>
      </c>
      <c r="BD52">
        <v>0</v>
      </c>
      <c r="BE52">
        <v>12</v>
      </c>
      <c r="BF52">
        <v>0</v>
      </c>
      <c r="BG52">
        <v>12</v>
      </c>
      <c r="BH52">
        <v>2</v>
      </c>
      <c r="BI52">
        <v>0</v>
      </c>
      <c r="BJ52" t="b">
        <v>0</v>
      </c>
      <c r="BK52" t="b">
        <v>0</v>
      </c>
      <c r="BL52">
        <v>3</v>
      </c>
      <c r="BM52">
        <v>3</v>
      </c>
      <c r="BN52">
        <v>2</v>
      </c>
      <c r="BO52">
        <v>1</v>
      </c>
      <c r="BP52">
        <v>0</v>
      </c>
      <c r="BQ52">
        <v>1</v>
      </c>
      <c r="BR52">
        <v>0</v>
      </c>
      <c r="BS52">
        <v>962</v>
      </c>
      <c r="BT52">
        <v>466</v>
      </c>
      <c r="BU52">
        <v>0.4844</v>
      </c>
      <c r="BV52">
        <v>3</v>
      </c>
      <c r="BW52">
        <v>1</v>
      </c>
      <c r="BX52">
        <v>320.7</v>
      </c>
      <c r="BZ52" t="s">
        <v>1686</v>
      </c>
      <c r="CA52" t="s">
        <v>1687</v>
      </c>
      <c r="CB52" t="s">
        <v>1688</v>
      </c>
      <c r="CC52" t="s">
        <v>1689</v>
      </c>
      <c r="CD52">
        <v>0</v>
      </c>
      <c r="CE52">
        <v>0</v>
      </c>
      <c r="CF52">
        <v>0</v>
      </c>
      <c r="CG52">
        <v>0</v>
      </c>
      <c r="CH52">
        <v>1</v>
      </c>
      <c r="CI52" t="s">
        <v>362</v>
      </c>
      <c r="CJ52">
        <v>3</v>
      </c>
      <c r="CK52">
        <v>3.12</v>
      </c>
      <c r="CL52" t="s">
        <v>407</v>
      </c>
      <c r="CM52">
        <v>1</v>
      </c>
      <c r="CN52">
        <v>0</v>
      </c>
      <c r="CO52" t="b">
        <v>0</v>
      </c>
      <c r="CP52" t="b">
        <v>0</v>
      </c>
      <c r="CQ52" t="b">
        <v>1</v>
      </c>
      <c r="CR52" t="b">
        <v>1</v>
      </c>
      <c r="CS52" t="b">
        <v>0</v>
      </c>
      <c r="CT52" t="b">
        <v>0</v>
      </c>
      <c r="CU52" t="b">
        <v>0</v>
      </c>
      <c r="CV52">
        <v>0</v>
      </c>
      <c r="CW52">
        <v>0</v>
      </c>
      <c r="CX52">
        <v>0</v>
      </c>
      <c r="CY52">
        <v>0</v>
      </c>
      <c r="CZ52">
        <v>0</v>
      </c>
      <c r="DA52">
        <v>16</v>
      </c>
      <c r="DB52">
        <v>16.61</v>
      </c>
      <c r="DC52">
        <v>16</v>
      </c>
      <c r="DD52">
        <v>0</v>
      </c>
      <c r="DE52">
        <v>0</v>
      </c>
      <c r="DF52">
        <v>0</v>
      </c>
      <c r="DG52">
        <v>0</v>
      </c>
      <c r="DH52">
        <v>4</v>
      </c>
      <c r="DI52">
        <v>4.1500000000000004</v>
      </c>
      <c r="DJ52">
        <v>0</v>
      </c>
      <c r="DK52">
        <v>0</v>
      </c>
      <c r="DL52">
        <v>0</v>
      </c>
      <c r="DM52">
        <v>0</v>
      </c>
      <c r="DN52">
        <v>0</v>
      </c>
      <c r="DO52">
        <v>79</v>
      </c>
      <c r="DP52">
        <v>13</v>
      </c>
      <c r="DQ52">
        <v>13.5</v>
      </c>
      <c r="DR52" t="s">
        <v>1690</v>
      </c>
      <c r="DS52" t="s">
        <v>1691</v>
      </c>
      <c r="DT52" t="s">
        <v>1692</v>
      </c>
      <c r="DU52" t="s">
        <v>1693</v>
      </c>
      <c r="DV52" t="s">
        <v>365</v>
      </c>
      <c r="DW52">
        <v>1.43</v>
      </c>
      <c r="DX52">
        <v>0</v>
      </c>
      <c r="DY52">
        <v>2</v>
      </c>
      <c r="DZ52">
        <v>5</v>
      </c>
      <c r="EA52">
        <v>0</v>
      </c>
      <c r="EB52">
        <v>8.43</v>
      </c>
      <c r="EC52" t="s">
        <v>369</v>
      </c>
      <c r="ED52" t="s">
        <v>413</v>
      </c>
      <c r="EE52">
        <v>8.52</v>
      </c>
      <c r="EF52" t="s">
        <v>356</v>
      </c>
      <c r="EG52">
        <v>0.93</v>
      </c>
      <c r="EH52">
        <v>3.22</v>
      </c>
      <c r="EI52">
        <v>0.28999999999999998</v>
      </c>
      <c r="EJ52" t="s">
        <v>370</v>
      </c>
      <c r="EK52">
        <v>3.32</v>
      </c>
      <c r="EL52" t="s">
        <v>1694</v>
      </c>
      <c r="EM52" t="s">
        <v>1695</v>
      </c>
      <c r="EN52">
        <v>2.5299999999999998</v>
      </c>
      <c r="EO52" t="s">
        <v>474</v>
      </c>
      <c r="EP52">
        <v>0</v>
      </c>
      <c r="EQ52">
        <v>0</v>
      </c>
      <c r="ER52">
        <v>71.599999999999994</v>
      </c>
      <c r="ES52" t="s">
        <v>475</v>
      </c>
      <c r="ET52">
        <v>0.69</v>
      </c>
      <c r="EU52">
        <v>4.8499999999999996</v>
      </c>
      <c r="EV52">
        <v>3.46</v>
      </c>
      <c r="EW52">
        <v>0.69</v>
      </c>
      <c r="EX52">
        <v>0.69</v>
      </c>
      <c r="EY52">
        <v>2.08</v>
      </c>
      <c r="EZ52">
        <v>0.69</v>
      </c>
      <c r="FA52">
        <v>1.04</v>
      </c>
      <c r="FB52">
        <v>3.81</v>
      </c>
      <c r="FC52">
        <v>7.27</v>
      </c>
      <c r="FD52" t="s">
        <v>375</v>
      </c>
      <c r="FE52">
        <v>113</v>
      </c>
      <c r="FF52" t="s">
        <v>1696</v>
      </c>
      <c r="FG52" t="s">
        <v>1697</v>
      </c>
      <c r="FH52" t="s">
        <v>1698</v>
      </c>
      <c r="FI52" t="s">
        <v>1699</v>
      </c>
      <c r="FJ52" t="s">
        <v>1700</v>
      </c>
      <c r="FK52" t="s">
        <v>1701</v>
      </c>
      <c r="FL52" t="s">
        <v>1702</v>
      </c>
      <c r="FM52">
        <v>0</v>
      </c>
      <c r="FN52">
        <v>0.57509999999999994</v>
      </c>
      <c r="FO52">
        <v>0.77500000000000002</v>
      </c>
      <c r="FP52">
        <v>0.65900000000000003</v>
      </c>
      <c r="FQ52">
        <v>0.58930000000000005</v>
      </c>
      <c r="FR52">
        <v>1.7899999999999999E-2</v>
      </c>
      <c r="FS52">
        <v>0</v>
      </c>
      <c r="FT52">
        <v>0</v>
      </c>
      <c r="FU52">
        <v>7.1999999999999998E-3</v>
      </c>
      <c r="FV52">
        <v>0.1429</v>
      </c>
      <c r="FW52">
        <v>0</v>
      </c>
      <c r="FX52">
        <v>9.0999999999999998E-2</v>
      </c>
      <c r="FY52">
        <v>0.27050000000000002</v>
      </c>
      <c r="FZ52">
        <v>1.52E-2</v>
      </c>
      <c r="GA52">
        <v>56</v>
      </c>
      <c r="GB52">
        <v>1</v>
      </c>
      <c r="GC52">
        <v>1</v>
      </c>
      <c r="GD52">
        <v>27</v>
      </c>
      <c r="GE52">
        <v>1</v>
      </c>
      <c r="GF52">
        <v>6</v>
      </c>
      <c r="GG52">
        <v>0</v>
      </c>
      <c r="GH52">
        <v>0</v>
      </c>
      <c r="GI52">
        <v>0</v>
      </c>
      <c r="GJ52">
        <v>1</v>
      </c>
      <c r="GK52">
        <v>0</v>
      </c>
      <c r="GL52">
        <v>0</v>
      </c>
      <c r="GM52">
        <v>0</v>
      </c>
      <c r="GN52">
        <v>0</v>
      </c>
      <c r="GO52">
        <v>0</v>
      </c>
      <c r="GP52">
        <v>0</v>
      </c>
      <c r="GQ52">
        <v>0</v>
      </c>
      <c r="GR52">
        <v>0</v>
      </c>
      <c r="GS52">
        <v>0.27300000000000002</v>
      </c>
      <c r="GT52">
        <v>0</v>
      </c>
      <c r="GU52">
        <v>0</v>
      </c>
      <c r="GV52">
        <v>0.13650000000000001</v>
      </c>
      <c r="GW52">
        <v>0</v>
      </c>
      <c r="GX52">
        <v>0</v>
      </c>
      <c r="GY52">
        <v>0</v>
      </c>
      <c r="GZ52">
        <v>0</v>
      </c>
      <c r="HA52">
        <v>0</v>
      </c>
      <c r="HB52">
        <v>0</v>
      </c>
      <c r="HC52" t="s">
        <v>383</v>
      </c>
      <c r="HD52">
        <v>0</v>
      </c>
      <c r="HE52">
        <v>0</v>
      </c>
      <c r="HF52">
        <v>0</v>
      </c>
      <c r="HG52">
        <v>0</v>
      </c>
      <c r="HH52">
        <v>0</v>
      </c>
      <c r="HI52" t="s">
        <v>383</v>
      </c>
      <c r="HJ52">
        <v>0</v>
      </c>
      <c r="HK52">
        <v>0</v>
      </c>
      <c r="HL52">
        <v>0</v>
      </c>
      <c r="HM52">
        <v>0</v>
      </c>
      <c r="HN52">
        <v>0</v>
      </c>
      <c r="HO52" t="s">
        <v>383</v>
      </c>
      <c r="HP52">
        <v>0</v>
      </c>
      <c r="HQ52">
        <v>0</v>
      </c>
      <c r="HR52">
        <v>0</v>
      </c>
      <c r="HS52">
        <v>0</v>
      </c>
      <c r="HT52">
        <v>0</v>
      </c>
      <c r="HU52" t="s">
        <v>383</v>
      </c>
      <c r="HV52">
        <v>0</v>
      </c>
      <c r="HW52">
        <v>0</v>
      </c>
      <c r="HX52">
        <v>0</v>
      </c>
      <c r="HY52">
        <v>0</v>
      </c>
      <c r="HZ52">
        <v>0</v>
      </c>
      <c r="IA52" t="s">
        <v>384</v>
      </c>
      <c r="IB52">
        <v>0</v>
      </c>
      <c r="IC52">
        <v>0</v>
      </c>
      <c r="ID52">
        <v>0</v>
      </c>
      <c r="IE52">
        <v>0</v>
      </c>
      <c r="IF52">
        <v>0</v>
      </c>
      <c r="IG52" t="s">
        <v>384</v>
      </c>
      <c r="IH52">
        <v>0</v>
      </c>
      <c r="II52">
        <v>0</v>
      </c>
      <c r="IJ52">
        <v>0</v>
      </c>
      <c r="IK52">
        <v>0</v>
      </c>
      <c r="IL52">
        <v>0</v>
      </c>
      <c r="IM52" t="s">
        <v>384</v>
      </c>
      <c r="IN52">
        <v>0</v>
      </c>
      <c r="IO52">
        <v>0</v>
      </c>
      <c r="IP52">
        <v>0</v>
      </c>
      <c r="IQ52">
        <v>0</v>
      </c>
      <c r="IR52">
        <v>0</v>
      </c>
      <c r="IS52" t="s">
        <v>384</v>
      </c>
      <c r="IT52">
        <v>0</v>
      </c>
      <c r="IU52">
        <v>0</v>
      </c>
      <c r="IV52">
        <v>0</v>
      </c>
      <c r="IW52">
        <v>0</v>
      </c>
      <c r="IX52">
        <v>0</v>
      </c>
      <c r="IY52">
        <v>0</v>
      </c>
      <c r="IZ52">
        <v>0</v>
      </c>
      <c r="JA52">
        <v>0</v>
      </c>
      <c r="JD52" t="s">
        <v>568</v>
      </c>
      <c r="JE52" t="s">
        <v>484</v>
      </c>
      <c r="JF52" t="s">
        <v>1703</v>
      </c>
      <c r="JG52" t="s">
        <v>1704</v>
      </c>
      <c r="JH52" t="s">
        <v>1705</v>
      </c>
      <c r="JI52" t="s">
        <v>1706</v>
      </c>
      <c r="JJ52">
        <v>0.43330000000000002</v>
      </c>
      <c r="JK52">
        <v>0</v>
      </c>
      <c r="JL52" t="s">
        <v>391</v>
      </c>
      <c r="JM52">
        <v>0</v>
      </c>
      <c r="JN52">
        <v>0</v>
      </c>
      <c r="JO52">
        <v>0</v>
      </c>
      <c r="JP52">
        <v>0</v>
      </c>
      <c r="JQ52">
        <v>0</v>
      </c>
      <c r="JR52">
        <v>0</v>
      </c>
      <c r="JS52">
        <v>0</v>
      </c>
      <c r="JT52">
        <v>0</v>
      </c>
      <c r="JU52">
        <v>0</v>
      </c>
      <c r="JV52">
        <v>0</v>
      </c>
      <c r="JX52" t="s">
        <v>392</v>
      </c>
      <c r="JY52">
        <v>0</v>
      </c>
      <c r="JZ52">
        <v>0</v>
      </c>
      <c r="KA52">
        <v>1</v>
      </c>
      <c r="KB52">
        <v>0</v>
      </c>
      <c r="KC52">
        <v>0</v>
      </c>
      <c r="KD52">
        <v>1</v>
      </c>
      <c r="KE52">
        <v>0</v>
      </c>
      <c r="KF52">
        <v>0</v>
      </c>
      <c r="KG52">
        <v>1</v>
      </c>
      <c r="KH52">
        <v>0</v>
      </c>
      <c r="KI52">
        <v>0</v>
      </c>
      <c r="KJ52">
        <v>1</v>
      </c>
      <c r="KK52">
        <v>0</v>
      </c>
      <c r="KL52">
        <v>0</v>
      </c>
      <c r="KM52">
        <v>1</v>
      </c>
      <c r="KN52">
        <v>0</v>
      </c>
      <c r="KO52">
        <v>0</v>
      </c>
      <c r="KP52">
        <v>1</v>
      </c>
      <c r="KQ52">
        <v>0</v>
      </c>
      <c r="KR52">
        <v>0</v>
      </c>
      <c r="KS52">
        <v>1</v>
      </c>
      <c r="KT52">
        <v>0</v>
      </c>
      <c r="KU52">
        <v>0</v>
      </c>
      <c r="KV52">
        <v>1</v>
      </c>
      <c r="KW52">
        <v>0</v>
      </c>
      <c r="KX52">
        <v>0</v>
      </c>
      <c r="KY52">
        <v>1</v>
      </c>
      <c r="KZ52">
        <v>0</v>
      </c>
      <c r="LA52">
        <v>0</v>
      </c>
      <c r="LB52">
        <v>0</v>
      </c>
      <c r="LC52">
        <v>0</v>
      </c>
      <c r="LD52">
        <v>0</v>
      </c>
      <c r="LE52">
        <v>0</v>
      </c>
      <c r="LF52">
        <v>0</v>
      </c>
      <c r="LG52">
        <v>0</v>
      </c>
      <c r="LH52">
        <v>0</v>
      </c>
      <c r="LI52">
        <v>0</v>
      </c>
      <c r="LJ52">
        <v>0</v>
      </c>
      <c r="LK52">
        <v>0</v>
      </c>
      <c r="LN52" t="s">
        <v>393</v>
      </c>
      <c r="LO52" t="s">
        <v>394</v>
      </c>
      <c r="LP52" t="s">
        <v>395</v>
      </c>
      <c r="LQ52">
        <v>0.47860000000000003</v>
      </c>
      <c r="LR52">
        <v>14.2621</v>
      </c>
      <c r="LS52">
        <v>10.0848</v>
      </c>
      <c r="LT52">
        <v>888</v>
      </c>
      <c r="LU52">
        <v>425</v>
      </c>
      <c r="LV52">
        <v>111.1808</v>
      </c>
      <c r="LW52">
        <v>0.89329999999999998</v>
      </c>
      <c r="LX52">
        <v>0.60929999999999995</v>
      </c>
      <c r="LY52">
        <v>0.60929999999999995</v>
      </c>
      <c r="LZ52">
        <v>0.60929999999999995</v>
      </c>
      <c r="MA52">
        <v>0</v>
      </c>
      <c r="MB52">
        <v>535</v>
      </c>
      <c r="MC52">
        <v>1</v>
      </c>
      <c r="MD52" t="s">
        <v>396</v>
      </c>
      <c r="ME52" t="s">
        <v>517</v>
      </c>
    </row>
    <row r="53" spans="1:343" ht="16.95" customHeight="1" x14ac:dyDescent="0.3">
      <c r="A53" t="s">
        <v>1707</v>
      </c>
      <c r="B53" t="s">
        <v>1708</v>
      </c>
      <c r="C53" t="s">
        <v>345</v>
      </c>
      <c r="D53" t="s">
        <v>346</v>
      </c>
      <c r="E53" t="s">
        <v>347</v>
      </c>
      <c r="F53" t="s">
        <v>1709</v>
      </c>
      <c r="G53" t="s">
        <v>1710</v>
      </c>
      <c r="H53" t="s">
        <v>1711</v>
      </c>
      <c r="I53" t="s">
        <v>351</v>
      </c>
      <c r="J53">
        <v>1035</v>
      </c>
      <c r="K53">
        <v>514</v>
      </c>
      <c r="L53">
        <v>0.49659999999999999</v>
      </c>
      <c r="M53">
        <v>68</v>
      </c>
      <c r="N53">
        <v>3</v>
      </c>
      <c r="O53">
        <v>1</v>
      </c>
      <c r="P53">
        <v>15.2</v>
      </c>
      <c r="Q53">
        <v>22.7</v>
      </c>
      <c r="R53">
        <v>21</v>
      </c>
      <c r="S53">
        <v>9.1999999999999993</v>
      </c>
      <c r="T53">
        <v>7.1</v>
      </c>
      <c r="U53">
        <v>2</v>
      </c>
      <c r="V53">
        <v>5.6</v>
      </c>
      <c r="W53">
        <v>3</v>
      </c>
      <c r="X53">
        <v>2.5</v>
      </c>
      <c r="Y53">
        <v>12</v>
      </c>
      <c r="Z53">
        <v>2</v>
      </c>
      <c r="AA53">
        <v>6</v>
      </c>
      <c r="AB53" t="s">
        <v>493</v>
      </c>
      <c r="AC53" t="b">
        <v>0</v>
      </c>
      <c r="AD53" t="s">
        <v>353</v>
      </c>
      <c r="AE53">
        <v>0.47099999999999997</v>
      </c>
      <c r="AF53" t="s">
        <v>354</v>
      </c>
      <c r="AG53">
        <v>0.22320000000000001</v>
      </c>
      <c r="AH53">
        <v>2.23E-2</v>
      </c>
      <c r="AI53">
        <v>0.75949999999999995</v>
      </c>
      <c r="AJ53" t="s">
        <v>355</v>
      </c>
      <c r="AK53">
        <v>3.6</v>
      </c>
      <c r="AL53">
        <v>9</v>
      </c>
      <c r="AM53" t="s">
        <v>354</v>
      </c>
      <c r="AN53">
        <v>0</v>
      </c>
      <c r="AO53">
        <v>0</v>
      </c>
      <c r="AP53">
        <v>6</v>
      </c>
      <c r="AQ53">
        <v>5.8</v>
      </c>
      <c r="AR53">
        <v>6</v>
      </c>
      <c r="AS53">
        <v>0</v>
      </c>
      <c r="AT53" t="s">
        <v>357</v>
      </c>
      <c r="AU53">
        <v>23.5</v>
      </c>
      <c r="AV53">
        <v>16</v>
      </c>
      <c r="AW53" t="s">
        <v>354</v>
      </c>
      <c r="AX53">
        <v>13</v>
      </c>
      <c r="AY53">
        <v>12.56</v>
      </c>
      <c r="AZ53">
        <v>0</v>
      </c>
      <c r="BA53">
        <v>12</v>
      </c>
      <c r="BB53">
        <v>1</v>
      </c>
      <c r="BC53">
        <v>0</v>
      </c>
      <c r="BD53">
        <v>0</v>
      </c>
      <c r="BE53">
        <v>13</v>
      </c>
      <c r="BF53">
        <v>0</v>
      </c>
      <c r="BG53">
        <v>13</v>
      </c>
      <c r="BH53">
        <v>0</v>
      </c>
      <c r="BI53">
        <v>0</v>
      </c>
      <c r="BJ53" t="b">
        <v>0</v>
      </c>
      <c r="BK53" t="b">
        <v>0</v>
      </c>
      <c r="BL53">
        <v>3</v>
      </c>
      <c r="BM53">
        <v>3</v>
      </c>
      <c r="BN53">
        <v>2</v>
      </c>
      <c r="BO53">
        <v>1</v>
      </c>
      <c r="BP53">
        <v>0</v>
      </c>
      <c r="BQ53">
        <v>1</v>
      </c>
      <c r="BR53">
        <v>0</v>
      </c>
      <c r="BS53">
        <v>1035</v>
      </c>
      <c r="BT53">
        <v>514</v>
      </c>
      <c r="BU53">
        <v>0.49659999999999999</v>
      </c>
      <c r="BV53">
        <v>3</v>
      </c>
      <c r="BW53">
        <v>1</v>
      </c>
      <c r="BX53">
        <v>345</v>
      </c>
      <c r="BZ53" t="s">
        <v>1712</v>
      </c>
      <c r="CA53" t="s">
        <v>1713</v>
      </c>
      <c r="CB53" t="s">
        <v>1714</v>
      </c>
      <c r="CC53" t="s">
        <v>1715</v>
      </c>
      <c r="CD53">
        <v>0</v>
      </c>
      <c r="CE53">
        <v>0</v>
      </c>
      <c r="CF53">
        <v>0</v>
      </c>
      <c r="CG53">
        <v>0</v>
      </c>
      <c r="CH53">
        <v>0</v>
      </c>
      <c r="CJ53">
        <v>2</v>
      </c>
      <c r="CK53">
        <v>1.93</v>
      </c>
      <c r="CL53" t="s">
        <v>407</v>
      </c>
      <c r="CM53">
        <v>1</v>
      </c>
      <c r="CN53">
        <v>0</v>
      </c>
      <c r="CO53" t="b">
        <v>0</v>
      </c>
      <c r="CP53" t="b">
        <v>0</v>
      </c>
      <c r="CQ53" t="b">
        <v>1</v>
      </c>
      <c r="CR53" t="b">
        <v>0</v>
      </c>
      <c r="CS53" t="b">
        <v>0</v>
      </c>
      <c r="CT53" t="b">
        <v>1</v>
      </c>
      <c r="CU53" t="b">
        <v>0</v>
      </c>
      <c r="CV53">
        <v>0</v>
      </c>
      <c r="CW53">
        <v>0</v>
      </c>
      <c r="CX53">
        <v>0</v>
      </c>
      <c r="CY53">
        <v>0</v>
      </c>
      <c r="CZ53">
        <v>0</v>
      </c>
      <c r="DA53">
        <v>6</v>
      </c>
      <c r="DB53">
        <v>5.79</v>
      </c>
      <c r="DC53">
        <v>6</v>
      </c>
      <c r="DD53">
        <v>0</v>
      </c>
      <c r="DE53">
        <v>0</v>
      </c>
      <c r="DF53">
        <v>4</v>
      </c>
      <c r="DG53">
        <v>3.86</v>
      </c>
      <c r="DH53">
        <v>9</v>
      </c>
      <c r="DI53">
        <v>8.69</v>
      </c>
      <c r="DJ53">
        <v>0.44</v>
      </c>
      <c r="DK53">
        <v>0</v>
      </c>
      <c r="DL53">
        <v>0</v>
      </c>
      <c r="DM53">
        <v>0</v>
      </c>
      <c r="DN53">
        <v>1</v>
      </c>
      <c r="DO53">
        <v>53</v>
      </c>
      <c r="DP53">
        <v>2</v>
      </c>
      <c r="DQ53">
        <v>1.93</v>
      </c>
      <c r="DR53" t="s">
        <v>1716</v>
      </c>
      <c r="DS53" t="s">
        <v>1717</v>
      </c>
      <c r="DT53" t="s">
        <v>1718</v>
      </c>
      <c r="DU53" t="s">
        <v>1717</v>
      </c>
      <c r="DV53" t="s">
        <v>1719</v>
      </c>
      <c r="DW53">
        <v>1.43</v>
      </c>
      <c r="DX53">
        <v>0</v>
      </c>
      <c r="DY53">
        <v>2</v>
      </c>
      <c r="DZ53">
        <v>5</v>
      </c>
      <c r="EA53">
        <v>0</v>
      </c>
      <c r="EB53">
        <v>8.43</v>
      </c>
      <c r="EC53" t="s">
        <v>369</v>
      </c>
      <c r="ED53" t="s">
        <v>413</v>
      </c>
      <c r="EE53">
        <v>6.95</v>
      </c>
      <c r="EF53" t="s">
        <v>559</v>
      </c>
      <c r="EG53">
        <v>0.68</v>
      </c>
      <c r="EH53">
        <v>1.64</v>
      </c>
      <c r="EI53">
        <v>0.41199999999999998</v>
      </c>
      <c r="EJ53" t="s">
        <v>370</v>
      </c>
      <c r="EK53">
        <v>3.86</v>
      </c>
      <c r="EL53" t="s">
        <v>472</v>
      </c>
      <c r="EM53" t="s">
        <v>1720</v>
      </c>
      <c r="EN53">
        <v>2.64</v>
      </c>
      <c r="EO53" t="s">
        <v>474</v>
      </c>
      <c r="EP53">
        <v>0</v>
      </c>
      <c r="EQ53">
        <v>1</v>
      </c>
      <c r="ER53">
        <v>49.8</v>
      </c>
      <c r="ES53" t="s">
        <v>374</v>
      </c>
      <c r="ET53">
        <v>0.64</v>
      </c>
      <c r="EU53">
        <v>4.83</v>
      </c>
      <c r="EV53">
        <v>4.5</v>
      </c>
      <c r="EW53">
        <v>1.61</v>
      </c>
      <c r="EX53">
        <v>0.97</v>
      </c>
      <c r="EY53">
        <v>2.25</v>
      </c>
      <c r="EZ53">
        <v>1.61</v>
      </c>
      <c r="FA53">
        <v>0</v>
      </c>
      <c r="FB53">
        <v>4.18</v>
      </c>
      <c r="FC53">
        <v>5.79</v>
      </c>
      <c r="FD53" t="s">
        <v>375</v>
      </c>
      <c r="FE53">
        <v>69</v>
      </c>
      <c r="FF53" t="s">
        <v>1721</v>
      </c>
      <c r="FG53" t="s">
        <v>1722</v>
      </c>
      <c r="FH53" t="s">
        <v>615</v>
      </c>
      <c r="FI53" t="s">
        <v>1723</v>
      </c>
      <c r="FJ53" t="s">
        <v>1724</v>
      </c>
      <c r="FK53" t="s">
        <v>1725</v>
      </c>
      <c r="FL53" t="s">
        <v>1726</v>
      </c>
      <c r="FM53">
        <v>0</v>
      </c>
      <c r="FN53">
        <v>0.46910000000000002</v>
      </c>
      <c r="FO53">
        <v>0.77500000000000002</v>
      </c>
      <c r="FP53">
        <v>0.59760000000000002</v>
      </c>
      <c r="FQ53">
        <v>0.2429</v>
      </c>
      <c r="FR53">
        <v>0</v>
      </c>
      <c r="FS53">
        <v>2.86E-2</v>
      </c>
      <c r="FT53">
        <v>0</v>
      </c>
      <c r="FU53">
        <v>1.89E-2</v>
      </c>
      <c r="FV53">
        <v>0.1371</v>
      </c>
      <c r="FW53">
        <v>3.1099999999999999E-2</v>
      </c>
      <c r="FX53">
        <v>4.1500000000000002E-2</v>
      </c>
      <c r="FY53">
        <v>0.2777</v>
      </c>
      <c r="FZ53">
        <v>0</v>
      </c>
      <c r="GA53">
        <v>70</v>
      </c>
      <c r="GB53">
        <v>1</v>
      </c>
      <c r="GC53">
        <v>1</v>
      </c>
      <c r="GD53">
        <v>35</v>
      </c>
      <c r="GE53">
        <v>0</v>
      </c>
      <c r="GF53">
        <v>20</v>
      </c>
      <c r="GG53">
        <v>3</v>
      </c>
      <c r="GH53">
        <v>1</v>
      </c>
      <c r="GI53">
        <v>0</v>
      </c>
      <c r="GJ53">
        <v>0</v>
      </c>
      <c r="GK53">
        <v>0.1245</v>
      </c>
      <c r="GL53">
        <v>0</v>
      </c>
      <c r="GM53">
        <v>0</v>
      </c>
      <c r="GN53">
        <v>0</v>
      </c>
      <c r="GO53">
        <v>0</v>
      </c>
      <c r="GP53">
        <v>0</v>
      </c>
      <c r="GQ53">
        <v>0</v>
      </c>
      <c r="GR53">
        <v>0</v>
      </c>
      <c r="GS53">
        <v>0.1245</v>
      </c>
      <c r="GT53">
        <v>0</v>
      </c>
      <c r="GU53">
        <v>0</v>
      </c>
      <c r="GV53">
        <v>0</v>
      </c>
      <c r="GW53">
        <v>0</v>
      </c>
      <c r="GX53">
        <v>0</v>
      </c>
      <c r="GY53">
        <v>0</v>
      </c>
      <c r="GZ53">
        <v>0</v>
      </c>
      <c r="HA53">
        <v>0</v>
      </c>
      <c r="HB53">
        <v>0</v>
      </c>
      <c r="HC53" t="s">
        <v>383</v>
      </c>
      <c r="HD53">
        <v>0</v>
      </c>
      <c r="HE53">
        <v>0</v>
      </c>
      <c r="HF53">
        <v>0</v>
      </c>
      <c r="HG53">
        <v>0</v>
      </c>
      <c r="HH53">
        <v>0</v>
      </c>
      <c r="HI53" t="s">
        <v>383</v>
      </c>
      <c r="HJ53">
        <v>0</v>
      </c>
      <c r="HK53">
        <v>0</v>
      </c>
      <c r="HL53">
        <v>0</v>
      </c>
      <c r="HM53">
        <v>0</v>
      </c>
      <c r="HN53">
        <v>0</v>
      </c>
      <c r="HO53" t="s">
        <v>383</v>
      </c>
      <c r="HP53">
        <v>0</v>
      </c>
      <c r="HQ53">
        <v>0</v>
      </c>
      <c r="HR53">
        <v>0</v>
      </c>
      <c r="HS53">
        <v>0</v>
      </c>
      <c r="HT53">
        <v>0</v>
      </c>
      <c r="HU53" t="s">
        <v>383</v>
      </c>
      <c r="HV53">
        <v>0</v>
      </c>
      <c r="HW53">
        <v>0</v>
      </c>
      <c r="HX53">
        <v>0</v>
      </c>
      <c r="HY53">
        <v>0</v>
      </c>
      <c r="HZ53">
        <v>0</v>
      </c>
      <c r="IA53" t="s">
        <v>384</v>
      </c>
      <c r="IB53">
        <v>0</v>
      </c>
      <c r="IC53">
        <v>0</v>
      </c>
      <c r="ID53">
        <v>0</v>
      </c>
      <c r="IE53">
        <v>0</v>
      </c>
      <c r="IF53">
        <v>0</v>
      </c>
      <c r="IG53" t="s">
        <v>384</v>
      </c>
      <c r="IH53">
        <v>0</v>
      </c>
      <c r="II53">
        <v>0</v>
      </c>
      <c r="IJ53">
        <v>0</v>
      </c>
      <c r="IK53">
        <v>0</v>
      </c>
      <c r="IL53">
        <v>0</v>
      </c>
      <c r="IM53" t="s">
        <v>384</v>
      </c>
      <c r="IN53">
        <v>0</v>
      </c>
      <c r="IO53">
        <v>0</v>
      </c>
      <c r="IP53">
        <v>0</v>
      </c>
      <c r="IQ53">
        <v>0</v>
      </c>
      <c r="IR53">
        <v>0</v>
      </c>
      <c r="IS53" t="s">
        <v>384</v>
      </c>
      <c r="IT53">
        <v>0</v>
      </c>
      <c r="IU53">
        <v>0</v>
      </c>
      <c r="IV53">
        <v>0</v>
      </c>
      <c r="IW53">
        <v>0</v>
      </c>
      <c r="IX53">
        <v>0</v>
      </c>
      <c r="IY53">
        <v>0</v>
      </c>
      <c r="IZ53">
        <v>0</v>
      </c>
      <c r="JA53">
        <v>0</v>
      </c>
      <c r="JD53" t="s">
        <v>620</v>
      </c>
      <c r="JE53" t="s">
        <v>1727</v>
      </c>
      <c r="JF53" t="s">
        <v>1728</v>
      </c>
      <c r="JG53" t="s">
        <v>1729</v>
      </c>
      <c r="JH53" t="s">
        <v>1730</v>
      </c>
      <c r="JI53" t="s">
        <v>1731</v>
      </c>
      <c r="JJ53">
        <v>0.55000000000000004</v>
      </c>
      <c r="JK53">
        <v>0</v>
      </c>
      <c r="JL53" t="s">
        <v>391</v>
      </c>
      <c r="JM53">
        <v>0</v>
      </c>
      <c r="JN53">
        <v>0</v>
      </c>
      <c r="JO53">
        <v>0</v>
      </c>
      <c r="JP53">
        <v>0</v>
      </c>
      <c r="JQ53">
        <v>0</v>
      </c>
      <c r="JR53">
        <v>0</v>
      </c>
      <c r="JS53">
        <v>0</v>
      </c>
      <c r="JT53">
        <v>0</v>
      </c>
      <c r="JU53">
        <v>0</v>
      </c>
      <c r="JV53">
        <v>0</v>
      </c>
      <c r="JX53" t="s">
        <v>392</v>
      </c>
      <c r="JY53">
        <v>0</v>
      </c>
      <c r="JZ53">
        <v>0</v>
      </c>
      <c r="KA53">
        <v>1</v>
      </c>
      <c r="KB53">
        <v>0</v>
      </c>
      <c r="KC53">
        <v>0</v>
      </c>
      <c r="KD53">
        <v>1</v>
      </c>
      <c r="KE53">
        <v>0</v>
      </c>
      <c r="KF53">
        <v>0</v>
      </c>
      <c r="KG53">
        <v>1</v>
      </c>
      <c r="KH53">
        <v>0</v>
      </c>
      <c r="KI53">
        <v>0</v>
      </c>
      <c r="KJ53">
        <v>1</v>
      </c>
      <c r="KK53">
        <v>0</v>
      </c>
      <c r="KL53">
        <v>0</v>
      </c>
      <c r="KM53">
        <v>1</v>
      </c>
      <c r="KN53">
        <v>0</v>
      </c>
      <c r="KO53">
        <v>0</v>
      </c>
      <c r="KP53">
        <v>1</v>
      </c>
      <c r="KQ53">
        <v>0</v>
      </c>
      <c r="KR53">
        <v>0</v>
      </c>
      <c r="KS53">
        <v>1</v>
      </c>
      <c r="KT53">
        <v>0</v>
      </c>
      <c r="KU53">
        <v>0</v>
      </c>
      <c r="KV53">
        <v>1</v>
      </c>
      <c r="KW53">
        <v>0</v>
      </c>
      <c r="KX53">
        <v>0</v>
      </c>
      <c r="KY53">
        <v>1</v>
      </c>
      <c r="KZ53">
        <v>0</v>
      </c>
      <c r="LA53">
        <v>0</v>
      </c>
      <c r="LB53">
        <v>0</v>
      </c>
      <c r="LC53">
        <v>0</v>
      </c>
      <c r="LD53">
        <v>0</v>
      </c>
      <c r="LE53">
        <v>0</v>
      </c>
      <c r="LF53">
        <v>0</v>
      </c>
      <c r="LG53">
        <v>0</v>
      </c>
      <c r="LH53">
        <v>0</v>
      </c>
      <c r="LI53">
        <v>0</v>
      </c>
      <c r="LJ53">
        <v>0</v>
      </c>
      <c r="LK53">
        <v>0</v>
      </c>
      <c r="LN53" t="s">
        <v>393</v>
      </c>
      <c r="LO53" t="s">
        <v>394</v>
      </c>
      <c r="LP53" t="s">
        <v>395</v>
      </c>
      <c r="LQ53">
        <v>0.4834</v>
      </c>
      <c r="LR53">
        <v>15.2323</v>
      </c>
      <c r="LS53">
        <v>10.770899999999999</v>
      </c>
      <c r="LT53">
        <v>993</v>
      </c>
      <c r="LU53">
        <v>480</v>
      </c>
      <c r="LV53">
        <v>124.3272</v>
      </c>
      <c r="LW53">
        <v>0.90910000000000002</v>
      </c>
      <c r="LX53">
        <v>0.57569999999999999</v>
      </c>
      <c r="LY53">
        <v>0.57569999999999999</v>
      </c>
      <c r="LZ53">
        <v>0.57569999999999999</v>
      </c>
      <c r="MA53">
        <v>0</v>
      </c>
      <c r="MB53">
        <v>563</v>
      </c>
      <c r="MC53">
        <v>1</v>
      </c>
      <c r="MD53" t="s">
        <v>396</v>
      </c>
      <c r="ME53" t="s">
        <v>517</v>
      </c>
    </row>
    <row r="54" spans="1:343" ht="16.95" customHeight="1" x14ac:dyDescent="0.3">
      <c r="A54" t="s">
        <v>1732</v>
      </c>
      <c r="B54" t="s">
        <v>1733</v>
      </c>
      <c r="C54" t="s">
        <v>345</v>
      </c>
      <c r="D54" t="s">
        <v>346</v>
      </c>
      <c r="E54" t="s">
        <v>347</v>
      </c>
      <c r="F54" t="s">
        <v>1734</v>
      </c>
      <c r="G54" t="s">
        <v>1735</v>
      </c>
      <c r="H54" t="s">
        <v>1736</v>
      </c>
      <c r="I54" t="s">
        <v>351</v>
      </c>
      <c r="J54">
        <v>1328</v>
      </c>
      <c r="K54">
        <v>483</v>
      </c>
      <c r="L54">
        <v>0.36370000000000002</v>
      </c>
      <c r="M54">
        <v>113</v>
      </c>
      <c r="N54">
        <v>3</v>
      </c>
      <c r="O54">
        <v>1</v>
      </c>
      <c r="P54">
        <v>11.8</v>
      </c>
      <c r="Q54">
        <v>37.700000000000003</v>
      </c>
      <c r="R54">
        <v>19.7</v>
      </c>
      <c r="S54">
        <v>9.3000000000000007</v>
      </c>
      <c r="T54">
        <v>6.1</v>
      </c>
      <c r="U54">
        <v>1.6</v>
      </c>
      <c r="V54">
        <v>6.3</v>
      </c>
      <c r="W54">
        <v>8</v>
      </c>
      <c r="X54">
        <v>5.2</v>
      </c>
      <c r="Y54">
        <v>12</v>
      </c>
      <c r="Z54">
        <v>5</v>
      </c>
      <c r="AA54">
        <v>2.4</v>
      </c>
      <c r="AB54" t="s">
        <v>352</v>
      </c>
      <c r="AC54" t="b">
        <v>0</v>
      </c>
      <c r="AD54" t="s">
        <v>353</v>
      </c>
      <c r="AE54">
        <v>0.43180000000000002</v>
      </c>
      <c r="AF54" t="s">
        <v>354</v>
      </c>
      <c r="AG54">
        <v>0.28239999999999998</v>
      </c>
      <c r="AH54">
        <v>5.1299999999999998E-2</v>
      </c>
      <c r="AI54">
        <v>0.68079999999999996</v>
      </c>
      <c r="AJ54" t="s">
        <v>355</v>
      </c>
      <c r="AK54">
        <v>4.37</v>
      </c>
      <c r="AL54">
        <v>9</v>
      </c>
      <c r="AM54" t="s">
        <v>356</v>
      </c>
      <c r="AN54">
        <v>1</v>
      </c>
      <c r="AO54">
        <v>0.75</v>
      </c>
      <c r="AP54">
        <v>13</v>
      </c>
      <c r="AQ54">
        <v>9.7899999999999991</v>
      </c>
      <c r="AR54">
        <v>13</v>
      </c>
      <c r="AS54">
        <v>1</v>
      </c>
      <c r="AT54" t="s">
        <v>357</v>
      </c>
      <c r="AU54">
        <v>13.3</v>
      </c>
      <c r="AV54">
        <v>15</v>
      </c>
      <c r="AW54" t="s">
        <v>354</v>
      </c>
      <c r="AX54">
        <v>16</v>
      </c>
      <c r="AY54">
        <v>12.05</v>
      </c>
      <c r="AZ54">
        <v>0</v>
      </c>
      <c r="BA54">
        <v>14</v>
      </c>
      <c r="BB54">
        <v>2</v>
      </c>
      <c r="BC54">
        <v>0</v>
      </c>
      <c r="BD54">
        <v>0</v>
      </c>
      <c r="BE54">
        <v>16</v>
      </c>
      <c r="BF54">
        <v>0</v>
      </c>
      <c r="BG54">
        <v>16</v>
      </c>
      <c r="BH54">
        <v>2</v>
      </c>
      <c r="BI54">
        <v>0</v>
      </c>
      <c r="BJ54" t="b">
        <v>0</v>
      </c>
      <c r="BK54" t="b">
        <v>0</v>
      </c>
      <c r="BL54">
        <v>2</v>
      </c>
      <c r="BM54">
        <v>1</v>
      </c>
      <c r="BN54">
        <v>1</v>
      </c>
      <c r="BO54">
        <v>0</v>
      </c>
      <c r="BP54">
        <v>0</v>
      </c>
      <c r="BQ54">
        <v>1</v>
      </c>
      <c r="BR54">
        <v>0</v>
      </c>
      <c r="BS54">
        <v>1328</v>
      </c>
      <c r="BT54">
        <v>483</v>
      </c>
      <c r="BU54">
        <v>0.36370000000000002</v>
      </c>
      <c r="BV54">
        <v>3</v>
      </c>
      <c r="BW54">
        <v>1</v>
      </c>
      <c r="BX54">
        <v>442.7</v>
      </c>
      <c r="BZ54" t="s">
        <v>1737</v>
      </c>
      <c r="CA54" t="s">
        <v>1738</v>
      </c>
      <c r="CB54" t="s">
        <v>1739</v>
      </c>
      <c r="CC54" t="s">
        <v>1740</v>
      </c>
      <c r="CD54">
        <v>0</v>
      </c>
      <c r="CE54">
        <v>0</v>
      </c>
      <c r="CF54">
        <v>0</v>
      </c>
      <c r="CG54">
        <v>0</v>
      </c>
      <c r="CH54">
        <v>1</v>
      </c>
      <c r="CI54" t="s">
        <v>362</v>
      </c>
      <c r="CJ54">
        <v>3</v>
      </c>
      <c r="CK54">
        <v>2.2599999999999998</v>
      </c>
      <c r="CL54" t="s">
        <v>407</v>
      </c>
      <c r="CM54">
        <v>1</v>
      </c>
      <c r="CN54">
        <v>0</v>
      </c>
      <c r="CO54" t="b">
        <v>0</v>
      </c>
      <c r="CP54" t="b">
        <v>0</v>
      </c>
      <c r="CQ54" t="b">
        <v>1</v>
      </c>
      <c r="CR54" t="b">
        <v>1</v>
      </c>
      <c r="CS54" t="b">
        <v>0</v>
      </c>
      <c r="CT54" t="b">
        <v>0</v>
      </c>
      <c r="CU54" t="b">
        <v>0</v>
      </c>
      <c r="CV54">
        <v>0</v>
      </c>
      <c r="CW54">
        <v>0</v>
      </c>
      <c r="CX54">
        <v>0</v>
      </c>
      <c r="CY54">
        <v>1</v>
      </c>
      <c r="CZ54">
        <v>0.75</v>
      </c>
      <c r="DA54">
        <v>13</v>
      </c>
      <c r="DB54">
        <v>9.7799999999999994</v>
      </c>
      <c r="DC54">
        <v>13</v>
      </c>
      <c r="DD54">
        <v>1</v>
      </c>
      <c r="DE54">
        <v>0.75</v>
      </c>
      <c r="DF54">
        <v>5</v>
      </c>
      <c r="DG54">
        <v>3.76</v>
      </c>
      <c r="DH54">
        <v>22</v>
      </c>
      <c r="DI54">
        <v>16.55</v>
      </c>
      <c r="DJ54">
        <v>0.23</v>
      </c>
      <c r="DK54">
        <v>0</v>
      </c>
      <c r="DL54">
        <v>0</v>
      </c>
      <c r="DM54">
        <v>0</v>
      </c>
      <c r="DN54">
        <v>0</v>
      </c>
      <c r="DO54">
        <v>58</v>
      </c>
      <c r="DP54">
        <v>16</v>
      </c>
      <c r="DQ54">
        <v>12.04</v>
      </c>
      <c r="DR54" t="s">
        <v>1741</v>
      </c>
      <c r="DS54" t="s">
        <v>1742</v>
      </c>
      <c r="DT54" t="s">
        <v>1743</v>
      </c>
      <c r="DU54" t="s">
        <v>1744</v>
      </c>
      <c r="DV54" t="s">
        <v>1745</v>
      </c>
      <c r="DW54">
        <v>1.43</v>
      </c>
      <c r="DX54">
        <v>0</v>
      </c>
      <c r="DY54">
        <v>2.17</v>
      </c>
      <c r="DZ54">
        <v>5</v>
      </c>
      <c r="EA54">
        <v>1</v>
      </c>
      <c r="EB54">
        <v>9.6</v>
      </c>
      <c r="EC54" t="s">
        <v>369</v>
      </c>
      <c r="ED54" t="s">
        <v>413</v>
      </c>
      <c r="EE54">
        <v>7.83</v>
      </c>
      <c r="EF54" t="s">
        <v>559</v>
      </c>
      <c r="EG54">
        <v>0.6</v>
      </c>
      <c r="EH54">
        <v>2.0299999999999998</v>
      </c>
      <c r="EI54">
        <v>0.29599999999999999</v>
      </c>
      <c r="EJ54" t="s">
        <v>370</v>
      </c>
      <c r="EK54">
        <v>3.16</v>
      </c>
      <c r="EL54" t="s">
        <v>472</v>
      </c>
      <c r="EM54" t="s">
        <v>1746</v>
      </c>
      <c r="EN54">
        <v>2.25</v>
      </c>
      <c r="EO54" t="s">
        <v>474</v>
      </c>
      <c r="EP54">
        <v>0</v>
      </c>
      <c r="EQ54">
        <v>1</v>
      </c>
      <c r="ER54">
        <v>68.2</v>
      </c>
      <c r="ES54" t="s">
        <v>475</v>
      </c>
      <c r="ET54">
        <v>0.5</v>
      </c>
      <c r="EU54">
        <v>4.01</v>
      </c>
      <c r="EV54">
        <v>3.26</v>
      </c>
      <c r="EW54">
        <v>2.0099999999999998</v>
      </c>
      <c r="EX54">
        <v>0.75</v>
      </c>
      <c r="EY54">
        <v>1.5</v>
      </c>
      <c r="EZ54">
        <v>1</v>
      </c>
      <c r="FA54">
        <v>1.25</v>
      </c>
      <c r="FB54">
        <v>1.5</v>
      </c>
      <c r="FC54">
        <v>6.77</v>
      </c>
      <c r="FD54" t="s">
        <v>375</v>
      </c>
      <c r="FE54">
        <v>77</v>
      </c>
      <c r="FF54" t="s">
        <v>1747</v>
      </c>
      <c r="FG54" t="s">
        <v>1748</v>
      </c>
      <c r="FH54" t="s">
        <v>1749</v>
      </c>
      <c r="FI54" t="s">
        <v>1750</v>
      </c>
      <c r="FJ54" t="s">
        <v>1751</v>
      </c>
      <c r="FK54" t="s">
        <v>1752</v>
      </c>
      <c r="FL54" t="s">
        <v>1753</v>
      </c>
      <c r="FM54">
        <v>0</v>
      </c>
      <c r="FN54">
        <v>0.4723</v>
      </c>
      <c r="FO54">
        <v>0.77500000000000002</v>
      </c>
      <c r="FP54">
        <v>0.59940000000000004</v>
      </c>
      <c r="FQ54">
        <v>0.27589999999999998</v>
      </c>
      <c r="FR54">
        <v>0</v>
      </c>
      <c r="FS54">
        <v>3.4500000000000003E-2</v>
      </c>
      <c r="FT54">
        <v>0</v>
      </c>
      <c r="FU54">
        <v>1.72E-2</v>
      </c>
      <c r="FV54">
        <v>0.13789999999999999</v>
      </c>
      <c r="FW54">
        <v>0</v>
      </c>
      <c r="FX54">
        <v>3.3500000000000002E-2</v>
      </c>
      <c r="FY54">
        <v>0.26119999999999999</v>
      </c>
      <c r="FZ54">
        <v>0</v>
      </c>
      <c r="GA54">
        <v>116</v>
      </c>
      <c r="GB54">
        <v>1</v>
      </c>
      <c r="GC54">
        <v>1</v>
      </c>
      <c r="GD54">
        <v>43</v>
      </c>
      <c r="GE54">
        <v>0</v>
      </c>
      <c r="GF54">
        <v>22</v>
      </c>
      <c r="GG54">
        <v>2</v>
      </c>
      <c r="GH54">
        <v>2</v>
      </c>
      <c r="GI54">
        <v>0</v>
      </c>
      <c r="GJ54">
        <v>0</v>
      </c>
      <c r="GK54">
        <v>0</v>
      </c>
      <c r="GL54">
        <v>0</v>
      </c>
      <c r="GM54">
        <v>0</v>
      </c>
      <c r="GN54">
        <v>0</v>
      </c>
      <c r="GO54">
        <v>0</v>
      </c>
      <c r="GP54">
        <v>0</v>
      </c>
      <c r="GQ54">
        <v>0</v>
      </c>
      <c r="GR54">
        <v>0</v>
      </c>
      <c r="GS54">
        <v>0.10059999999999999</v>
      </c>
      <c r="GT54">
        <v>0</v>
      </c>
      <c r="GU54">
        <v>0</v>
      </c>
      <c r="GV54">
        <v>0</v>
      </c>
      <c r="GW54">
        <v>0</v>
      </c>
      <c r="GX54">
        <v>0</v>
      </c>
      <c r="GY54">
        <v>0</v>
      </c>
      <c r="GZ54">
        <v>0</v>
      </c>
      <c r="HA54">
        <v>0</v>
      </c>
      <c r="HB54">
        <v>0</v>
      </c>
      <c r="HC54" t="s">
        <v>383</v>
      </c>
      <c r="HD54">
        <v>0</v>
      </c>
      <c r="HE54">
        <v>0</v>
      </c>
      <c r="HF54">
        <v>0</v>
      </c>
      <c r="HG54">
        <v>0</v>
      </c>
      <c r="HH54">
        <v>0</v>
      </c>
      <c r="HI54" t="s">
        <v>383</v>
      </c>
      <c r="HJ54">
        <v>0</v>
      </c>
      <c r="HK54">
        <v>0</v>
      </c>
      <c r="HL54">
        <v>0</v>
      </c>
      <c r="HM54">
        <v>0</v>
      </c>
      <c r="HN54">
        <v>0</v>
      </c>
      <c r="HO54" t="s">
        <v>383</v>
      </c>
      <c r="HP54">
        <v>0</v>
      </c>
      <c r="HQ54">
        <v>0</v>
      </c>
      <c r="HR54">
        <v>0</v>
      </c>
      <c r="HS54">
        <v>0</v>
      </c>
      <c r="HT54">
        <v>0</v>
      </c>
      <c r="HU54" t="s">
        <v>383</v>
      </c>
      <c r="HV54">
        <v>0</v>
      </c>
      <c r="HW54">
        <v>0</v>
      </c>
      <c r="HX54">
        <v>0</v>
      </c>
      <c r="HY54">
        <v>0</v>
      </c>
      <c r="HZ54">
        <v>0</v>
      </c>
      <c r="IA54" t="s">
        <v>384</v>
      </c>
      <c r="IB54">
        <v>0</v>
      </c>
      <c r="IC54">
        <v>0</v>
      </c>
      <c r="ID54">
        <v>0</v>
      </c>
      <c r="IE54">
        <v>0</v>
      </c>
      <c r="IF54">
        <v>0</v>
      </c>
      <c r="IG54" t="s">
        <v>384</v>
      </c>
      <c r="IH54">
        <v>0</v>
      </c>
      <c r="II54">
        <v>0</v>
      </c>
      <c r="IJ54">
        <v>0</v>
      </c>
      <c r="IK54">
        <v>0</v>
      </c>
      <c r="IL54">
        <v>0</v>
      </c>
      <c r="IM54" t="s">
        <v>384</v>
      </c>
      <c r="IN54">
        <v>0</v>
      </c>
      <c r="IO54">
        <v>0</v>
      </c>
      <c r="IP54">
        <v>0</v>
      </c>
      <c r="IQ54">
        <v>0</v>
      </c>
      <c r="IR54">
        <v>0</v>
      </c>
      <c r="IS54" t="s">
        <v>384</v>
      </c>
      <c r="IT54">
        <v>0</v>
      </c>
      <c r="IU54">
        <v>0</v>
      </c>
      <c r="IV54">
        <v>0</v>
      </c>
      <c r="IW54">
        <v>0</v>
      </c>
      <c r="IX54">
        <v>0</v>
      </c>
      <c r="IY54">
        <v>0</v>
      </c>
      <c r="IZ54">
        <v>0</v>
      </c>
      <c r="JA54">
        <v>0</v>
      </c>
      <c r="JD54" t="s">
        <v>483</v>
      </c>
      <c r="JE54" t="s">
        <v>1727</v>
      </c>
      <c r="JF54" t="s">
        <v>1754</v>
      </c>
      <c r="JG54" t="s">
        <v>1755</v>
      </c>
      <c r="JH54" t="s">
        <v>1756</v>
      </c>
      <c r="JI54" t="s">
        <v>1757</v>
      </c>
      <c r="JJ54">
        <v>0.45</v>
      </c>
      <c r="JK54">
        <v>0</v>
      </c>
      <c r="JL54" t="s">
        <v>391</v>
      </c>
      <c r="JM54">
        <v>0</v>
      </c>
      <c r="JN54">
        <v>0</v>
      </c>
      <c r="JO54">
        <v>0</v>
      </c>
      <c r="JP54">
        <v>0</v>
      </c>
      <c r="JQ54">
        <v>0</v>
      </c>
      <c r="JR54">
        <v>0</v>
      </c>
      <c r="JS54">
        <v>0</v>
      </c>
      <c r="JT54">
        <v>0</v>
      </c>
      <c r="JU54">
        <v>0</v>
      </c>
      <c r="JV54">
        <v>0</v>
      </c>
      <c r="JX54" t="s">
        <v>392</v>
      </c>
      <c r="JY54">
        <v>0</v>
      </c>
      <c r="JZ54">
        <v>0</v>
      </c>
      <c r="KA54">
        <v>1</v>
      </c>
      <c r="KB54">
        <v>0</v>
      </c>
      <c r="KC54">
        <v>0</v>
      </c>
      <c r="KD54">
        <v>1</v>
      </c>
      <c r="KE54">
        <v>0</v>
      </c>
      <c r="KF54">
        <v>0</v>
      </c>
      <c r="KG54">
        <v>1</v>
      </c>
      <c r="KH54">
        <v>0</v>
      </c>
      <c r="KI54">
        <v>0</v>
      </c>
      <c r="KJ54">
        <v>1</v>
      </c>
      <c r="KK54">
        <v>0</v>
      </c>
      <c r="KL54">
        <v>0</v>
      </c>
      <c r="KM54">
        <v>1</v>
      </c>
      <c r="KN54">
        <v>0</v>
      </c>
      <c r="KO54">
        <v>0</v>
      </c>
      <c r="KP54">
        <v>1</v>
      </c>
      <c r="KQ54">
        <v>0</v>
      </c>
      <c r="KR54">
        <v>0</v>
      </c>
      <c r="KS54">
        <v>1</v>
      </c>
      <c r="KT54">
        <v>0</v>
      </c>
      <c r="KU54">
        <v>0</v>
      </c>
      <c r="KV54">
        <v>1</v>
      </c>
      <c r="KW54">
        <v>0</v>
      </c>
      <c r="KX54">
        <v>0</v>
      </c>
      <c r="KY54">
        <v>1</v>
      </c>
      <c r="KZ54">
        <v>0</v>
      </c>
      <c r="LA54">
        <v>0</v>
      </c>
      <c r="LB54">
        <v>0</v>
      </c>
      <c r="LC54">
        <v>0</v>
      </c>
      <c r="LD54">
        <v>0</v>
      </c>
      <c r="LE54">
        <v>0</v>
      </c>
      <c r="LF54">
        <v>0</v>
      </c>
      <c r="LG54">
        <v>0</v>
      </c>
      <c r="LH54">
        <v>0</v>
      </c>
      <c r="LI54">
        <v>0</v>
      </c>
      <c r="LJ54">
        <v>0</v>
      </c>
      <c r="LK54">
        <v>0</v>
      </c>
      <c r="LN54" t="s">
        <v>393</v>
      </c>
      <c r="LO54" t="s">
        <v>394</v>
      </c>
      <c r="LP54" t="s">
        <v>395</v>
      </c>
      <c r="LQ54">
        <v>0.37280000000000002</v>
      </c>
      <c r="LR54">
        <v>13.094799999999999</v>
      </c>
      <c r="LS54">
        <v>9.2594999999999992</v>
      </c>
      <c r="LT54">
        <v>1234</v>
      </c>
      <c r="LU54">
        <v>460</v>
      </c>
      <c r="LV54">
        <v>61.854599999999998</v>
      </c>
      <c r="LW54">
        <v>0.85189999999999999</v>
      </c>
      <c r="LX54">
        <v>0.58640000000000003</v>
      </c>
      <c r="LY54">
        <v>0.58640000000000003</v>
      </c>
      <c r="LZ54">
        <v>0.58640000000000003</v>
      </c>
      <c r="MA54">
        <v>0</v>
      </c>
      <c r="MB54">
        <v>706</v>
      </c>
      <c r="MC54">
        <v>1</v>
      </c>
      <c r="MD54" t="s">
        <v>396</v>
      </c>
      <c r="ME54" t="s">
        <v>517</v>
      </c>
    </row>
    <row r="55" spans="1:343" ht="16.95" customHeight="1" x14ac:dyDescent="0.3">
      <c r="A55" t="s">
        <v>1758</v>
      </c>
      <c r="B55" t="s">
        <v>1759</v>
      </c>
      <c r="C55" t="s">
        <v>345</v>
      </c>
      <c r="D55" t="s">
        <v>346</v>
      </c>
      <c r="E55" t="s">
        <v>347</v>
      </c>
      <c r="F55" t="s">
        <v>1760</v>
      </c>
      <c r="G55" t="s">
        <v>1761</v>
      </c>
      <c r="H55" t="s">
        <v>1762</v>
      </c>
      <c r="I55" t="s">
        <v>351</v>
      </c>
      <c r="J55">
        <v>2856</v>
      </c>
      <c r="K55">
        <v>1070</v>
      </c>
      <c r="L55">
        <v>0.37459999999999999</v>
      </c>
      <c r="M55">
        <v>250</v>
      </c>
      <c r="N55">
        <v>3</v>
      </c>
      <c r="O55">
        <v>1</v>
      </c>
      <c r="P55">
        <v>11.4</v>
      </c>
      <c r="Q55">
        <v>83.3</v>
      </c>
      <c r="R55">
        <v>20.2</v>
      </c>
      <c r="S55">
        <v>9.6</v>
      </c>
      <c r="T55">
        <v>7.1</v>
      </c>
      <c r="U55">
        <v>2.5</v>
      </c>
      <c r="V55">
        <v>6.4</v>
      </c>
      <c r="W55">
        <v>18</v>
      </c>
      <c r="X55">
        <v>5.3</v>
      </c>
      <c r="Y55">
        <v>22</v>
      </c>
      <c r="Z55">
        <v>4</v>
      </c>
      <c r="AA55">
        <v>5.5</v>
      </c>
      <c r="AB55" t="s">
        <v>493</v>
      </c>
      <c r="AC55" t="b">
        <v>0</v>
      </c>
      <c r="AD55" t="s">
        <v>353</v>
      </c>
      <c r="AE55">
        <v>0.41720000000000002</v>
      </c>
      <c r="AF55" t="s">
        <v>354</v>
      </c>
      <c r="AG55">
        <v>0.24510000000000001</v>
      </c>
      <c r="AH55">
        <v>5.8500000000000003E-2</v>
      </c>
      <c r="AI55">
        <v>0.7107</v>
      </c>
      <c r="AJ55" t="s">
        <v>355</v>
      </c>
      <c r="AK55">
        <v>3.83</v>
      </c>
      <c r="AL55">
        <v>8</v>
      </c>
      <c r="AM55" t="s">
        <v>354</v>
      </c>
      <c r="AN55">
        <v>2</v>
      </c>
      <c r="AO55">
        <v>0.7</v>
      </c>
      <c r="AP55">
        <v>10</v>
      </c>
      <c r="AQ55">
        <v>3.5</v>
      </c>
      <c r="AR55">
        <v>5</v>
      </c>
      <c r="AS55">
        <v>1</v>
      </c>
      <c r="AT55" t="s">
        <v>357</v>
      </c>
      <c r="AU55">
        <v>16.8</v>
      </c>
      <c r="AV55">
        <v>42</v>
      </c>
      <c r="AW55" t="s">
        <v>354</v>
      </c>
      <c r="AX55">
        <v>22</v>
      </c>
      <c r="AY55">
        <v>7.7</v>
      </c>
      <c r="AZ55">
        <v>0</v>
      </c>
      <c r="BA55">
        <v>18</v>
      </c>
      <c r="BB55">
        <v>3</v>
      </c>
      <c r="BC55">
        <v>1</v>
      </c>
      <c r="BD55">
        <v>0</v>
      </c>
      <c r="BE55">
        <v>21</v>
      </c>
      <c r="BF55">
        <v>0</v>
      </c>
      <c r="BG55">
        <v>21</v>
      </c>
      <c r="BH55">
        <v>1</v>
      </c>
      <c r="BI55">
        <v>0.03</v>
      </c>
      <c r="BJ55" t="b">
        <v>0</v>
      </c>
      <c r="BK55" t="b">
        <v>0</v>
      </c>
      <c r="BL55">
        <v>2</v>
      </c>
      <c r="BM55">
        <v>1</v>
      </c>
      <c r="BN55">
        <v>1</v>
      </c>
      <c r="BO55">
        <v>0</v>
      </c>
      <c r="BP55">
        <v>0</v>
      </c>
      <c r="BQ55">
        <v>1</v>
      </c>
      <c r="BR55">
        <v>0</v>
      </c>
      <c r="BS55">
        <v>2856</v>
      </c>
      <c r="BT55">
        <v>1070</v>
      </c>
      <c r="BU55">
        <v>0.37459999999999999</v>
      </c>
      <c r="BV55">
        <v>3</v>
      </c>
      <c r="BW55">
        <v>1</v>
      </c>
      <c r="BX55">
        <v>952</v>
      </c>
      <c r="BZ55" t="s">
        <v>1763</v>
      </c>
      <c r="CA55" t="s">
        <v>1764</v>
      </c>
      <c r="CB55" t="s">
        <v>1765</v>
      </c>
      <c r="CC55" t="s">
        <v>1766</v>
      </c>
      <c r="CD55">
        <v>0</v>
      </c>
      <c r="CE55">
        <v>0</v>
      </c>
      <c r="CF55">
        <v>0</v>
      </c>
      <c r="CG55">
        <v>0</v>
      </c>
      <c r="CH55">
        <v>3</v>
      </c>
      <c r="CI55" t="s">
        <v>1767</v>
      </c>
      <c r="CJ55">
        <v>4</v>
      </c>
      <c r="CK55">
        <v>1.4</v>
      </c>
      <c r="CL55" t="s">
        <v>1541</v>
      </c>
      <c r="CM55">
        <v>1</v>
      </c>
      <c r="CN55">
        <v>0</v>
      </c>
      <c r="CO55" t="b">
        <v>1</v>
      </c>
      <c r="CP55" t="b">
        <v>1</v>
      </c>
      <c r="CQ55" t="b">
        <v>1</v>
      </c>
      <c r="CR55" t="b">
        <v>0</v>
      </c>
      <c r="CS55" t="b">
        <v>1</v>
      </c>
      <c r="CT55" t="b">
        <v>0</v>
      </c>
      <c r="CU55" t="b">
        <v>0</v>
      </c>
      <c r="CV55">
        <v>0</v>
      </c>
      <c r="CW55">
        <v>0</v>
      </c>
      <c r="CX55">
        <v>0</v>
      </c>
      <c r="CY55">
        <v>2</v>
      </c>
      <c r="CZ55">
        <v>0.7</v>
      </c>
      <c r="DA55">
        <v>10</v>
      </c>
      <c r="DB55">
        <v>3.5</v>
      </c>
      <c r="DC55">
        <v>5</v>
      </c>
      <c r="DD55">
        <v>2</v>
      </c>
      <c r="DE55">
        <v>0.7</v>
      </c>
      <c r="DF55">
        <v>5</v>
      </c>
      <c r="DG55">
        <v>1.75</v>
      </c>
      <c r="DH55">
        <v>37</v>
      </c>
      <c r="DI55">
        <v>12.95</v>
      </c>
      <c r="DJ55">
        <v>0.14000000000000001</v>
      </c>
      <c r="DK55">
        <v>0</v>
      </c>
      <c r="DL55">
        <v>8</v>
      </c>
      <c r="DM55">
        <v>1</v>
      </c>
      <c r="DN55">
        <v>0</v>
      </c>
      <c r="DO55">
        <v>165</v>
      </c>
      <c r="DP55">
        <v>5</v>
      </c>
      <c r="DQ55">
        <v>1.75</v>
      </c>
      <c r="DR55" t="s">
        <v>1768</v>
      </c>
      <c r="DS55" t="s">
        <v>1769</v>
      </c>
      <c r="DT55" t="s">
        <v>1770</v>
      </c>
      <c r="DU55" t="s">
        <v>1771</v>
      </c>
      <c r="DV55" t="s">
        <v>1001</v>
      </c>
      <c r="DW55">
        <v>2.86</v>
      </c>
      <c r="DX55">
        <v>0</v>
      </c>
      <c r="DY55">
        <v>2.33</v>
      </c>
      <c r="DZ55">
        <v>5</v>
      </c>
      <c r="EA55">
        <v>5</v>
      </c>
      <c r="EB55">
        <v>15.19</v>
      </c>
      <c r="EC55" t="s">
        <v>503</v>
      </c>
      <c r="ED55" t="s">
        <v>369</v>
      </c>
      <c r="EE55">
        <v>7.23</v>
      </c>
      <c r="EF55" t="s">
        <v>559</v>
      </c>
      <c r="EG55">
        <v>0.49</v>
      </c>
      <c r="EH55">
        <v>1.3</v>
      </c>
      <c r="EI55">
        <v>0.378</v>
      </c>
      <c r="EJ55" t="s">
        <v>370</v>
      </c>
      <c r="EK55">
        <v>2.0299999999999998</v>
      </c>
      <c r="EL55" t="s">
        <v>472</v>
      </c>
      <c r="EM55" t="s">
        <v>1772</v>
      </c>
      <c r="EN55">
        <v>1.95</v>
      </c>
      <c r="EO55" t="s">
        <v>373</v>
      </c>
      <c r="EP55">
        <v>3</v>
      </c>
      <c r="EQ55">
        <v>3</v>
      </c>
      <c r="ER55">
        <v>66.2</v>
      </c>
      <c r="ES55" t="s">
        <v>475</v>
      </c>
      <c r="ET55">
        <v>0.12</v>
      </c>
      <c r="EU55">
        <v>2.57</v>
      </c>
      <c r="EV55">
        <v>3.73</v>
      </c>
      <c r="EW55">
        <v>1.52</v>
      </c>
      <c r="EX55">
        <v>2.92</v>
      </c>
      <c r="EY55">
        <v>1.98</v>
      </c>
      <c r="EZ55">
        <v>0.93</v>
      </c>
      <c r="FA55">
        <v>1.63</v>
      </c>
      <c r="FB55">
        <v>1.4</v>
      </c>
      <c r="FC55">
        <v>2.68</v>
      </c>
      <c r="FD55" t="s">
        <v>375</v>
      </c>
      <c r="FE55">
        <v>211</v>
      </c>
      <c r="FF55" t="s">
        <v>1773</v>
      </c>
      <c r="FG55" t="s">
        <v>1774</v>
      </c>
      <c r="FH55" t="s">
        <v>1775</v>
      </c>
      <c r="FI55" t="s">
        <v>1776</v>
      </c>
      <c r="FJ55" t="s">
        <v>1777</v>
      </c>
      <c r="FK55" t="s">
        <v>1778</v>
      </c>
      <c r="FL55" t="s">
        <v>1779</v>
      </c>
      <c r="FM55">
        <v>0</v>
      </c>
      <c r="FN55">
        <v>0.50560000000000005</v>
      </c>
      <c r="FO55">
        <v>0.77500000000000002</v>
      </c>
      <c r="FP55">
        <v>0.61880000000000002</v>
      </c>
      <c r="FQ55">
        <v>0.39689999999999998</v>
      </c>
      <c r="FR55">
        <v>1.5599999999999999E-2</v>
      </c>
      <c r="FS55">
        <v>1.5599999999999999E-2</v>
      </c>
      <c r="FT55">
        <v>0</v>
      </c>
      <c r="FU55">
        <v>1.38E-2</v>
      </c>
      <c r="FV55">
        <v>0.12920000000000001</v>
      </c>
      <c r="FW55">
        <v>0</v>
      </c>
      <c r="FX55">
        <v>0</v>
      </c>
      <c r="FY55">
        <v>0.25359999999999999</v>
      </c>
      <c r="FZ55">
        <v>1.03E-2</v>
      </c>
      <c r="GA55">
        <v>257</v>
      </c>
      <c r="GB55">
        <v>1</v>
      </c>
      <c r="GC55">
        <v>1</v>
      </c>
      <c r="GD55">
        <v>115</v>
      </c>
      <c r="GE55">
        <v>4</v>
      </c>
      <c r="GF55">
        <v>53</v>
      </c>
      <c r="GG55">
        <v>3</v>
      </c>
      <c r="GH55">
        <v>3</v>
      </c>
      <c r="GI55">
        <v>0</v>
      </c>
      <c r="GJ55">
        <v>2</v>
      </c>
      <c r="GK55">
        <v>0</v>
      </c>
      <c r="GL55">
        <v>0</v>
      </c>
      <c r="GM55">
        <v>0</v>
      </c>
      <c r="GN55">
        <v>0</v>
      </c>
      <c r="GO55">
        <v>0</v>
      </c>
      <c r="GP55">
        <v>9.2399999999999996E-2</v>
      </c>
      <c r="GQ55">
        <v>0</v>
      </c>
      <c r="GR55">
        <v>0</v>
      </c>
      <c r="GS55">
        <v>0</v>
      </c>
      <c r="GT55">
        <v>0</v>
      </c>
      <c r="GU55">
        <v>0</v>
      </c>
      <c r="GV55">
        <v>4.6199999999999998E-2</v>
      </c>
      <c r="GW55">
        <v>0</v>
      </c>
      <c r="GX55">
        <v>0</v>
      </c>
      <c r="GY55">
        <v>4.6199999999999998E-2</v>
      </c>
      <c r="GZ55">
        <v>0</v>
      </c>
      <c r="HA55">
        <v>0</v>
      </c>
      <c r="HB55">
        <v>0</v>
      </c>
      <c r="HC55" t="s">
        <v>383</v>
      </c>
      <c r="HD55">
        <v>0</v>
      </c>
      <c r="HE55">
        <v>0</v>
      </c>
      <c r="HF55">
        <v>0</v>
      </c>
      <c r="HG55">
        <v>0</v>
      </c>
      <c r="HH55">
        <v>0</v>
      </c>
      <c r="HI55" t="s">
        <v>383</v>
      </c>
      <c r="HJ55">
        <v>0</v>
      </c>
      <c r="HK55">
        <v>0</v>
      </c>
      <c r="HL55">
        <v>0</v>
      </c>
      <c r="HM55">
        <v>0</v>
      </c>
      <c r="HN55">
        <v>0</v>
      </c>
      <c r="HO55" t="s">
        <v>383</v>
      </c>
      <c r="HP55">
        <v>0</v>
      </c>
      <c r="HQ55">
        <v>0</v>
      </c>
      <c r="HR55">
        <v>0</v>
      </c>
      <c r="HS55">
        <v>0</v>
      </c>
      <c r="HT55">
        <v>0</v>
      </c>
      <c r="HU55" t="s">
        <v>383</v>
      </c>
      <c r="HV55">
        <v>0</v>
      </c>
      <c r="HW55">
        <v>0</v>
      </c>
      <c r="HX55">
        <v>0</v>
      </c>
      <c r="HY55">
        <v>0</v>
      </c>
      <c r="HZ55">
        <v>0</v>
      </c>
      <c r="IA55" t="s">
        <v>384</v>
      </c>
      <c r="IB55">
        <v>0</v>
      </c>
      <c r="IC55">
        <v>0</v>
      </c>
      <c r="ID55">
        <v>0</v>
      </c>
      <c r="IE55">
        <v>0</v>
      </c>
      <c r="IF55">
        <v>0</v>
      </c>
      <c r="IG55" t="s">
        <v>384</v>
      </c>
      <c r="IH55">
        <v>0</v>
      </c>
      <c r="II55">
        <v>0</v>
      </c>
      <c r="IJ55">
        <v>0</v>
      </c>
      <c r="IK55">
        <v>0</v>
      </c>
      <c r="IL55">
        <v>0</v>
      </c>
      <c r="IM55" t="s">
        <v>384</v>
      </c>
      <c r="IN55">
        <v>0</v>
      </c>
      <c r="IO55">
        <v>0</v>
      </c>
      <c r="IP55">
        <v>0</v>
      </c>
      <c r="IQ55">
        <v>0</v>
      </c>
      <c r="IR55">
        <v>0</v>
      </c>
      <c r="IS55" t="s">
        <v>384</v>
      </c>
      <c r="IT55">
        <v>0</v>
      </c>
      <c r="IU55">
        <v>0</v>
      </c>
      <c r="IV55">
        <v>0</v>
      </c>
      <c r="IW55">
        <v>0</v>
      </c>
      <c r="IX55">
        <v>0</v>
      </c>
      <c r="IY55">
        <v>0</v>
      </c>
      <c r="IZ55">
        <v>0</v>
      </c>
      <c r="JA55">
        <v>0</v>
      </c>
      <c r="JD55" t="s">
        <v>483</v>
      </c>
      <c r="JE55" t="s">
        <v>484</v>
      </c>
      <c r="JF55" t="s">
        <v>1780</v>
      </c>
      <c r="JG55" t="s">
        <v>1781</v>
      </c>
      <c r="JH55" t="s">
        <v>1782</v>
      </c>
      <c r="JI55" t="s">
        <v>1783</v>
      </c>
      <c r="JJ55">
        <v>0.6</v>
      </c>
      <c r="JK55">
        <v>0</v>
      </c>
      <c r="JL55" t="s">
        <v>391</v>
      </c>
      <c r="JM55">
        <v>0</v>
      </c>
      <c r="JN55">
        <v>0</v>
      </c>
      <c r="JO55">
        <v>0</v>
      </c>
      <c r="JP55">
        <v>0</v>
      </c>
      <c r="JQ55">
        <v>0</v>
      </c>
      <c r="JR55">
        <v>0</v>
      </c>
      <c r="JS55">
        <v>0</v>
      </c>
      <c r="JT55">
        <v>0</v>
      </c>
      <c r="JU55">
        <v>0</v>
      </c>
      <c r="JV55">
        <v>0</v>
      </c>
      <c r="JX55" t="s">
        <v>392</v>
      </c>
      <c r="JY55">
        <v>0</v>
      </c>
      <c r="JZ55">
        <v>0</v>
      </c>
      <c r="KA55">
        <v>1</v>
      </c>
      <c r="KB55">
        <v>0</v>
      </c>
      <c r="KC55">
        <v>0</v>
      </c>
      <c r="KD55">
        <v>1</v>
      </c>
      <c r="KE55">
        <v>0</v>
      </c>
      <c r="KF55">
        <v>0</v>
      </c>
      <c r="KG55">
        <v>1</v>
      </c>
      <c r="KH55">
        <v>0</v>
      </c>
      <c r="KI55">
        <v>0</v>
      </c>
      <c r="KJ55">
        <v>1</v>
      </c>
      <c r="KK55">
        <v>0</v>
      </c>
      <c r="KL55">
        <v>0</v>
      </c>
      <c r="KM55">
        <v>1</v>
      </c>
      <c r="KN55">
        <v>0</v>
      </c>
      <c r="KO55">
        <v>0</v>
      </c>
      <c r="KP55">
        <v>1</v>
      </c>
      <c r="KQ55">
        <v>0</v>
      </c>
      <c r="KR55">
        <v>0</v>
      </c>
      <c r="KS55">
        <v>1</v>
      </c>
      <c r="KT55">
        <v>0</v>
      </c>
      <c r="KU55">
        <v>0</v>
      </c>
      <c r="KV55">
        <v>1</v>
      </c>
      <c r="KW55">
        <v>0</v>
      </c>
      <c r="KX55">
        <v>0</v>
      </c>
      <c r="KY55">
        <v>1</v>
      </c>
      <c r="KZ55">
        <v>0</v>
      </c>
      <c r="LA55">
        <v>0</v>
      </c>
      <c r="LB55">
        <v>0</v>
      </c>
      <c r="LC55">
        <v>0</v>
      </c>
      <c r="LD55">
        <v>0</v>
      </c>
      <c r="LE55">
        <v>0</v>
      </c>
      <c r="LF55">
        <v>0</v>
      </c>
      <c r="LG55">
        <v>0</v>
      </c>
      <c r="LH55">
        <v>0</v>
      </c>
      <c r="LI55">
        <v>0</v>
      </c>
      <c r="LJ55">
        <v>0</v>
      </c>
      <c r="LK55">
        <v>0</v>
      </c>
      <c r="LN55" t="s">
        <v>393</v>
      </c>
      <c r="LO55" t="s">
        <v>394</v>
      </c>
      <c r="LP55" t="s">
        <v>395</v>
      </c>
      <c r="LQ55">
        <v>0.36749999999999999</v>
      </c>
      <c r="LR55">
        <v>19.006</v>
      </c>
      <c r="LS55">
        <v>13.439299999999999</v>
      </c>
      <c r="LT55">
        <v>2675</v>
      </c>
      <c r="LU55">
        <v>983</v>
      </c>
      <c r="LV55">
        <v>155.52080000000001</v>
      </c>
      <c r="LW55">
        <v>0.91020000000000001</v>
      </c>
      <c r="LX55">
        <v>0.60629999999999995</v>
      </c>
      <c r="LY55">
        <v>0.60629999999999995</v>
      </c>
      <c r="LZ55">
        <v>0.60629999999999995</v>
      </c>
      <c r="MA55">
        <v>0</v>
      </c>
      <c r="MB55">
        <v>1608</v>
      </c>
      <c r="MC55">
        <v>1</v>
      </c>
      <c r="MD55" t="s">
        <v>396</v>
      </c>
      <c r="ME55" t="s">
        <v>517</v>
      </c>
    </row>
    <row r="56" spans="1:343" ht="16.95" customHeight="1" x14ac:dyDescent="0.3">
      <c r="A56" t="s">
        <v>1784</v>
      </c>
      <c r="B56" t="s">
        <v>1785</v>
      </c>
      <c r="C56" t="s">
        <v>345</v>
      </c>
      <c r="D56" t="s">
        <v>346</v>
      </c>
      <c r="E56" t="s">
        <v>347</v>
      </c>
      <c r="F56" t="s">
        <v>1786</v>
      </c>
      <c r="G56" t="s">
        <v>1787</v>
      </c>
      <c r="H56" t="s">
        <v>1788</v>
      </c>
      <c r="I56" t="s">
        <v>351</v>
      </c>
      <c r="J56">
        <v>1381</v>
      </c>
      <c r="K56">
        <v>633</v>
      </c>
      <c r="L56">
        <v>0.45839999999999997</v>
      </c>
      <c r="M56">
        <v>108</v>
      </c>
      <c r="N56">
        <v>3</v>
      </c>
      <c r="O56">
        <v>1</v>
      </c>
      <c r="P56">
        <v>12.8</v>
      </c>
      <c r="Q56">
        <v>36</v>
      </c>
      <c r="R56">
        <v>17.899999999999999</v>
      </c>
      <c r="S56">
        <v>8.8000000000000007</v>
      </c>
      <c r="T56">
        <v>5.3</v>
      </c>
      <c r="U56">
        <v>2.1</v>
      </c>
      <c r="V56">
        <v>6.5</v>
      </c>
      <c r="W56">
        <v>6</v>
      </c>
      <c r="X56">
        <v>3.9</v>
      </c>
      <c r="Y56">
        <v>2</v>
      </c>
      <c r="Z56">
        <v>3</v>
      </c>
      <c r="AA56">
        <v>0.67</v>
      </c>
      <c r="AB56" t="s">
        <v>352</v>
      </c>
      <c r="AC56" t="b">
        <v>0</v>
      </c>
      <c r="AD56" t="s">
        <v>353</v>
      </c>
      <c r="AE56">
        <v>0.47220000000000001</v>
      </c>
      <c r="AF56" t="s">
        <v>354</v>
      </c>
      <c r="AG56">
        <v>0.26939999999999997</v>
      </c>
      <c r="AH56">
        <v>2.1000000000000001E-2</v>
      </c>
      <c r="AI56">
        <v>0.71530000000000005</v>
      </c>
      <c r="AJ56" t="s">
        <v>355</v>
      </c>
      <c r="AK56">
        <v>4.4000000000000004</v>
      </c>
      <c r="AL56">
        <v>10</v>
      </c>
      <c r="AM56" t="s">
        <v>356</v>
      </c>
      <c r="AN56">
        <v>1</v>
      </c>
      <c r="AO56">
        <v>0.72</v>
      </c>
      <c r="AP56">
        <v>16</v>
      </c>
      <c r="AQ56">
        <v>11.59</v>
      </c>
      <c r="AR56">
        <v>16</v>
      </c>
      <c r="AS56">
        <v>3</v>
      </c>
      <c r="AT56" t="s">
        <v>357</v>
      </c>
      <c r="AU56">
        <v>14.8</v>
      </c>
      <c r="AV56">
        <v>16</v>
      </c>
      <c r="AW56" t="s">
        <v>354</v>
      </c>
      <c r="AX56">
        <v>9</v>
      </c>
      <c r="AY56">
        <v>6.52</v>
      </c>
      <c r="AZ56">
        <v>0</v>
      </c>
      <c r="BA56">
        <v>8</v>
      </c>
      <c r="BB56">
        <v>0</v>
      </c>
      <c r="BC56">
        <v>1</v>
      </c>
      <c r="BD56">
        <v>0</v>
      </c>
      <c r="BE56">
        <v>8</v>
      </c>
      <c r="BF56">
        <v>0</v>
      </c>
      <c r="BG56">
        <v>8</v>
      </c>
      <c r="BH56">
        <v>4</v>
      </c>
      <c r="BI56">
        <v>0.28999999999999998</v>
      </c>
      <c r="BJ56" t="b">
        <v>0</v>
      </c>
      <c r="BK56" t="b">
        <v>0</v>
      </c>
      <c r="BL56">
        <v>3</v>
      </c>
      <c r="BM56">
        <v>3</v>
      </c>
      <c r="BN56">
        <v>2</v>
      </c>
      <c r="BO56">
        <v>1</v>
      </c>
      <c r="BP56">
        <v>0</v>
      </c>
      <c r="BQ56">
        <v>1</v>
      </c>
      <c r="BR56">
        <v>0</v>
      </c>
      <c r="BS56">
        <v>1381</v>
      </c>
      <c r="BT56">
        <v>633</v>
      </c>
      <c r="BU56">
        <v>0.45839999999999997</v>
      </c>
      <c r="BV56">
        <v>3</v>
      </c>
      <c r="BW56">
        <v>1</v>
      </c>
      <c r="BX56">
        <v>460.3</v>
      </c>
      <c r="BZ56" t="s">
        <v>1789</v>
      </c>
      <c r="CA56" t="s">
        <v>1790</v>
      </c>
      <c r="CB56" t="s">
        <v>1791</v>
      </c>
      <c r="CC56" t="s">
        <v>1792</v>
      </c>
      <c r="CD56">
        <v>0</v>
      </c>
      <c r="CE56">
        <v>0</v>
      </c>
      <c r="CF56">
        <v>0</v>
      </c>
      <c r="CG56">
        <v>0</v>
      </c>
      <c r="CH56">
        <v>2</v>
      </c>
      <c r="CI56" t="s">
        <v>1793</v>
      </c>
      <c r="CJ56">
        <v>4</v>
      </c>
      <c r="CK56">
        <v>2.89</v>
      </c>
      <c r="CL56" t="s">
        <v>1541</v>
      </c>
      <c r="CM56">
        <v>1</v>
      </c>
      <c r="CN56">
        <v>0</v>
      </c>
      <c r="CO56" t="b">
        <v>1</v>
      </c>
      <c r="CP56" t="b">
        <v>1</v>
      </c>
      <c r="CQ56" t="b">
        <v>1</v>
      </c>
      <c r="CR56" t="b">
        <v>0</v>
      </c>
      <c r="CS56" t="b">
        <v>1</v>
      </c>
      <c r="CT56" t="b">
        <v>0</v>
      </c>
      <c r="CU56" t="b">
        <v>0</v>
      </c>
      <c r="CV56">
        <v>0</v>
      </c>
      <c r="CW56">
        <v>0</v>
      </c>
      <c r="CX56">
        <v>0</v>
      </c>
      <c r="CY56">
        <v>0</v>
      </c>
      <c r="CZ56">
        <v>0</v>
      </c>
      <c r="DA56">
        <v>17</v>
      </c>
      <c r="DB56">
        <v>12.3</v>
      </c>
      <c r="DC56">
        <v>17</v>
      </c>
      <c r="DD56">
        <v>1</v>
      </c>
      <c r="DE56">
        <v>0.72</v>
      </c>
      <c r="DF56">
        <v>0</v>
      </c>
      <c r="DG56">
        <v>0</v>
      </c>
      <c r="DH56">
        <v>4</v>
      </c>
      <c r="DI56">
        <v>2.89</v>
      </c>
      <c r="DJ56">
        <v>0</v>
      </c>
      <c r="DK56">
        <v>0</v>
      </c>
      <c r="DL56">
        <v>0</v>
      </c>
      <c r="DM56">
        <v>8</v>
      </c>
      <c r="DN56">
        <v>1</v>
      </c>
      <c r="DO56">
        <v>103</v>
      </c>
      <c r="DP56">
        <v>1</v>
      </c>
      <c r="DQ56">
        <v>0.72</v>
      </c>
      <c r="DR56" t="s">
        <v>1794</v>
      </c>
      <c r="DS56" t="s">
        <v>1795</v>
      </c>
      <c r="DT56" t="s">
        <v>1796</v>
      </c>
      <c r="DU56" t="s">
        <v>1797</v>
      </c>
      <c r="DV56" t="s">
        <v>1794</v>
      </c>
      <c r="DW56">
        <v>2.86</v>
      </c>
      <c r="DX56">
        <v>0</v>
      </c>
      <c r="DY56">
        <v>2</v>
      </c>
      <c r="DZ56">
        <v>5</v>
      </c>
      <c r="EA56">
        <v>1</v>
      </c>
      <c r="EB56">
        <v>10.86</v>
      </c>
      <c r="EC56" t="s">
        <v>369</v>
      </c>
      <c r="ED56" t="s">
        <v>369</v>
      </c>
      <c r="EE56">
        <v>9.1199999999999992</v>
      </c>
      <c r="EF56" t="s">
        <v>356</v>
      </c>
      <c r="EG56">
        <v>0.51</v>
      </c>
      <c r="EH56">
        <v>3.69</v>
      </c>
      <c r="EI56">
        <v>0.13700000000000001</v>
      </c>
      <c r="EJ56" t="s">
        <v>370</v>
      </c>
      <c r="EK56">
        <v>0.72</v>
      </c>
      <c r="EL56" t="s">
        <v>1289</v>
      </c>
      <c r="EM56" t="s">
        <v>1798</v>
      </c>
      <c r="EN56">
        <v>2.15</v>
      </c>
      <c r="EO56" t="s">
        <v>474</v>
      </c>
      <c r="EP56">
        <v>2</v>
      </c>
      <c r="EQ56">
        <v>2</v>
      </c>
      <c r="ER56">
        <v>82.6</v>
      </c>
      <c r="ES56" t="s">
        <v>669</v>
      </c>
      <c r="ET56">
        <v>0.48</v>
      </c>
      <c r="EU56">
        <v>1.45</v>
      </c>
      <c r="EV56">
        <v>3.86</v>
      </c>
      <c r="EW56">
        <v>1.69</v>
      </c>
      <c r="EX56">
        <v>1.45</v>
      </c>
      <c r="EY56">
        <v>0.24</v>
      </c>
      <c r="EZ56">
        <v>1.93</v>
      </c>
      <c r="FA56">
        <v>3.14</v>
      </c>
      <c r="FB56">
        <v>2.89</v>
      </c>
      <c r="FC56">
        <v>4.34</v>
      </c>
      <c r="FD56" t="s">
        <v>375</v>
      </c>
      <c r="FE56">
        <v>146</v>
      </c>
      <c r="FF56" t="s">
        <v>1799</v>
      </c>
      <c r="FG56" t="s">
        <v>1800</v>
      </c>
      <c r="FH56" t="s">
        <v>1801</v>
      </c>
      <c r="FI56" t="s">
        <v>1802</v>
      </c>
      <c r="FJ56" t="s">
        <v>1803</v>
      </c>
      <c r="FK56" t="s">
        <v>1804</v>
      </c>
      <c r="FL56" t="s">
        <v>1805</v>
      </c>
      <c r="FM56">
        <v>0</v>
      </c>
      <c r="FN56">
        <v>0.50780000000000003</v>
      </c>
      <c r="FO56">
        <v>0.77500000000000002</v>
      </c>
      <c r="FP56">
        <v>0.62</v>
      </c>
      <c r="FQ56">
        <v>0.4259</v>
      </c>
      <c r="FR56">
        <v>0</v>
      </c>
      <c r="FS56">
        <v>0</v>
      </c>
      <c r="FT56">
        <v>0</v>
      </c>
      <c r="FU56">
        <v>4.5999999999999999E-3</v>
      </c>
      <c r="FV56">
        <v>0.113</v>
      </c>
      <c r="FW56">
        <v>4.87E-2</v>
      </c>
      <c r="FX56">
        <v>0</v>
      </c>
      <c r="FY56">
        <v>0.2646</v>
      </c>
      <c r="FZ56">
        <v>1.0800000000000001E-2</v>
      </c>
      <c r="GA56">
        <v>108</v>
      </c>
      <c r="GB56">
        <v>1</v>
      </c>
      <c r="GC56">
        <v>1</v>
      </c>
      <c r="GD56">
        <v>45</v>
      </c>
      <c r="GE56">
        <v>0</v>
      </c>
      <c r="GF56">
        <v>18</v>
      </c>
      <c r="GG56">
        <v>0</v>
      </c>
      <c r="GH56">
        <v>0</v>
      </c>
      <c r="GI56">
        <v>0</v>
      </c>
      <c r="GJ56">
        <v>0</v>
      </c>
      <c r="GK56">
        <v>0</v>
      </c>
      <c r="GL56">
        <v>0</v>
      </c>
      <c r="GM56">
        <v>0</v>
      </c>
      <c r="GN56">
        <v>0</v>
      </c>
      <c r="GO56">
        <v>0.1948</v>
      </c>
      <c r="GP56">
        <v>0</v>
      </c>
      <c r="GQ56">
        <v>0</v>
      </c>
      <c r="GR56">
        <v>0</v>
      </c>
      <c r="GS56">
        <v>0</v>
      </c>
      <c r="GT56">
        <v>0</v>
      </c>
      <c r="GU56">
        <v>0</v>
      </c>
      <c r="GV56">
        <v>9.74E-2</v>
      </c>
      <c r="GW56">
        <v>0</v>
      </c>
      <c r="GX56">
        <v>0</v>
      </c>
      <c r="GY56">
        <v>0</v>
      </c>
      <c r="GZ56">
        <v>0</v>
      </c>
      <c r="HA56">
        <v>0</v>
      </c>
      <c r="HB56">
        <v>0</v>
      </c>
      <c r="HC56" t="s">
        <v>383</v>
      </c>
      <c r="HD56">
        <v>0</v>
      </c>
      <c r="HE56">
        <v>0</v>
      </c>
      <c r="HF56">
        <v>0</v>
      </c>
      <c r="HG56">
        <v>0</v>
      </c>
      <c r="HH56">
        <v>0</v>
      </c>
      <c r="HI56" t="s">
        <v>383</v>
      </c>
      <c r="HJ56">
        <v>0</v>
      </c>
      <c r="HK56">
        <v>0</v>
      </c>
      <c r="HL56">
        <v>0</v>
      </c>
      <c r="HM56">
        <v>0</v>
      </c>
      <c r="HN56">
        <v>0</v>
      </c>
      <c r="HO56" t="s">
        <v>383</v>
      </c>
      <c r="HP56">
        <v>0</v>
      </c>
      <c r="HQ56">
        <v>0</v>
      </c>
      <c r="HR56">
        <v>0</v>
      </c>
      <c r="HS56">
        <v>0</v>
      </c>
      <c r="HT56">
        <v>0</v>
      </c>
      <c r="HU56" t="s">
        <v>383</v>
      </c>
      <c r="HV56">
        <v>0</v>
      </c>
      <c r="HW56">
        <v>0</v>
      </c>
      <c r="HX56">
        <v>0</v>
      </c>
      <c r="HY56">
        <v>0</v>
      </c>
      <c r="HZ56">
        <v>0</v>
      </c>
      <c r="IA56" t="s">
        <v>384</v>
      </c>
      <c r="IB56">
        <v>0</v>
      </c>
      <c r="IC56">
        <v>0</v>
      </c>
      <c r="ID56">
        <v>0</v>
      </c>
      <c r="IE56">
        <v>0</v>
      </c>
      <c r="IF56">
        <v>0</v>
      </c>
      <c r="IG56" t="s">
        <v>384</v>
      </c>
      <c r="IH56">
        <v>0</v>
      </c>
      <c r="II56">
        <v>0</v>
      </c>
      <c r="IJ56">
        <v>0</v>
      </c>
      <c r="IK56">
        <v>0</v>
      </c>
      <c r="IL56">
        <v>0</v>
      </c>
      <c r="IM56" t="s">
        <v>384</v>
      </c>
      <c r="IN56">
        <v>0</v>
      </c>
      <c r="IO56">
        <v>0</v>
      </c>
      <c r="IP56">
        <v>0</v>
      </c>
      <c r="IQ56">
        <v>0</v>
      </c>
      <c r="IR56">
        <v>0</v>
      </c>
      <c r="IS56" t="s">
        <v>384</v>
      </c>
      <c r="IT56">
        <v>0</v>
      </c>
      <c r="IU56">
        <v>0</v>
      </c>
      <c r="IV56">
        <v>0</v>
      </c>
      <c r="IW56">
        <v>0</v>
      </c>
      <c r="IX56">
        <v>0</v>
      </c>
      <c r="IY56">
        <v>0</v>
      </c>
      <c r="IZ56">
        <v>0</v>
      </c>
      <c r="JA56">
        <v>0</v>
      </c>
      <c r="JD56" t="s">
        <v>483</v>
      </c>
      <c r="JE56" t="s">
        <v>779</v>
      </c>
      <c r="JF56" t="s">
        <v>1806</v>
      </c>
      <c r="JG56" t="s">
        <v>1807</v>
      </c>
      <c r="JH56" t="s">
        <v>1808</v>
      </c>
      <c r="JI56" t="s">
        <v>1809</v>
      </c>
      <c r="JJ56">
        <v>0.41670000000000001</v>
      </c>
      <c r="JK56">
        <v>0</v>
      </c>
      <c r="JL56" t="s">
        <v>391</v>
      </c>
      <c r="JM56">
        <v>0</v>
      </c>
      <c r="JN56">
        <v>0</v>
      </c>
      <c r="JO56">
        <v>0</v>
      </c>
      <c r="JP56">
        <v>0</v>
      </c>
      <c r="JQ56">
        <v>0</v>
      </c>
      <c r="JR56">
        <v>0</v>
      </c>
      <c r="JS56">
        <v>0</v>
      </c>
      <c r="JT56">
        <v>0</v>
      </c>
      <c r="JU56">
        <v>0</v>
      </c>
      <c r="JV56">
        <v>0</v>
      </c>
      <c r="JX56" t="s">
        <v>392</v>
      </c>
      <c r="JY56">
        <v>0</v>
      </c>
      <c r="JZ56">
        <v>0</v>
      </c>
      <c r="KA56">
        <v>1</v>
      </c>
      <c r="KB56">
        <v>0</v>
      </c>
      <c r="KC56">
        <v>0</v>
      </c>
      <c r="KD56">
        <v>1</v>
      </c>
      <c r="KE56">
        <v>0</v>
      </c>
      <c r="KF56">
        <v>0</v>
      </c>
      <c r="KG56">
        <v>1</v>
      </c>
      <c r="KH56">
        <v>0</v>
      </c>
      <c r="KI56">
        <v>0</v>
      </c>
      <c r="KJ56">
        <v>1</v>
      </c>
      <c r="KK56">
        <v>0</v>
      </c>
      <c r="KL56">
        <v>0</v>
      </c>
      <c r="KM56">
        <v>1</v>
      </c>
      <c r="KN56">
        <v>0</v>
      </c>
      <c r="KO56">
        <v>0</v>
      </c>
      <c r="KP56">
        <v>1</v>
      </c>
      <c r="KQ56">
        <v>0</v>
      </c>
      <c r="KR56">
        <v>0</v>
      </c>
      <c r="KS56">
        <v>1</v>
      </c>
      <c r="KT56">
        <v>0</v>
      </c>
      <c r="KU56">
        <v>0</v>
      </c>
      <c r="KV56">
        <v>1</v>
      </c>
      <c r="KW56">
        <v>0</v>
      </c>
      <c r="KX56">
        <v>0</v>
      </c>
      <c r="KY56">
        <v>1</v>
      </c>
      <c r="KZ56">
        <v>0</v>
      </c>
      <c r="LA56">
        <v>0</v>
      </c>
      <c r="LB56">
        <v>0</v>
      </c>
      <c r="LC56">
        <v>0</v>
      </c>
      <c r="LD56">
        <v>0</v>
      </c>
      <c r="LE56">
        <v>0</v>
      </c>
      <c r="LF56">
        <v>0</v>
      </c>
      <c r="LG56">
        <v>0</v>
      </c>
      <c r="LH56">
        <v>0</v>
      </c>
      <c r="LI56">
        <v>0</v>
      </c>
      <c r="LJ56">
        <v>0</v>
      </c>
      <c r="LK56">
        <v>0</v>
      </c>
      <c r="LN56" t="s">
        <v>393</v>
      </c>
      <c r="LO56" t="s">
        <v>394</v>
      </c>
      <c r="LP56" t="s">
        <v>395</v>
      </c>
      <c r="LQ56">
        <v>0.4723</v>
      </c>
      <c r="LR56">
        <v>16.918399999999998</v>
      </c>
      <c r="LS56">
        <v>11.963100000000001</v>
      </c>
      <c r="LT56">
        <v>1283</v>
      </c>
      <c r="LU56">
        <v>606</v>
      </c>
      <c r="LV56">
        <v>106.91670000000001</v>
      </c>
      <c r="LW56">
        <v>0.8821</v>
      </c>
      <c r="LX56">
        <v>0.53680000000000005</v>
      </c>
      <c r="LY56">
        <v>0.53680000000000005</v>
      </c>
      <c r="LZ56">
        <v>0.53680000000000005</v>
      </c>
      <c r="MA56">
        <v>0</v>
      </c>
      <c r="MB56">
        <v>678</v>
      </c>
      <c r="MC56">
        <v>1</v>
      </c>
      <c r="MD56" t="s">
        <v>396</v>
      </c>
      <c r="ME56" t="s">
        <v>397</v>
      </c>
    </row>
    <row r="57" spans="1:343" ht="16.95" customHeight="1" x14ac:dyDescent="0.3">
      <c r="A57" t="s">
        <v>1810</v>
      </c>
      <c r="B57" t="s">
        <v>1811</v>
      </c>
      <c r="C57" t="s">
        <v>345</v>
      </c>
      <c r="D57" t="s">
        <v>346</v>
      </c>
      <c r="E57" t="s">
        <v>347</v>
      </c>
      <c r="F57" t="s">
        <v>1812</v>
      </c>
      <c r="G57" t="s">
        <v>1813</v>
      </c>
      <c r="H57" t="s">
        <v>1814</v>
      </c>
      <c r="I57" t="s">
        <v>351</v>
      </c>
      <c r="J57">
        <v>434</v>
      </c>
      <c r="K57">
        <v>245</v>
      </c>
      <c r="L57">
        <v>0.5645</v>
      </c>
      <c r="M57">
        <v>28</v>
      </c>
      <c r="N57">
        <v>3</v>
      </c>
      <c r="O57">
        <v>1</v>
      </c>
      <c r="P57">
        <v>15.5</v>
      </c>
      <c r="Q57">
        <v>9.3000000000000007</v>
      </c>
      <c r="R57">
        <v>21.5</v>
      </c>
      <c r="S57">
        <v>7.4</v>
      </c>
      <c r="T57">
        <v>7.4</v>
      </c>
      <c r="U57">
        <v>1.7</v>
      </c>
      <c r="V57">
        <v>6.1</v>
      </c>
      <c r="W57">
        <v>3</v>
      </c>
      <c r="X57">
        <v>7.1</v>
      </c>
      <c r="Y57">
        <v>1</v>
      </c>
      <c r="Z57">
        <v>0</v>
      </c>
      <c r="AA57">
        <v>1</v>
      </c>
      <c r="AB57" t="s">
        <v>493</v>
      </c>
      <c r="AC57" t="b">
        <v>0</v>
      </c>
      <c r="AD57" t="s">
        <v>353</v>
      </c>
      <c r="AE57">
        <v>0.52900000000000003</v>
      </c>
      <c r="AF57" t="s">
        <v>354</v>
      </c>
      <c r="AG57">
        <v>0.15670000000000001</v>
      </c>
      <c r="AH57">
        <v>3.2399999999999998E-2</v>
      </c>
      <c r="AI57">
        <v>0.81599999999999995</v>
      </c>
      <c r="AJ57" t="s">
        <v>355</v>
      </c>
      <c r="AK57">
        <v>4.07</v>
      </c>
      <c r="AL57">
        <v>10</v>
      </c>
      <c r="AM57" t="s">
        <v>356</v>
      </c>
      <c r="AN57">
        <v>0</v>
      </c>
      <c r="AO57">
        <v>0</v>
      </c>
      <c r="AP57">
        <v>8</v>
      </c>
      <c r="AQ57">
        <v>18.43</v>
      </c>
      <c r="AR57">
        <v>8</v>
      </c>
      <c r="AS57">
        <v>0</v>
      </c>
      <c r="AT57" t="s">
        <v>357</v>
      </c>
      <c r="AU57">
        <v>25</v>
      </c>
      <c r="AV57">
        <v>7</v>
      </c>
      <c r="AW57" t="s">
        <v>354</v>
      </c>
      <c r="AX57">
        <v>3</v>
      </c>
      <c r="AY57">
        <v>6.91</v>
      </c>
      <c r="AZ57">
        <v>0</v>
      </c>
      <c r="BA57">
        <v>3</v>
      </c>
      <c r="BB57">
        <v>0</v>
      </c>
      <c r="BC57">
        <v>0</v>
      </c>
      <c r="BD57">
        <v>0</v>
      </c>
      <c r="BE57">
        <v>3</v>
      </c>
      <c r="BF57">
        <v>0</v>
      </c>
      <c r="BG57">
        <v>3</v>
      </c>
      <c r="BH57">
        <v>1</v>
      </c>
      <c r="BI57">
        <v>0</v>
      </c>
      <c r="BJ57" t="b">
        <v>1</v>
      </c>
      <c r="BK57" t="b">
        <v>0</v>
      </c>
      <c r="BL57">
        <v>3</v>
      </c>
      <c r="BM57">
        <v>3</v>
      </c>
      <c r="BN57">
        <v>2</v>
      </c>
      <c r="BO57">
        <v>1</v>
      </c>
      <c r="BP57">
        <v>0</v>
      </c>
      <c r="BQ57">
        <v>1</v>
      </c>
      <c r="BR57">
        <v>0</v>
      </c>
      <c r="BS57">
        <v>434</v>
      </c>
      <c r="BT57">
        <v>245</v>
      </c>
      <c r="BU57">
        <v>0.5645</v>
      </c>
      <c r="BV57">
        <v>3</v>
      </c>
      <c r="BW57">
        <v>1</v>
      </c>
      <c r="BX57">
        <v>144.69999999999999</v>
      </c>
      <c r="BZ57" t="s">
        <v>1815</v>
      </c>
      <c r="CA57" t="s">
        <v>1816</v>
      </c>
      <c r="CB57" t="s">
        <v>1817</v>
      </c>
      <c r="CC57" t="s">
        <v>1818</v>
      </c>
      <c r="CD57">
        <v>0</v>
      </c>
      <c r="CE57">
        <v>0</v>
      </c>
      <c r="CF57">
        <v>0</v>
      </c>
      <c r="CG57">
        <v>0</v>
      </c>
      <c r="CH57">
        <v>1</v>
      </c>
      <c r="CI57" t="s">
        <v>362</v>
      </c>
      <c r="CJ57">
        <v>4</v>
      </c>
      <c r="CK57">
        <v>9.1999999999999993</v>
      </c>
      <c r="CL57" t="s">
        <v>407</v>
      </c>
      <c r="CM57">
        <v>1</v>
      </c>
      <c r="CN57">
        <v>0</v>
      </c>
      <c r="CO57" t="b">
        <v>0</v>
      </c>
      <c r="CP57" t="b">
        <v>1</v>
      </c>
      <c r="CQ57" t="b">
        <v>1</v>
      </c>
      <c r="CR57" t="b">
        <v>0</v>
      </c>
      <c r="CS57" t="b">
        <v>0</v>
      </c>
      <c r="CT57" t="b">
        <v>0</v>
      </c>
      <c r="CU57" t="b">
        <v>0</v>
      </c>
      <c r="CV57">
        <v>0</v>
      </c>
      <c r="CW57">
        <v>0</v>
      </c>
      <c r="CX57">
        <v>0</v>
      </c>
      <c r="CY57">
        <v>0</v>
      </c>
      <c r="CZ57">
        <v>0</v>
      </c>
      <c r="DA57">
        <v>8</v>
      </c>
      <c r="DB57">
        <v>18.39</v>
      </c>
      <c r="DC57">
        <v>8</v>
      </c>
      <c r="DD57">
        <v>0</v>
      </c>
      <c r="DE57">
        <v>0</v>
      </c>
      <c r="DF57">
        <v>0</v>
      </c>
      <c r="DG57">
        <v>0</v>
      </c>
      <c r="DH57">
        <v>1</v>
      </c>
      <c r="DI57">
        <v>2.2999999999999998</v>
      </c>
      <c r="DJ57">
        <v>0</v>
      </c>
      <c r="DK57">
        <v>0</v>
      </c>
      <c r="DL57">
        <v>0</v>
      </c>
      <c r="DM57">
        <v>0</v>
      </c>
      <c r="DN57">
        <v>0</v>
      </c>
      <c r="DO57">
        <v>36</v>
      </c>
      <c r="DP57">
        <v>1</v>
      </c>
      <c r="DQ57">
        <v>2.2999999999999998</v>
      </c>
      <c r="DR57" t="s">
        <v>1819</v>
      </c>
      <c r="DS57" t="s">
        <v>1820</v>
      </c>
      <c r="DT57" t="s">
        <v>1821</v>
      </c>
      <c r="DU57" t="s">
        <v>1822</v>
      </c>
      <c r="DV57" t="s">
        <v>1823</v>
      </c>
      <c r="DW57">
        <v>1.43</v>
      </c>
      <c r="DX57">
        <v>0</v>
      </c>
      <c r="DY57">
        <v>2</v>
      </c>
      <c r="DZ57">
        <v>5</v>
      </c>
      <c r="EA57">
        <v>0</v>
      </c>
      <c r="EB57">
        <v>8.43</v>
      </c>
      <c r="EC57" t="s">
        <v>369</v>
      </c>
      <c r="ED57" t="s">
        <v>369</v>
      </c>
      <c r="EE57">
        <v>4.9400000000000004</v>
      </c>
      <c r="EF57" t="s">
        <v>354</v>
      </c>
      <c r="EG57">
        <v>0.23</v>
      </c>
      <c r="EH57">
        <v>4.1399999999999997</v>
      </c>
      <c r="EI57">
        <v>5.6000000000000001E-2</v>
      </c>
      <c r="EJ57" t="s">
        <v>370</v>
      </c>
      <c r="EK57">
        <v>0.46</v>
      </c>
      <c r="EL57" t="s">
        <v>371</v>
      </c>
      <c r="EM57" t="s">
        <v>979</v>
      </c>
      <c r="EN57">
        <v>1.99</v>
      </c>
      <c r="EO57" t="s">
        <v>373</v>
      </c>
      <c r="EP57">
        <v>1</v>
      </c>
      <c r="EQ57">
        <v>2</v>
      </c>
      <c r="ER57">
        <v>47.7</v>
      </c>
      <c r="ES57" t="s">
        <v>374</v>
      </c>
      <c r="ET57">
        <v>0</v>
      </c>
      <c r="EU57">
        <v>2.2999999999999998</v>
      </c>
      <c r="EV57">
        <v>6.9</v>
      </c>
      <c r="EW57">
        <v>1.53</v>
      </c>
      <c r="EX57">
        <v>0.77</v>
      </c>
      <c r="EY57">
        <v>0.77</v>
      </c>
      <c r="EZ57">
        <v>1.53</v>
      </c>
      <c r="FA57">
        <v>1.53</v>
      </c>
      <c r="FB57">
        <v>3.07</v>
      </c>
      <c r="FC57">
        <v>1.53</v>
      </c>
      <c r="FD57" t="s">
        <v>375</v>
      </c>
      <c r="FE57">
        <v>41</v>
      </c>
      <c r="FF57" t="s">
        <v>1824</v>
      </c>
      <c r="FG57" t="s">
        <v>1825</v>
      </c>
      <c r="FH57" t="s">
        <v>1826</v>
      </c>
      <c r="FI57" t="s">
        <v>1827</v>
      </c>
      <c r="FJ57" t="s">
        <v>1828</v>
      </c>
      <c r="FK57" t="s">
        <v>1829</v>
      </c>
      <c r="FL57" t="s">
        <v>1830</v>
      </c>
      <c r="FM57">
        <v>0</v>
      </c>
      <c r="FN57">
        <v>0.49769999999999998</v>
      </c>
      <c r="FO57">
        <v>0.77500000000000002</v>
      </c>
      <c r="FP57">
        <v>0.61409999999999998</v>
      </c>
      <c r="FQ57">
        <v>0.39290000000000003</v>
      </c>
      <c r="FR57">
        <v>0</v>
      </c>
      <c r="FS57">
        <v>0</v>
      </c>
      <c r="FT57">
        <v>0</v>
      </c>
      <c r="FU57">
        <v>0</v>
      </c>
      <c r="FV57">
        <v>0.12139999999999999</v>
      </c>
      <c r="FW57">
        <v>0</v>
      </c>
      <c r="FX57">
        <v>0</v>
      </c>
      <c r="FY57">
        <v>0.25</v>
      </c>
      <c r="FZ57">
        <v>0</v>
      </c>
      <c r="GA57">
        <v>28</v>
      </c>
      <c r="GB57">
        <v>1</v>
      </c>
      <c r="GC57">
        <v>1</v>
      </c>
      <c r="GD57">
        <v>13</v>
      </c>
      <c r="GE57">
        <v>0</v>
      </c>
      <c r="GF57">
        <v>5</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t="s">
        <v>383</v>
      </c>
      <c r="HD57">
        <v>0</v>
      </c>
      <c r="HE57">
        <v>0</v>
      </c>
      <c r="HF57">
        <v>0</v>
      </c>
      <c r="HG57">
        <v>0</v>
      </c>
      <c r="HH57">
        <v>0</v>
      </c>
      <c r="HI57" t="s">
        <v>383</v>
      </c>
      <c r="HJ57">
        <v>0</v>
      </c>
      <c r="HK57">
        <v>0</v>
      </c>
      <c r="HL57">
        <v>0</v>
      </c>
      <c r="HM57">
        <v>0</v>
      </c>
      <c r="HN57">
        <v>0</v>
      </c>
      <c r="HO57" t="s">
        <v>383</v>
      </c>
      <c r="HP57">
        <v>0</v>
      </c>
      <c r="HQ57">
        <v>0</v>
      </c>
      <c r="HR57">
        <v>0</v>
      </c>
      <c r="HS57">
        <v>0</v>
      </c>
      <c r="HT57">
        <v>0</v>
      </c>
      <c r="HU57" t="s">
        <v>383</v>
      </c>
      <c r="HV57">
        <v>0</v>
      </c>
      <c r="HW57">
        <v>0</v>
      </c>
      <c r="HX57">
        <v>0</v>
      </c>
      <c r="HY57">
        <v>0</v>
      </c>
      <c r="HZ57">
        <v>0</v>
      </c>
      <c r="IA57" t="s">
        <v>384</v>
      </c>
      <c r="IB57">
        <v>0</v>
      </c>
      <c r="IC57">
        <v>0</v>
      </c>
      <c r="ID57">
        <v>0</v>
      </c>
      <c r="IE57">
        <v>0</v>
      </c>
      <c r="IF57">
        <v>0</v>
      </c>
      <c r="IG57" t="s">
        <v>384</v>
      </c>
      <c r="IH57">
        <v>0</v>
      </c>
      <c r="II57">
        <v>0</v>
      </c>
      <c r="IJ57">
        <v>0</v>
      </c>
      <c r="IK57">
        <v>0</v>
      </c>
      <c r="IL57">
        <v>0</v>
      </c>
      <c r="IM57" t="s">
        <v>384</v>
      </c>
      <c r="IN57">
        <v>0</v>
      </c>
      <c r="IO57">
        <v>0</v>
      </c>
      <c r="IP57">
        <v>0</v>
      </c>
      <c r="IQ57">
        <v>0</v>
      </c>
      <c r="IR57">
        <v>0</v>
      </c>
      <c r="IS57" t="s">
        <v>384</v>
      </c>
      <c r="IT57">
        <v>0</v>
      </c>
      <c r="IU57">
        <v>0</v>
      </c>
      <c r="IV57">
        <v>0</v>
      </c>
      <c r="IW57">
        <v>0</v>
      </c>
      <c r="IX57">
        <v>0</v>
      </c>
      <c r="IY57">
        <v>0</v>
      </c>
      <c r="IZ57">
        <v>0</v>
      </c>
      <c r="JA57">
        <v>0</v>
      </c>
      <c r="JD57" t="s">
        <v>483</v>
      </c>
      <c r="JE57" t="s">
        <v>484</v>
      </c>
      <c r="JF57" t="s">
        <v>1831</v>
      </c>
      <c r="JG57" t="s">
        <v>1832</v>
      </c>
      <c r="JH57" t="s">
        <v>1833</v>
      </c>
      <c r="JI57" t="s">
        <v>1834</v>
      </c>
      <c r="JJ57">
        <v>0.6</v>
      </c>
      <c r="JK57">
        <v>0</v>
      </c>
      <c r="JL57" t="s">
        <v>391</v>
      </c>
      <c r="JM57">
        <v>0</v>
      </c>
      <c r="JN57">
        <v>0</v>
      </c>
      <c r="JO57">
        <v>0</v>
      </c>
      <c r="JP57">
        <v>0</v>
      </c>
      <c r="JQ57">
        <v>0</v>
      </c>
      <c r="JR57">
        <v>0</v>
      </c>
      <c r="JS57">
        <v>0</v>
      </c>
      <c r="JT57">
        <v>0</v>
      </c>
      <c r="JU57">
        <v>0</v>
      </c>
      <c r="JV57">
        <v>0</v>
      </c>
      <c r="JX57" t="s">
        <v>392</v>
      </c>
      <c r="JY57">
        <v>0</v>
      </c>
      <c r="JZ57">
        <v>0</v>
      </c>
      <c r="KA57">
        <v>1</v>
      </c>
      <c r="KB57">
        <v>0</v>
      </c>
      <c r="KC57">
        <v>0</v>
      </c>
      <c r="KD57">
        <v>1</v>
      </c>
      <c r="KE57">
        <v>0</v>
      </c>
      <c r="KF57">
        <v>0</v>
      </c>
      <c r="KG57">
        <v>1</v>
      </c>
      <c r="KH57">
        <v>0</v>
      </c>
      <c r="KI57">
        <v>0</v>
      </c>
      <c r="KJ57">
        <v>1</v>
      </c>
      <c r="KK57">
        <v>0</v>
      </c>
      <c r="KL57">
        <v>0</v>
      </c>
      <c r="KM57">
        <v>1</v>
      </c>
      <c r="KN57">
        <v>0</v>
      </c>
      <c r="KO57">
        <v>0</v>
      </c>
      <c r="KP57">
        <v>1</v>
      </c>
      <c r="KQ57">
        <v>0</v>
      </c>
      <c r="KR57">
        <v>0</v>
      </c>
      <c r="KS57">
        <v>1</v>
      </c>
      <c r="KT57">
        <v>0</v>
      </c>
      <c r="KU57">
        <v>0</v>
      </c>
      <c r="KV57">
        <v>1</v>
      </c>
      <c r="KW57">
        <v>0</v>
      </c>
      <c r="KX57">
        <v>0</v>
      </c>
      <c r="KY57">
        <v>1</v>
      </c>
      <c r="KZ57">
        <v>0</v>
      </c>
      <c r="LA57">
        <v>0</v>
      </c>
      <c r="LB57">
        <v>0</v>
      </c>
      <c r="LC57">
        <v>0</v>
      </c>
      <c r="LD57">
        <v>0</v>
      </c>
      <c r="LE57">
        <v>0</v>
      </c>
      <c r="LF57">
        <v>0</v>
      </c>
      <c r="LG57">
        <v>0</v>
      </c>
      <c r="LH57">
        <v>0</v>
      </c>
      <c r="LI57">
        <v>0</v>
      </c>
      <c r="LJ57">
        <v>0</v>
      </c>
      <c r="LK57">
        <v>0</v>
      </c>
      <c r="LN57" t="s">
        <v>393</v>
      </c>
      <c r="LO57" t="s">
        <v>394</v>
      </c>
      <c r="LP57" t="s">
        <v>395</v>
      </c>
      <c r="LQ57">
        <v>0.64339999999999997</v>
      </c>
      <c r="LR57">
        <v>12.4267</v>
      </c>
      <c r="LS57">
        <v>8.7870000000000008</v>
      </c>
      <c r="LT57">
        <v>373</v>
      </c>
      <c r="LU57">
        <v>240</v>
      </c>
      <c r="LV57">
        <v>111.8751</v>
      </c>
      <c r="LW57">
        <v>0.90610000000000002</v>
      </c>
      <c r="LX57">
        <v>0.54959999999999998</v>
      </c>
      <c r="LY57">
        <v>0.54959999999999998</v>
      </c>
      <c r="LZ57">
        <v>0.54959999999999998</v>
      </c>
      <c r="MA57">
        <v>0</v>
      </c>
      <c r="MB57">
        <v>205</v>
      </c>
      <c r="MC57">
        <v>1</v>
      </c>
      <c r="MD57" t="s">
        <v>396</v>
      </c>
      <c r="ME57" t="s">
        <v>397</v>
      </c>
    </row>
    <row r="58" spans="1:343" ht="16.95" customHeight="1" x14ac:dyDescent="0.3">
      <c r="A58" t="s">
        <v>1835</v>
      </c>
      <c r="B58" t="s">
        <v>1836</v>
      </c>
      <c r="C58" t="s">
        <v>345</v>
      </c>
      <c r="D58" t="s">
        <v>346</v>
      </c>
      <c r="E58" t="s">
        <v>347</v>
      </c>
      <c r="F58" t="s">
        <v>1837</v>
      </c>
      <c r="G58" t="s">
        <v>1838</v>
      </c>
      <c r="H58" t="s">
        <v>1839</v>
      </c>
      <c r="I58" t="s">
        <v>351</v>
      </c>
      <c r="J58">
        <v>3855</v>
      </c>
      <c r="K58">
        <v>1534</v>
      </c>
      <c r="L58">
        <v>0.39789999999999998</v>
      </c>
      <c r="M58">
        <v>316</v>
      </c>
      <c r="N58">
        <v>3</v>
      </c>
      <c r="O58">
        <v>1</v>
      </c>
      <c r="P58">
        <v>12.2</v>
      </c>
      <c r="Q58">
        <v>105.3</v>
      </c>
      <c r="R58">
        <v>19.100000000000001</v>
      </c>
      <c r="S58">
        <v>8.1999999999999993</v>
      </c>
      <c r="T58">
        <v>6.4</v>
      </c>
      <c r="U58">
        <v>1.7</v>
      </c>
      <c r="V58">
        <v>6.1</v>
      </c>
      <c r="W58">
        <v>15</v>
      </c>
      <c r="X58">
        <v>3.6</v>
      </c>
      <c r="Y58">
        <v>15</v>
      </c>
      <c r="Z58">
        <v>1</v>
      </c>
      <c r="AA58">
        <v>15</v>
      </c>
      <c r="AB58" t="s">
        <v>352</v>
      </c>
      <c r="AC58" t="b">
        <v>0</v>
      </c>
      <c r="AD58" t="s">
        <v>353</v>
      </c>
      <c r="AE58">
        <v>0.45490000000000003</v>
      </c>
      <c r="AF58" t="s">
        <v>354</v>
      </c>
      <c r="AG58">
        <v>0.22439999999999999</v>
      </c>
      <c r="AH58">
        <v>4.07E-2</v>
      </c>
      <c r="AI58">
        <v>0.74399999999999999</v>
      </c>
      <c r="AJ58" t="s">
        <v>355</v>
      </c>
      <c r="AK58">
        <v>4.4000000000000004</v>
      </c>
      <c r="AL58">
        <v>10</v>
      </c>
      <c r="AM58" t="s">
        <v>356</v>
      </c>
      <c r="AN58">
        <v>1</v>
      </c>
      <c r="AO58">
        <v>0.26</v>
      </c>
      <c r="AP58">
        <v>34</v>
      </c>
      <c r="AQ58">
        <v>8.82</v>
      </c>
      <c r="AR58">
        <v>34</v>
      </c>
      <c r="AS58">
        <v>5</v>
      </c>
      <c r="AT58" t="s">
        <v>357</v>
      </c>
      <c r="AU58">
        <v>19.899999999999999</v>
      </c>
      <c r="AV58">
        <v>63</v>
      </c>
      <c r="AW58" t="s">
        <v>354</v>
      </c>
      <c r="AX58">
        <v>10</v>
      </c>
      <c r="AY58">
        <v>2.59</v>
      </c>
      <c r="AZ58">
        <v>0</v>
      </c>
      <c r="BA58">
        <v>9</v>
      </c>
      <c r="BB58">
        <v>0</v>
      </c>
      <c r="BC58">
        <v>1</v>
      </c>
      <c r="BD58">
        <v>0</v>
      </c>
      <c r="BE58">
        <v>9</v>
      </c>
      <c r="BF58">
        <v>0</v>
      </c>
      <c r="BG58">
        <v>9</v>
      </c>
      <c r="BH58">
        <v>3</v>
      </c>
      <c r="BI58">
        <v>0.12</v>
      </c>
      <c r="BJ58" t="b">
        <v>0</v>
      </c>
      <c r="BK58" t="b">
        <v>0</v>
      </c>
      <c r="BL58">
        <v>3</v>
      </c>
      <c r="BM58">
        <v>3</v>
      </c>
      <c r="BN58">
        <v>2</v>
      </c>
      <c r="BO58">
        <v>1</v>
      </c>
      <c r="BP58">
        <v>0</v>
      </c>
      <c r="BQ58">
        <v>1</v>
      </c>
      <c r="BR58">
        <v>0</v>
      </c>
      <c r="BS58">
        <v>3855</v>
      </c>
      <c r="BT58">
        <v>1534</v>
      </c>
      <c r="BU58">
        <v>0.39789999999999998</v>
      </c>
      <c r="BV58">
        <v>3</v>
      </c>
      <c r="BW58">
        <v>1</v>
      </c>
      <c r="BX58">
        <v>1285</v>
      </c>
      <c r="BZ58" t="s">
        <v>1840</v>
      </c>
      <c r="CA58" t="s">
        <v>1841</v>
      </c>
      <c r="CB58" t="s">
        <v>1842</v>
      </c>
      <c r="CC58" t="s">
        <v>1843</v>
      </c>
      <c r="CD58">
        <v>0</v>
      </c>
      <c r="CE58">
        <v>0</v>
      </c>
      <c r="CF58">
        <v>0</v>
      </c>
      <c r="CG58">
        <v>0</v>
      </c>
      <c r="CH58">
        <v>2</v>
      </c>
      <c r="CI58" t="s">
        <v>1844</v>
      </c>
      <c r="CJ58">
        <v>8</v>
      </c>
      <c r="CK58">
        <v>2.0699999999999998</v>
      </c>
      <c r="CL58" t="s">
        <v>363</v>
      </c>
      <c r="CM58">
        <v>1</v>
      </c>
      <c r="CN58">
        <v>0</v>
      </c>
      <c r="CO58" t="b">
        <v>0</v>
      </c>
      <c r="CP58" t="b">
        <v>0</v>
      </c>
      <c r="CQ58" t="b">
        <v>1</v>
      </c>
      <c r="CR58" t="b">
        <v>1</v>
      </c>
      <c r="CS58" t="b">
        <v>1</v>
      </c>
      <c r="CT58" t="b">
        <v>0</v>
      </c>
      <c r="CU58" t="b">
        <v>0</v>
      </c>
      <c r="CV58">
        <v>0</v>
      </c>
      <c r="CW58">
        <v>0</v>
      </c>
      <c r="CX58">
        <v>0</v>
      </c>
      <c r="CY58">
        <v>1</v>
      </c>
      <c r="CZ58">
        <v>0.26</v>
      </c>
      <c r="DA58">
        <v>34</v>
      </c>
      <c r="DB58">
        <v>8.82</v>
      </c>
      <c r="DC58">
        <v>34</v>
      </c>
      <c r="DD58">
        <v>4</v>
      </c>
      <c r="DE58">
        <v>1.04</v>
      </c>
      <c r="DF58">
        <v>3</v>
      </c>
      <c r="DG58">
        <v>0.78</v>
      </c>
      <c r="DH58">
        <v>18</v>
      </c>
      <c r="DI58">
        <v>4.67</v>
      </c>
      <c r="DJ58">
        <v>0.17</v>
      </c>
      <c r="DK58">
        <v>1</v>
      </c>
      <c r="DL58">
        <v>10</v>
      </c>
      <c r="DM58">
        <v>4</v>
      </c>
      <c r="DN58">
        <v>0</v>
      </c>
      <c r="DO58">
        <v>363</v>
      </c>
      <c r="DP58">
        <v>39</v>
      </c>
      <c r="DQ58">
        <v>10.11</v>
      </c>
      <c r="DS58" t="s">
        <v>1845</v>
      </c>
      <c r="DT58" t="s">
        <v>1846</v>
      </c>
      <c r="DU58" t="s">
        <v>1847</v>
      </c>
      <c r="DV58" t="s">
        <v>1848</v>
      </c>
      <c r="DW58">
        <v>2.14</v>
      </c>
      <c r="DX58">
        <v>0</v>
      </c>
      <c r="DY58">
        <v>2.17</v>
      </c>
      <c r="DZ58">
        <v>5</v>
      </c>
      <c r="EA58">
        <v>5</v>
      </c>
      <c r="EB58">
        <v>14.31</v>
      </c>
      <c r="EC58" t="s">
        <v>503</v>
      </c>
      <c r="ED58" t="s">
        <v>369</v>
      </c>
      <c r="EE58">
        <v>4.5999999999999996</v>
      </c>
      <c r="EF58" t="s">
        <v>354</v>
      </c>
      <c r="EG58">
        <v>0.34</v>
      </c>
      <c r="EH58">
        <v>1.19</v>
      </c>
      <c r="EI58">
        <v>0.28299999999999997</v>
      </c>
      <c r="EJ58" t="s">
        <v>370</v>
      </c>
      <c r="EK58">
        <v>1.35</v>
      </c>
      <c r="EL58" t="s">
        <v>472</v>
      </c>
      <c r="EM58" t="s">
        <v>1849</v>
      </c>
      <c r="EN58">
        <v>1.82</v>
      </c>
      <c r="EO58" t="s">
        <v>417</v>
      </c>
      <c r="EP58">
        <v>1</v>
      </c>
      <c r="EQ58">
        <v>2</v>
      </c>
      <c r="ER58">
        <v>67</v>
      </c>
      <c r="ES58" t="s">
        <v>475</v>
      </c>
      <c r="ET58">
        <v>0.52</v>
      </c>
      <c r="EU58">
        <v>1.99</v>
      </c>
      <c r="EV58">
        <v>1.47</v>
      </c>
      <c r="EW58">
        <v>1.82</v>
      </c>
      <c r="EX58">
        <v>4.0599999999999996</v>
      </c>
      <c r="EY58">
        <v>0.78</v>
      </c>
      <c r="EZ58">
        <v>1.38</v>
      </c>
      <c r="FA58">
        <v>1.56</v>
      </c>
      <c r="FB58">
        <v>2.42</v>
      </c>
      <c r="FC58">
        <v>2.25</v>
      </c>
      <c r="FD58" t="s">
        <v>375</v>
      </c>
      <c r="FE58">
        <v>481</v>
      </c>
      <c r="FF58" t="s">
        <v>1850</v>
      </c>
      <c r="FG58" t="s">
        <v>1851</v>
      </c>
      <c r="FH58" t="s">
        <v>1852</v>
      </c>
      <c r="FI58" t="s">
        <v>1853</v>
      </c>
      <c r="FJ58" t="s">
        <v>1854</v>
      </c>
      <c r="FK58" t="s">
        <v>1855</v>
      </c>
      <c r="FL58" t="s">
        <v>1856</v>
      </c>
      <c r="FM58">
        <v>0</v>
      </c>
      <c r="FN58">
        <v>0.52829999999999999</v>
      </c>
      <c r="FO58">
        <v>0.77500000000000002</v>
      </c>
      <c r="FP58">
        <v>0.63190000000000002</v>
      </c>
      <c r="FQ58">
        <v>0.48299999999999998</v>
      </c>
      <c r="FR58">
        <v>2.1700000000000001E-2</v>
      </c>
      <c r="FS58">
        <v>9.2999999999999992E-3</v>
      </c>
      <c r="FT58">
        <v>0</v>
      </c>
      <c r="FU58">
        <v>7.4999999999999997E-3</v>
      </c>
      <c r="FV58">
        <v>9.9699999999999997E-2</v>
      </c>
      <c r="FW58">
        <v>3.5799999999999998E-2</v>
      </c>
      <c r="FX58">
        <v>4.7800000000000002E-2</v>
      </c>
      <c r="FY58">
        <v>0.29520000000000002</v>
      </c>
      <c r="FZ58">
        <v>4.0000000000000001E-3</v>
      </c>
      <c r="GA58">
        <v>323</v>
      </c>
      <c r="GB58">
        <v>1</v>
      </c>
      <c r="GC58">
        <v>1</v>
      </c>
      <c r="GD58">
        <v>111</v>
      </c>
      <c r="GE58">
        <v>5</v>
      </c>
      <c r="GF58">
        <v>38</v>
      </c>
      <c r="GG58">
        <v>3</v>
      </c>
      <c r="GH58">
        <v>2</v>
      </c>
      <c r="GI58">
        <v>0</v>
      </c>
      <c r="GJ58">
        <v>4</v>
      </c>
      <c r="GK58">
        <v>3.5799999999999998E-2</v>
      </c>
      <c r="GL58">
        <v>0</v>
      </c>
      <c r="GM58">
        <v>3.5799999999999998E-2</v>
      </c>
      <c r="GN58">
        <v>0.1075</v>
      </c>
      <c r="GO58">
        <v>7.17E-2</v>
      </c>
      <c r="GP58">
        <v>0.14330000000000001</v>
      </c>
      <c r="GQ58">
        <v>0</v>
      </c>
      <c r="GR58">
        <v>0</v>
      </c>
      <c r="GS58">
        <v>3.5799999999999998E-2</v>
      </c>
      <c r="GT58">
        <v>0</v>
      </c>
      <c r="GU58">
        <v>0</v>
      </c>
      <c r="GV58">
        <v>3.5799999999999998E-2</v>
      </c>
      <c r="GW58">
        <v>0</v>
      </c>
      <c r="GX58">
        <v>0</v>
      </c>
      <c r="GY58">
        <v>0</v>
      </c>
      <c r="GZ58">
        <v>0</v>
      </c>
      <c r="HA58">
        <v>0</v>
      </c>
      <c r="HB58">
        <v>0</v>
      </c>
      <c r="HC58" t="s">
        <v>383</v>
      </c>
      <c r="HD58">
        <v>0</v>
      </c>
      <c r="HE58">
        <v>0</v>
      </c>
      <c r="HF58">
        <v>0</v>
      </c>
      <c r="HG58">
        <v>0</v>
      </c>
      <c r="HH58">
        <v>0</v>
      </c>
      <c r="HI58" t="s">
        <v>383</v>
      </c>
      <c r="HJ58">
        <v>0</v>
      </c>
      <c r="HK58">
        <v>0</v>
      </c>
      <c r="HL58">
        <v>0</v>
      </c>
      <c r="HM58">
        <v>0</v>
      </c>
      <c r="HN58">
        <v>0</v>
      </c>
      <c r="HO58" t="s">
        <v>383</v>
      </c>
      <c r="HP58">
        <v>0</v>
      </c>
      <c r="HQ58">
        <v>0</v>
      </c>
      <c r="HR58">
        <v>0</v>
      </c>
      <c r="HS58">
        <v>0</v>
      </c>
      <c r="HT58">
        <v>0</v>
      </c>
      <c r="HU58" t="s">
        <v>383</v>
      </c>
      <c r="HV58">
        <v>0</v>
      </c>
      <c r="HW58">
        <v>0</v>
      </c>
      <c r="HX58">
        <v>0</v>
      </c>
      <c r="HY58">
        <v>0</v>
      </c>
      <c r="HZ58">
        <v>0</v>
      </c>
      <c r="IA58" t="s">
        <v>384</v>
      </c>
      <c r="IB58">
        <v>0</v>
      </c>
      <c r="IC58">
        <v>0</v>
      </c>
      <c r="ID58">
        <v>0</v>
      </c>
      <c r="IE58">
        <v>0</v>
      </c>
      <c r="IF58">
        <v>0</v>
      </c>
      <c r="IG58" t="s">
        <v>384</v>
      </c>
      <c r="IH58">
        <v>0</v>
      </c>
      <c r="II58">
        <v>0</v>
      </c>
      <c r="IJ58">
        <v>0</v>
      </c>
      <c r="IK58">
        <v>0</v>
      </c>
      <c r="IL58">
        <v>0</v>
      </c>
      <c r="IM58" t="s">
        <v>384</v>
      </c>
      <c r="IN58">
        <v>0</v>
      </c>
      <c r="IO58">
        <v>0</v>
      </c>
      <c r="IP58">
        <v>0</v>
      </c>
      <c r="IQ58">
        <v>0</v>
      </c>
      <c r="IR58">
        <v>0</v>
      </c>
      <c r="IS58" t="s">
        <v>384</v>
      </c>
      <c r="IT58">
        <v>0</v>
      </c>
      <c r="IU58">
        <v>0</v>
      </c>
      <c r="IV58">
        <v>0</v>
      </c>
      <c r="IW58">
        <v>0</v>
      </c>
      <c r="IX58">
        <v>0</v>
      </c>
      <c r="IY58">
        <v>0</v>
      </c>
      <c r="IZ58">
        <v>0</v>
      </c>
      <c r="JA58">
        <v>0</v>
      </c>
      <c r="JD58" t="s">
        <v>483</v>
      </c>
      <c r="JE58" t="s">
        <v>779</v>
      </c>
      <c r="JF58" t="s">
        <v>1857</v>
      </c>
      <c r="JG58" t="s">
        <v>1858</v>
      </c>
      <c r="JH58" t="s">
        <v>1859</v>
      </c>
      <c r="JI58" t="s">
        <v>1860</v>
      </c>
      <c r="JJ58">
        <v>0.58330000000000004</v>
      </c>
      <c r="JK58">
        <v>0</v>
      </c>
      <c r="JL58" t="s">
        <v>391</v>
      </c>
      <c r="JM58">
        <v>0</v>
      </c>
      <c r="JN58">
        <v>0</v>
      </c>
      <c r="JO58">
        <v>0</v>
      </c>
      <c r="JP58">
        <v>0</v>
      </c>
      <c r="JQ58">
        <v>0</v>
      </c>
      <c r="JR58">
        <v>0</v>
      </c>
      <c r="JS58">
        <v>0</v>
      </c>
      <c r="JT58">
        <v>0</v>
      </c>
      <c r="JU58">
        <v>0</v>
      </c>
      <c r="JV58">
        <v>0</v>
      </c>
      <c r="JX58" t="s">
        <v>392</v>
      </c>
      <c r="JY58">
        <v>0</v>
      </c>
      <c r="JZ58">
        <v>0</v>
      </c>
      <c r="KA58">
        <v>1</v>
      </c>
      <c r="KB58">
        <v>0</v>
      </c>
      <c r="KC58">
        <v>0</v>
      </c>
      <c r="KD58">
        <v>1</v>
      </c>
      <c r="KE58">
        <v>0</v>
      </c>
      <c r="KF58">
        <v>0</v>
      </c>
      <c r="KG58">
        <v>1</v>
      </c>
      <c r="KH58">
        <v>0</v>
      </c>
      <c r="KI58">
        <v>0</v>
      </c>
      <c r="KJ58">
        <v>1</v>
      </c>
      <c r="KK58">
        <v>0</v>
      </c>
      <c r="KL58">
        <v>0</v>
      </c>
      <c r="KM58">
        <v>1</v>
      </c>
      <c r="KN58">
        <v>0</v>
      </c>
      <c r="KO58">
        <v>0</v>
      </c>
      <c r="KP58">
        <v>1</v>
      </c>
      <c r="KQ58">
        <v>0</v>
      </c>
      <c r="KR58">
        <v>0</v>
      </c>
      <c r="KS58">
        <v>1</v>
      </c>
      <c r="KT58">
        <v>0</v>
      </c>
      <c r="KU58">
        <v>0</v>
      </c>
      <c r="KV58">
        <v>1</v>
      </c>
      <c r="KW58">
        <v>0</v>
      </c>
      <c r="KX58">
        <v>0</v>
      </c>
      <c r="KY58">
        <v>1</v>
      </c>
      <c r="KZ58">
        <v>0</v>
      </c>
      <c r="LA58">
        <v>0</v>
      </c>
      <c r="LB58">
        <v>0</v>
      </c>
      <c r="LC58">
        <v>0</v>
      </c>
      <c r="LD58">
        <v>0</v>
      </c>
      <c r="LE58">
        <v>0</v>
      </c>
      <c r="LF58">
        <v>0</v>
      </c>
      <c r="LG58">
        <v>0</v>
      </c>
      <c r="LH58">
        <v>0</v>
      </c>
      <c r="LI58">
        <v>0</v>
      </c>
      <c r="LJ58">
        <v>0</v>
      </c>
      <c r="LK58">
        <v>0</v>
      </c>
      <c r="LN58" t="s">
        <v>393</v>
      </c>
      <c r="LO58" t="s">
        <v>394</v>
      </c>
      <c r="LP58" t="s">
        <v>395</v>
      </c>
      <c r="LQ58">
        <v>0.38190000000000002</v>
      </c>
      <c r="LR58">
        <v>22.688300000000002</v>
      </c>
      <c r="LS58">
        <v>16.043099999999999</v>
      </c>
      <c r="LT58">
        <v>3530</v>
      </c>
      <c r="LU58">
        <v>1348</v>
      </c>
      <c r="LV58">
        <v>115.7688</v>
      </c>
      <c r="LW58">
        <v>0.89359999999999995</v>
      </c>
      <c r="LX58">
        <v>0.57389999999999997</v>
      </c>
      <c r="LY58">
        <v>0.57389999999999997</v>
      </c>
      <c r="LZ58">
        <v>0.57389999999999997</v>
      </c>
      <c r="MA58">
        <v>0</v>
      </c>
      <c r="MB58">
        <v>1999</v>
      </c>
      <c r="MC58">
        <v>1</v>
      </c>
      <c r="MD58" t="s">
        <v>396</v>
      </c>
      <c r="ME58" t="s">
        <v>517</v>
      </c>
    </row>
    <row r="59" spans="1:343" ht="16.95" customHeight="1" x14ac:dyDescent="0.3">
      <c r="A59" t="s">
        <v>1861</v>
      </c>
      <c r="B59" t="s">
        <v>1862</v>
      </c>
      <c r="C59" t="s">
        <v>345</v>
      </c>
      <c r="D59" t="s">
        <v>346</v>
      </c>
      <c r="E59" t="s">
        <v>347</v>
      </c>
      <c r="F59" t="s">
        <v>1863</v>
      </c>
      <c r="G59" t="s">
        <v>1864</v>
      </c>
      <c r="H59" t="s">
        <v>1865</v>
      </c>
      <c r="I59" t="s">
        <v>351</v>
      </c>
      <c r="J59">
        <v>920</v>
      </c>
      <c r="K59">
        <v>417</v>
      </c>
      <c r="L59">
        <v>0.45329999999999998</v>
      </c>
      <c r="M59">
        <v>68</v>
      </c>
      <c r="N59">
        <v>3</v>
      </c>
      <c r="O59">
        <v>1</v>
      </c>
      <c r="P59">
        <v>13.5</v>
      </c>
      <c r="Q59">
        <v>22.7</v>
      </c>
      <c r="R59">
        <v>22.8</v>
      </c>
      <c r="S59">
        <v>10.1</v>
      </c>
      <c r="T59">
        <v>8.9</v>
      </c>
      <c r="U59">
        <v>2</v>
      </c>
      <c r="V59">
        <v>5.0999999999999996</v>
      </c>
      <c r="W59">
        <v>5</v>
      </c>
      <c r="X59">
        <v>4.2</v>
      </c>
      <c r="Y59">
        <v>6</v>
      </c>
      <c r="Z59">
        <v>3</v>
      </c>
      <c r="AA59">
        <v>2</v>
      </c>
      <c r="AB59" t="s">
        <v>493</v>
      </c>
      <c r="AC59" t="b">
        <v>0</v>
      </c>
      <c r="AD59" t="s">
        <v>353</v>
      </c>
      <c r="AE59">
        <v>0.44690000000000002</v>
      </c>
      <c r="AF59" t="s">
        <v>354</v>
      </c>
      <c r="AG59">
        <v>0.21959999999999999</v>
      </c>
      <c r="AH59">
        <v>6.3200000000000006E-2</v>
      </c>
      <c r="AI59">
        <v>0.73109999999999997</v>
      </c>
      <c r="AJ59" t="s">
        <v>355</v>
      </c>
      <c r="AK59">
        <v>3.97</v>
      </c>
      <c r="AL59">
        <v>7</v>
      </c>
      <c r="AM59" t="s">
        <v>354</v>
      </c>
      <c r="AN59">
        <v>0</v>
      </c>
      <c r="AO59">
        <v>0</v>
      </c>
      <c r="AP59">
        <v>12</v>
      </c>
      <c r="AQ59">
        <v>13.04</v>
      </c>
      <c r="AR59">
        <v>12</v>
      </c>
      <c r="AS59">
        <v>1</v>
      </c>
      <c r="AT59" t="s">
        <v>357</v>
      </c>
      <c r="AU59">
        <v>14.7</v>
      </c>
      <c r="AV59">
        <v>10</v>
      </c>
      <c r="AW59" t="s">
        <v>354</v>
      </c>
      <c r="AX59">
        <v>5</v>
      </c>
      <c r="AY59">
        <v>5.43</v>
      </c>
      <c r="AZ59">
        <v>0</v>
      </c>
      <c r="BA59">
        <v>3</v>
      </c>
      <c r="BB59">
        <v>1</v>
      </c>
      <c r="BC59">
        <v>1</v>
      </c>
      <c r="BD59">
        <v>0</v>
      </c>
      <c r="BE59">
        <v>4</v>
      </c>
      <c r="BF59">
        <v>0</v>
      </c>
      <c r="BG59">
        <v>4</v>
      </c>
      <c r="BH59">
        <v>0</v>
      </c>
      <c r="BI59">
        <v>0.09</v>
      </c>
      <c r="BJ59" t="b">
        <v>0</v>
      </c>
      <c r="BK59" t="b">
        <v>0</v>
      </c>
      <c r="BL59">
        <v>3</v>
      </c>
      <c r="BM59">
        <v>3</v>
      </c>
      <c r="BN59">
        <v>2</v>
      </c>
      <c r="BO59">
        <v>1</v>
      </c>
      <c r="BP59">
        <v>0</v>
      </c>
      <c r="BQ59">
        <v>1</v>
      </c>
      <c r="BR59">
        <v>0</v>
      </c>
      <c r="BS59">
        <v>920</v>
      </c>
      <c r="BT59">
        <v>417</v>
      </c>
      <c r="BU59">
        <v>0.45329999999999998</v>
      </c>
      <c r="BV59">
        <v>3</v>
      </c>
      <c r="BW59">
        <v>1</v>
      </c>
      <c r="BX59">
        <v>306.7</v>
      </c>
      <c r="BZ59" t="s">
        <v>1866</v>
      </c>
      <c r="CA59" t="s">
        <v>1867</v>
      </c>
      <c r="CB59" t="s">
        <v>1868</v>
      </c>
      <c r="CC59" t="s">
        <v>1869</v>
      </c>
      <c r="CD59">
        <v>0</v>
      </c>
      <c r="CE59">
        <v>0</v>
      </c>
      <c r="CF59">
        <v>0</v>
      </c>
      <c r="CG59">
        <v>0</v>
      </c>
      <c r="CH59">
        <v>1</v>
      </c>
      <c r="CI59" t="s">
        <v>1870</v>
      </c>
      <c r="CJ59">
        <v>4</v>
      </c>
      <c r="CK59">
        <v>4.34</v>
      </c>
      <c r="CL59" t="s">
        <v>440</v>
      </c>
      <c r="CM59">
        <v>1</v>
      </c>
      <c r="CN59">
        <v>0</v>
      </c>
      <c r="CO59" t="b">
        <v>0</v>
      </c>
      <c r="CP59" t="b">
        <v>0</v>
      </c>
      <c r="CQ59" t="b">
        <v>1</v>
      </c>
      <c r="CR59" t="b">
        <v>0</v>
      </c>
      <c r="CS59" t="b">
        <v>0</v>
      </c>
      <c r="CT59" t="b">
        <v>0</v>
      </c>
      <c r="CU59" t="b">
        <v>0</v>
      </c>
      <c r="CV59">
        <v>0</v>
      </c>
      <c r="CW59">
        <v>0</v>
      </c>
      <c r="CX59">
        <v>0</v>
      </c>
      <c r="CY59">
        <v>0</v>
      </c>
      <c r="CZ59">
        <v>0</v>
      </c>
      <c r="DA59">
        <v>12</v>
      </c>
      <c r="DB59">
        <v>13.03</v>
      </c>
      <c r="DC59">
        <v>12</v>
      </c>
      <c r="DD59">
        <v>1</v>
      </c>
      <c r="DE59">
        <v>1.0900000000000001</v>
      </c>
      <c r="DF59">
        <v>2</v>
      </c>
      <c r="DG59">
        <v>2.17</v>
      </c>
      <c r="DH59">
        <v>4</v>
      </c>
      <c r="DI59">
        <v>4.34</v>
      </c>
      <c r="DJ59">
        <v>0.5</v>
      </c>
      <c r="DK59">
        <v>0</v>
      </c>
      <c r="DL59">
        <v>0</v>
      </c>
      <c r="DM59">
        <v>0</v>
      </c>
      <c r="DN59">
        <v>1</v>
      </c>
      <c r="DO59">
        <v>31</v>
      </c>
      <c r="DP59">
        <v>0</v>
      </c>
      <c r="DQ59">
        <v>0</v>
      </c>
      <c r="DR59" t="s">
        <v>1871</v>
      </c>
      <c r="DS59" t="s">
        <v>1872</v>
      </c>
      <c r="DT59" t="s">
        <v>1873</v>
      </c>
      <c r="DU59" t="s">
        <v>1871</v>
      </c>
      <c r="DV59" t="s">
        <v>1874</v>
      </c>
      <c r="DW59">
        <v>0.71</v>
      </c>
      <c r="DX59">
        <v>0</v>
      </c>
      <c r="DY59">
        <v>2</v>
      </c>
      <c r="DZ59">
        <v>5</v>
      </c>
      <c r="EA59">
        <v>1</v>
      </c>
      <c r="EB59">
        <v>8.7100000000000009</v>
      </c>
      <c r="EC59" t="s">
        <v>369</v>
      </c>
      <c r="ED59" t="s">
        <v>369</v>
      </c>
      <c r="EE59">
        <v>10</v>
      </c>
      <c r="EF59" t="s">
        <v>356</v>
      </c>
      <c r="EG59">
        <v>0.54</v>
      </c>
      <c r="EH59">
        <v>4.13</v>
      </c>
      <c r="EI59">
        <v>0.13200000000000001</v>
      </c>
      <c r="EJ59" t="s">
        <v>370</v>
      </c>
      <c r="EK59">
        <v>0.87</v>
      </c>
      <c r="EL59" t="s">
        <v>472</v>
      </c>
      <c r="EM59" t="s">
        <v>1875</v>
      </c>
      <c r="EN59">
        <v>2.64</v>
      </c>
      <c r="EO59" t="s">
        <v>474</v>
      </c>
      <c r="EP59">
        <v>0</v>
      </c>
      <c r="EQ59">
        <v>0</v>
      </c>
      <c r="ER59">
        <v>77</v>
      </c>
      <c r="ES59" t="s">
        <v>475</v>
      </c>
      <c r="ET59">
        <v>0.72</v>
      </c>
      <c r="EU59">
        <v>2.9</v>
      </c>
      <c r="EV59">
        <v>3.98</v>
      </c>
      <c r="EW59">
        <v>1.45</v>
      </c>
      <c r="EX59">
        <v>1.0900000000000001</v>
      </c>
      <c r="EY59">
        <v>2.5299999999999998</v>
      </c>
      <c r="EZ59">
        <v>1.45</v>
      </c>
      <c r="FA59">
        <v>2.17</v>
      </c>
      <c r="FB59">
        <v>4.34</v>
      </c>
      <c r="FC59">
        <v>5.79</v>
      </c>
      <c r="FD59" t="s">
        <v>375</v>
      </c>
      <c r="FE59">
        <v>59</v>
      </c>
      <c r="FF59" t="s">
        <v>1876</v>
      </c>
      <c r="FG59" t="s">
        <v>1877</v>
      </c>
      <c r="FH59" t="s">
        <v>1878</v>
      </c>
      <c r="FI59" t="s">
        <v>1879</v>
      </c>
      <c r="FJ59" t="s">
        <v>1880</v>
      </c>
      <c r="FK59" t="s">
        <v>1881</v>
      </c>
      <c r="FL59" t="s">
        <v>1882</v>
      </c>
      <c r="FM59">
        <v>0</v>
      </c>
      <c r="FN59">
        <v>0.53469999999999995</v>
      </c>
      <c r="FO59">
        <v>0.77500000000000002</v>
      </c>
      <c r="FP59">
        <v>0.63560000000000005</v>
      </c>
      <c r="FQ59">
        <v>0.4783</v>
      </c>
      <c r="FR59">
        <v>2.9000000000000001E-2</v>
      </c>
      <c r="FS59">
        <v>2.9000000000000001E-2</v>
      </c>
      <c r="FT59">
        <v>0</v>
      </c>
      <c r="FU59">
        <v>1.4500000000000001E-2</v>
      </c>
      <c r="FV59">
        <v>0.17680000000000001</v>
      </c>
      <c r="FW59">
        <v>3.5000000000000003E-2</v>
      </c>
      <c r="FX59">
        <v>4.6699999999999998E-2</v>
      </c>
      <c r="FY59">
        <v>0.26090000000000002</v>
      </c>
      <c r="FZ59">
        <v>3.1099999999999999E-2</v>
      </c>
      <c r="GA59">
        <v>69</v>
      </c>
      <c r="GB59">
        <v>1</v>
      </c>
      <c r="GC59">
        <v>1</v>
      </c>
      <c r="GD59">
        <v>38</v>
      </c>
      <c r="GE59">
        <v>0</v>
      </c>
      <c r="GF59">
        <v>14</v>
      </c>
      <c r="GG59">
        <v>0</v>
      </c>
      <c r="GH59">
        <v>2</v>
      </c>
      <c r="GI59">
        <v>0</v>
      </c>
      <c r="GJ59">
        <v>2</v>
      </c>
      <c r="GK59">
        <v>0.14000000000000001</v>
      </c>
      <c r="GL59">
        <v>0</v>
      </c>
      <c r="GM59">
        <v>0</v>
      </c>
      <c r="GN59">
        <v>0</v>
      </c>
      <c r="GO59">
        <v>0</v>
      </c>
      <c r="GP59">
        <v>0</v>
      </c>
      <c r="GQ59">
        <v>0</v>
      </c>
      <c r="GR59">
        <v>0</v>
      </c>
      <c r="GS59">
        <v>0.14000000000000001</v>
      </c>
      <c r="GT59">
        <v>0</v>
      </c>
      <c r="GU59">
        <v>0.14000000000000001</v>
      </c>
      <c r="GV59">
        <v>0.14000000000000001</v>
      </c>
      <c r="GW59">
        <v>0</v>
      </c>
      <c r="GX59">
        <v>0</v>
      </c>
      <c r="GY59">
        <v>0</v>
      </c>
      <c r="GZ59">
        <v>0</v>
      </c>
      <c r="HA59">
        <v>0</v>
      </c>
      <c r="HB59">
        <v>0</v>
      </c>
      <c r="HC59" t="s">
        <v>383</v>
      </c>
      <c r="HD59">
        <v>0</v>
      </c>
      <c r="HE59">
        <v>0</v>
      </c>
      <c r="HF59">
        <v>0</v>
      </c>
      <c r="HG59">
        <v>0</v>
      </c>
      <c r="HH59">
        <v>0</v>
      </c>
      <c r="HI59" t="s">
        <v>383</v>
      </c>
      <c r="HJ59">
        <v>0</v>
      </c>
      <c r="HK59">
        <v>0</v>
      </c>
      <c r="HL59">
        <v>0</v>
      </c>
      <c r="HM59">
        <v>0</v>
      </c>
      <c r="HN59">
        <v>0</v>
      </c>
      <c r="HO59" t="s">
        <v>383</v>
      </c>
      <c r="HP59">
        <v>0</v>
      </c>
      <c r="HQ59">
        <v>0</v>
      </c>
      <c r="HR59">
        <v>0</v>
      </c>
      <c r="HS59">
        <v>0</v>
      </c>
      <c r="HT59">
        <v>0</v>
      </c>
      <c r="HU59" t="s">
        <v>383</v>
      </c>
      <c r="HV59">
        <v>0</v>
      </c>
      <c r="HW59">
        <v>0</v>
      </c>
      <c r="HX59">
        <v>0</v>
      </c>
      <c r="HY59">
        <v>0</v>
      </c>
      <c r="HZ59">
        <v>0</v>
      </c>
      <c r="IA59" t="s">
        <v>384</v>
      </c>
      <c r="IB59">
        <v>0</v>
      </c>
      <c r="IC59">
        <v>0</v>
      </c>
      <c r="ID59">
        <v>0</v>
      </c>
      <c r="IE59">
        <v>0</v>
      </c>
      <c r="IF59">
        <v>0</v>
      </c>
      <c r="IG59" t="s">
        <v>384</v>
      </c>
      <c r="IH59">
        <v>0</v>
      </c>
      <c r="II59">
        <v>0</v>
      </c>
      <c r="IJ59">
        <v>0</v>
      </c>
      <c r="IK59">
        <v>0</v>
      </c>
      <c r="IL59">
        <v>0</v>
      </c>
      <c r="IM59" t="s">
        <v>384</v>
      </c>
      <c r="IN59">
        <v>0</v>
      </c>
      <c r="IO59">
        <v>0</v>
      </c>
      <c r="IP59">
        <v>0</v>
      </c>
      <c r="IQ59">
        <v>0</v>
      </c>
      <c r="IR59">
        <v>0</v>
      </c>
      <c r="IS59" t="s">
        <v>384</v>
      </c>
      <c r="IT59">
        <v>0</v>
      </c>
      <c r="IU59">
        <v>0</v>
      </c>
      <c r="IV59">
        <v>0</v>
      </c>
      <c r="IW59">
        <v>0</v>
      </c>
      <c r="IX59">
        <v>0</v>
      </c>
      <c r="IY59">
        <v>0</v>
      </c>
      <c r="IZ59">
        <v>0</v>
      </c>
      <c r="JA59">
        <v>0</v>
      </c>
      <c r="JD59" t="s">
        <v>568</v>
      </c>
      <c r="JE59" t="s">
        <v>386</v>
      </c>
      <c r="JF59" t="s">
        <v>1883</v>
      </c>
      <c r="JG59" t="s">
        <v>1884</v>
      </c>
      <c r="JH59" t="s">
        <v>1885</v>
      </c>
      <c r="JI59" t="s">
        <v>1886</v>
      </c>
      <c r="JJ59">
        <v>0.38329999999999997</v>
      </c>
      <c r="JK59">
        <v>0</v>
      </c>
      <c r="JL59" t="s">
        <v>391</v>
      </c>
      <c r="JM59">
        <v>0</v>
      </c>
      <c r="JN59">
        <v>0</v>
      </c>
      <c r="JO59">
        <v>0</v>
      </c>
      <c r="JP59">
        <v>0</v>
      </c>
      <c r="JQ59">
        <v>0</v>
      </c>
      <c r="JR59">
        <v>0</v>
      </c>
      <c r="JS59">
        <v>0</v>
      </c>
      <c r="JT59">
        <v>0</v>
      </c>
      <c r="JU59">
        <v>0</v>
      </c>
      <c r="JV59">
        <v>0</v>
      </c>
      <c r="JX59" t="s">
        <v>392</v>
      </c>
      <c r="JY59">
        <v>0</v>
      </c>
      <c r="JZ59">
        <v>0</v>
      </c>
      <c r="KA59">
        <v>1</v>
      </c>
      <c r="KB59">
        <v>0</v>
      </c>
      <c r="KC59">
        <v>0</v>
      </c>
      <c r="KD59">
        <v>1</v>
      </c>
      <c r="KE59">
        <v>0</v>
      </c>
      <c r="KF59">
        <v>0</v>
      </c>
      <c r="KG59">
        <v>1</v>
      </c>
      <c r="KH59">
        <v>0</v>
      </c>
      <c r="KI59">
        <v>0</v>
      </c>
      <c r="KJ59">
        <v>1</v>
      </c>
      <c r="KK59">
        <v>0</v>
      </c>
      <c r="KL59">
        <v>0</v>
      </c>
      <c r="KM59">
        <v>1</v>
      </c>
      <c r="KN59">
        <v>0</v>
      </c>
      <c r="KO59">
        <v>0</v>
      </c>
      <c r="KP59">
        <v>1</v>
      </c>
      <c r="KQ59">
        <v>0</v>
      </c>
      <c r="KR59">
        <v>0</v>
      </c>
      <c r="KS59">
        <v>1</v>
      </c>
      <c r="KT59">
        <v>0</v>
      </c>
      <c r="KU59">
        <v>0</v>
      </c>
      <c r="KV59">
        <v>1</v>
      </c>
      <c r="KW59">
        <v>0</v>
      </c>
      <c r="KX59">
        <v>0</v>
      </c>
      <c r="KY59">
        <v>1</v>
      </c>
      <c r="KZ59">
        <v>0</v>
      </c>
      <c r="LA59">
        <v>0</v>
      </c>
      <c r="LB59">
        <v>0</v>
      </c>
      <c r="LC59">
        <v>0</v>
      </c>
      <c r="LD59">
        <v>0</v>
      </c>
      <c r="LE59">
        <v>0</v>
      </c>
      <c r="LF59">
        <v>0</v>
      </c>
      <c r="LG59">
        <v>0</v>
      </c>
      <c r="LH59">
        <v>0</v>
      </c>
      <c r="LI59">
        <v>0</v>
      </c>
      <c r="LJ59">
        <v>0</v>
      </c>
      <c r="LK59">
        <v>0</v>
      </c>
      <c r="LN59" t="s">
        <v>393</v>
      </c>
      <c r="LO59" t="s">
        <v>394</v>
      </c>
      <c r="LP59" t="s">
        <v>395</v>
      </c>
      <c r="LQ59">
        <v>0.47520000000000001</v>
      </c>
      <c r="LR59">
        <v>13.9923</v>
      </c>
      <c r="LS59">
        <v>9.8940000000000001</v>
      </c>
      <c r="LT59">
        <v>867</v>
      </c>
      <c r="LU59">
        <v>412</v>
      </c>
      <c r="LV59">
        <v>144.5</v>
      </c>
      <c r="LW59">
        <v>0.92910000000000004</v>
      </c>
      <c r="LX59">
        <v>0.62170000000000003</v>
      </c>
      <c r="LY59">
        <v>0.62170000000000003</v>
      </c>
      <c r="LZ59">
        <v>0.62170000000000003</v>
      </c>
      <c r="MA59">
        <v>0</v>
      </c>
      <c r="MB59">
        <v>534</v>
      </c>
      <c r="MC59">
        <v>1</v>
      </c>
      <c r="MD59" t="s">
        <v>396</v>
      </c>
      <c r="ME59" t="s">
        <v>517</v>
      </c>
    </row>
    <row r="60" spans="1:343" ht="16.95" customHeight="1" x14ac:dyDescent="0.3">
      <c r="A60" t="s">
        <v>1887</v>
      </c>
      <c r="B60" t="s">
        <v>1888</v>
      </c>
      <c r="C60" t="s">
        <v>345</v>
      </c>
      <c r="D60" t="s">
        <v>346</v>
      </c>
      <c r="E60" t="s">
        <v>347</v>
      </c>
      <c r="F60" t="s">
        <v>1889</v>
      </c>
      <c r="G60" t="s">
        <v>1890</v>
      </c>
      <c r="H60" t="s">
        <v>1891</v>
      </c>
      <c r="I60" t="s">
        <v>351</v>
      </c>
      <c r="J60">
        <v>340</v>
      </c>
      <c r="K60">
        <v>189</v>
      </c>
      <c r="L60">
        <v>0.55589999999999995</v>
      </c>
      <c r="M60">
        <v>23</v>
      </c>
      <c r="N60">
        <v>3</v>
      </c>
      <c r="O60">
        <v>1</v>
      </c>
      <c r="P60">
        <v>14.8</v>
      </c>
      <c r="Q60">
        <v>7.7</v>
      </c>
      <c r="R60">
        <v>20.399999999999999</v>
      </c>
      <c r="S60">
        <v>6.4</v>
      </c>
      <c r="T60">
        <v>6.2</v>
      </c>
      <c r="U60">
        <v>2.1</v>
      </c>
      <c r="V60">
        <v>5</v>
      </c>
      <c r="W60">
        <v>1</v>
      </c>
      <c r="X60">
        <v>3.4</v>
      </c>
      <c r="Y60">
        <v>0</v>
      </c>
      <c r="Z60">
        <v>0</v>
      </c>
      <c r="AA60">
        <v>0</v>
      </c>
      <c r="AB60" t="s">
        <v>493</v>
      </c>
      <c r="AC60" t="b">
        <v>0</v>
      </c>
      <c r="AD60" t="s">
        <v>353</v>
      </c>
      <c r="AE60">
        <v>0.53</v>
      </c>
      <c r="AF60" t="s">
        <v>354</v>
      </c>
      <c r="AG60">
        <v>0.1353</v>
      </c>
      <c r="AH60">
        <v>3.2500000000000001E-2</v>
      </c>
      <c r="AI60">
        <v>0.83660000000000001</v>
      </c>
      <c r="AJ60" t="s">
        <v>355</v>
      </c>
      <c r="AK60">
        <v>4.22</v>
      </c>
      <c r="AL60">
        <v>6</v>
      </c>
      <c r="AM60" t="s">
        <v>356</v>
      </c>
      <c r="AN60">
        <v>0</v>
      </c>
      <c r="AO60">
        <v>0</v>
      </c>
      <c r="AP60">
        <v>3</v>
      </c>
      <c r="AQ60">
        <v>8.82</v>
      </c>
      <c r="AR60">
        <v>3</v>
      </c>
      <c r="AS60">
        <v>0</v>
      </c>
      <c r="AT60" t="s">
        <v>357</v>
      </c>
      <c r="AU60">
        <v>13</v>
      </c>
      <c r="AV60">
        <v>3</v>
      </c>
      <c r="AW60" t="s">
        <v>354</v>
      </c>
      <c r="AX60">
        <v>2</v>
      </c>
      <c r="AY60">
        <v>5.88</v>
      </c>
      <c r="AZ60">
        <v>0</v>
      </c>
      <c r="BA60">
        <v>2</v>
      </c>
      <c r="BB60">
        <v>0</v>
      </c>
      <c r="BC60">
        <v>0</v>
      </c>
      <c r="BD60">
        <v>0</v>
      </c>
      <c r="BE60">
        <v>2</v>
      </c>
      <c r="BF60">
        <v>0</v>
      </c>
      <c r="BG60">
        <v>2</v>
      </c>
      <c r="BH60">
        <v>0</v>
      </c>
      <c r="BI60">
        <v>0</v>
      </c>
      <c r="BJ60" t="b">
        <v>1</v>
      </c>
      <c r="BK60" t="b">
        <v>0</v>
      </c>
      <c r="BL60">
        <v>3</v>
      </c>
      <c r="BM60">
        <v>3</v>
      </c>
      <c r="BN60">
        <v>2</v>
      </c>
      <c r="BO60">
        <v>1</v>
      </c>
      <c r="BP60">
        <v>0</v>
      </c>
      <c r="BQ60">
        <v>1</v>
      </c>
      <c r="BR60">
        <v>0</v>
      </c>
      <c r="BS60">
        <v>340</v>
      </c>
      <c r="BT60">
        <v>189</v>
      </c>
      <c r="BU60">
        <v>0.55589999999999995</v>
      </c>
      <c r="BV60">
        <v>3</v>
      </c>
      <c r="BW60">
        <v>1</v>
      </c>
      <c r="BX60">
        <v>113.3</v>
      </c>
      <c r="BZ60" t="s">
        <v>1892</v>
      </c>
      <c r="CA60" t="s">
        <v>1893</v>
      </c>
      <c r="CB60" t="s">
        <v>1894</v>
      </c>
      <c r="CC60" t="s">
        <v>1895</v>
      </c>
      <c r="CD60">
        <v>0</v>
      </c>
      <c r="CE60">
        <v>0</v>
      </c>
      <c r="CF60">
        <v>0</v>
      </c>
      <c r="CG60">
        <v>0</v>
      </c>
      <c r="CH60">
        <v>1</v>
      </c>
      <c r="CI60" t="s">
        <v>362</v>
      </c>
      <c r="CJ60">
        <v>3</v>
      </c>
      <c r="CK60">
        <v>8.8000000000000007</v>
      </c>
      <c r="CL60" t="s">
        <v>407</v>
      </c>
      <c r="CM60">
        <v>1</v>
      </c>
      <c r="CN60">
        <v>0</v>
      </c>
      <c r="CO60" t="b">
        <v>0</v>
      </c>
      <c r="CP60" t="b">
        <v>1</v>
      </c>
      <c r="CQ60" t="b">
        <v>1</v>
      </c>
      <c r="CR60" t="b">
        <v>0</v>
      </c>
      <c r="CS60" t="b">
        <v>0</v>
      </c>
      <c r="CT60" t="b">
        <v>0</v>
      </c>
      <c r="CU60" t="b">
        <v>0</v>
      </c>
      <c r="CV60">
        <v>0</v>
      </c>
      <c r="CW60">
        <v>0</v>
      </c>
      <c r="CX60">
        <v>0</v>
      </c>
      <c r="CY60">
        <v>0</v>
      </c>
      <c r="CZ60">
        <v>0</v>
      </c>
      <c r="DA60">
        <v>3</v>
      </c>
      <c r="DB60">
        <v>8.8000000000000007</v>
      </c>
      <c r="DC60">
        <v>3</v>
      </c>
      <c r="DD60">
        <v>0</v>
      </c>
      <c r="DE60">
        <v>0</v>
      </c>
      <c r="DF60">
        <v>0</v>
      </c>
      <c r="DG60">
        <v>0</v>
      </c>
      <c r="DH60">
        <v>1</v>
      </c>
      <c r="DI60">
        <v>2.93</v>
      </c>
      <c r="DJ60">
        <v>0</v>
      </c>
      <c r="DK60">
        <v>0</v>
      </c>
      <c r="DL60">
        <v>0</v>
      </c>
      <c r="DM60">
        <v>0</v>
      </c>
      <c r="DN60">
        <v>0</v>
      </c>
      <c r="DO60">
        <v>29</v>
      </c>
      <c r="DP60">
        <v>1</v>
      </c>
      <c r="DQ60">
        <v>2.93</v>
      </c>
      <c r="DR60" t="s">
        <v>1896</v>
      </c>
      <c r="DS60" t="s">
        <v>1897</v>
      </c>
      <c r="DT60" t="s">
        <v>1898</v>
      </c>
      <c r="DU60" t="s">
        <v>1896</v>
      </c>
      <c r="DV60" t="s">
        <v>1001</v>
      </c>
      <c r="DW60">
        <v>1.43</v>
      </c>
      <c r="DX60">
        <v>0</v>
      </c>
      <c r="DY60">
        <v>2</v>
      </c>
      <c r="DZ60">
        <v>5</v>
      </c>
      <c r="EA60">
        <v>0</v>
      </c>
      <c r="EB60">
        <v>8.43</v>
      </c>
      <c r="EC60" t="s">
        <v>369</v>
      </c>
      <c r="ED60" t="s">
        <v>413</v>
      </c>
      <c r="EE60">
        <v>7.48</v>
      </c>
      <c r="EF60" t="s">
        <v>559</v>
      </c>
      <c r="EG60">
        <v>0.88</v>
      </c>
      <c r="EH60">
        <v>3.52</v>
      </c>
      <c r="EI60">
        <v>0.25</v>
      </c>
      <c r="EJ60" t="s">
        <v>370</v>
      </c>
      <c r="EK60">
        <v>0</v>
      </c>
      <c r="EL60" t="s">
        <v>393</v>
      </c>
      <c r="EM60" t="s">
        <v>1899</v>
      </c>
      <c r="EN60">
        <v>3.03</v>
      </c>
      <c r="EO60" t="s">
        <v>373</v>
      </c>
      <c r="EP60">
        <v>0</v>
      </c>
      <c r="EQ60">
        <v>2</v>
      </c>
      <c r="ER60">
        <v>48.4</v>
      </c>
      <c r="ES60" t="s">
        <v>374</v>
      </c>
      <c r="ET60">
        <v>0</v>
      </c>
      <c r="EU60">
        <v>4.8899999999999997</v>
      </c>
      <c r="EV60">
        <v>5.87</v>
      </c>
      <c r="EW60">
        <v>2.93</v>
      </c>
      <c r="EX60">
        <v>0.98</v>
      </c>
      <c r="EY60">
        <v>4.8899999999999997</v>
      </c>
      <c r="EZ60">
        <v>1.96</v>
      </c>
      <c r="FA60">
        <v>4.8899999999999997</v>
      </c>
      <c r="FB60">
        <v>2.93</v>
      </c>
      <c r="FC60">
        <v>0.98</v>
      </c>
      <c r="FD60" t="s">
        <v>375</v>
      </c>
      <c r="FE60">
        <v>41</v>
      </c>
      <c r="FF60" t="s">
        <v>1824</v>
      </c>
      <c r="FG60" t="s">
        <v>1900</v>
      </c>
      <c r="FH60" t="s">
        <v>1901</v>
      </c>
      <c r="FI60" t="s">
        <v>1902</v>
      </c>
      <c r="FJ60" t="s">
        <v>1903</v>
      </c>
      <c r="FK60" t="s">
        <v>1904</v>
      </c>
      <c r="FL60" t="s">
        <v>1905</v>
      </c>
      <c r="FM60">
        <v>0</v>
      </c>
      <c r="FN60">
        <v>0.54079999999999995</v>
      </c>
      <c r="FO60">
        <v>0.77500000000000002</v>
      </c>
      <c r="FP60">
        <v>0.63919999999999999</v>
      </c>
      <c r="FQ60">
        <v>0.4783</v>
      </c>
      <c r="FR60">
        <v>0</v>
      </c>
      <c r="FS60">
        <v>0</v>
      </c>
      <c r="FT60">
        <v>0</v>
      </c>
      <c r="FU60">
        <v>2.1700000000000001E-2</v>
      </c>
      <c r="FV60">
        <v>0.1043</v>
      </c>
      <c r="FW60">
        <v>0</v>
      </c>
      <c r="FX60">
        <v>0</v>
      </c>
      <c r="FY60">
        <v>0.22109999999999999</v>
      </c>
      <c r="FZ60">
        <v>4.4400000000000002E-2</v>
      </c>
      <c r="GA60">
        <v>23</v>
      </c>
      <c r="GB60">
        <v>1</v>
      </c>
      <c r="GC60">
        <v>1</v>
      </c>
      <c r="GD60">
        <v>10</v>
      </c>
      <c r="GE60">
        <v>0</v>
      </c>
      <c r="GF60">
        <v>4</v>
      </c>
      <c r="GG60">
        <v>0</v>
      </c>
      <c r="GH60">
        <v>0</v>
      </c>
      <c r="GI60">
        <v>0</v>
      </c>
      <c r="GJ60">
        <v>0</v>
      </c>
      <c r="GK60">
        <v>0</v>
      </c>
      <c r="GL60">
        <v>0</v>
      </c>
      <c r="GM60">
        <v>0</v>
      </c>
      <c r="GN60">
        <v>0</v>
      </c>
      <c r="GO60">
        <v>0</v>
      </c>
      <c r="GP60">
        <v>0</v>
      </c>
      <c r="GQ60">
        <v>0</v>
      </c>
      <c r="GR60">
        <v>0</v>
      </c>
      <c r="GS60">
        <v>0</v>
      </c>
      <c r="GT60">
        <v>0</v>
      </c>
      <c r="GU60">
        <v>0</v>
      </c>
      <c r="GV60">
        <v>0.4</v>
      </c>
      <c r="GW60">
        <v>0</v>
      </c>
      <c r="GX60">
        <v>0</v>
      </c>
      <c r="GY60">
        <v>0</v>
      </c>
      <c r="GZ60">
        <v>0</v>
      </c>
      <c r="HA60">
        <v>0</v>
      </c>
      <c r="HB60">
        <v>0</v>
      </c>
      <c r="HC60" t="s">
        <v>383</v>
      </c>
      <c r="HD60">
        <v>0</v>
      </c>
      <c r="HE60">
        <v>0</v>
      </c>
      <c r="HF60">
        <v>0</v>
      </c>
      <c r="HG60">
        <v>0</v>
      </c>
      <c r="HH60">
        <v>0</v>
      </c>
      <c r="HI60" t="s">
        <v>383</v>
      </c>
      <c r="HJ60">
        <v>0</v>
      </c>
      <c r="HK60">
        <v>0</v>
      </c>
      <c r="HL60">
        <v>0</v>
      </c>
      <c r="HM60">
        <v>0</v>
      </c>
      <c r="HN60">
        <v>0</v>
      </c>
      <c r="HO60" t="s">
        <v>383</v>
      </c>
      <c r="HP60">
        <v>0</v>
      </c>
      <c r="HQ60">
        <v>0</v>
      </c>
      <c r="HR60">
        <v>0</v>
      </c>
      <c r="HS60">
        <v>0</v>
      </c>
      <c r="HT60">
        <v>0</v>
      </c>
      <c r="HU60" t="s">
        <v>383</v>
      </c>
      <c r="HV60">
        <v>0</v>
      </c>
      <c r="HW60">
        <v>0</v>
      </c>
      <c r="HX60">
        <v>0</v>
      </c>
      <c r="HY60">
        <v>0</v>
      </c>
      <c r="HZ60">
        <v>0</v>
      </c>
      <c r="IA60" t="s">
        <v>384</v>
      </c>
      <c r="IB60">
        <v>0</v>
      </c>
      <c r="IC60">
        <v>0</v>
      </c>
      <c r="ID60">
        <v>0</v>
      </c>
      <c r="IE60">
        <v>0</v>
      </c>
      <c r="IF60">
        <v>0</v>
      </c>
      <c r="IG60" t="s">
        <v>384</v>
      </c>
      <c r="IH60">
        <v>0</v>
      </c>
      <c r="II60">
        <v>0</v>
      </c>
      <c r="IJ60">
        <v>0</v>
      </c>
      <c r="IK60">
        <v>0</v>
      </c>
      <c r="IL60">
        <v>0</v>
      </c>
      <c r="IM60" t="s">
        <v>384</v>
      </c>
      <c r="IN60">
        <v>0</v>
      </c>
      <c r="IO60">
        <v>0</v>
      </c>
      <c r="IP60">
        <v>0</v>
      </c>
      <c r="IQ60">
        <v>0</v>
      </c>
      <c r="IR60">
        <v>0</v>
      </c>
      <c r="IS60" t="s">
        <v>384</v>
      </c>
      <c r="IT60">
        <v>0</v>
      </c>
      <c r="IU60">
        <v>0</v>
      </c>
      <c r="IV60">
        <v>0</v>
      </c>
      <c r="IW60">
        <v>0</v>
      </c>
      <c r="IX60">
        <v>0</v>
      </c>
      <c r="IY60">
        <v>0</v>
      </c>
      <c r="IZ60">
        <v>0</v>
      </c>
      <c r="JA60">
        <v>0</v>
      </c>
      <c r="JD60" t="s">
        <v>1165</v>
      </c>
      <c r="JE60" t="s">
        <v>779</v>
      </c>
      <c r="JF60" t="s">
        <v>1906</v>
      </c>
      <c r="JG60" t="s">
        <v>1907</v>
      </c>
      <c r="JH60" t="s">
        <v>1908</v>
      </c>
      <c r="JI60" t="s">
        <v>1909</v>
      </c>
      <c r="JJ60">
        <v>0.48330000000000001</v>
      </c>
      <c r="JK60">
        <v>0</v>
      </c>
      <c r="JL60" t="s">
        <v>391</v>
      </c>
      <c r="JM60">
        <v>0</v>
      </c>
      <c r="JN60">
        <v>0</v>
      </c>
      <c r="JO60">
        <v>0</v>
      </c>
      <c r="JP60">
        <v>0</v>
      </c>
      <c r="JQ60">
        <v>0</v>
      </c>
      <c r="JR60">
        <v>0</v>
      </c>
      <c r="JS60">
        <v>0</v>
      </c>
      <c r="JT60">
        <v>0</v>
      </c>
      <c r="JU60">
        <v>0</v>
      </c>
      <c r="JV60">
        <v>0</v>
      </c>
      <c r="JX60" t="s">
        <v>392</v>
      </c>
      <c r="JY60">
        <v>0</v>
      </c>
      <c r="JZ60">
        <v>0</v>
      </c>
      <c r="KA60">
        <v>1</v>
      </c>
      <c r="KB60">
        <v>0</v>
      </c>
      <c r="KC60">
        <v>0</v>
      </c>
      <c r="KD60">
        <v>1</v>
      </c>
      <c r="KE60">
        <v>0</v>
      </c>
      <c r="KF60">
        <v>0</v>
      </c>
      <c r="KG60">
        <v>1</v>
      </c>
      <c r="KH60">
        <v>0</v>
      </c>
      <c r="KI60">
        <v>0</v>
      </c>
      <c r="KJ60">
        <v>1</v>
      </c>
      <c r="KK60">
        <v>0</v>
      </c>
      <c r="KL60">
        <v>0</v>
      </c>
      <c r="KM60">
        <v>1</v>
      </c>
      <c r="KN60">
        <v>0</v>
      </c>
      <c r="KO60">
        <v>0</v>
      </c>
      <c r="KP60">
        <v>1</v>
      </c>
      <c r="KQ60">
        <v>0</v>
      </c>
      <c r="KR60">
        <v>0</v>
      </c>
      <c r="KS60">
        <v>1</v>
      </c>
      <c r="KT60">
        <v>0</v>
      </c>
      <c r="KU60">
        <v>0</v>
      </c>
      <c r="KV60">
        <v>1</v>
      </c>
      <c r="KW60">
        <v>0</v>
      </c>
      <c r="KX60">
        <v>0</v>
      </c>
      <c r="KY60">
        <v>1</v>
      </c>
      <c r="KZ60">
        <v>0</v>
      </c>
      <c r="LA60">
        <v>0</v>
      </c>
      <c r="LB60">
        <v>0</v>
      </c>
      <c r="LC60">
        <v>0</v>
      </c>
      <c r="LD60">
        <v>0</v>
      </c>
      <c r="LE60">
        <v>0</v>
      </c>
      <c r="LF60">
        <v>0</v>
      </c>
      <c r="LG60">
        <v>0</v>
      </c>
      <c r="LH60">
        <v>0</v>
      </c>
      <c r="LI60">
        <v>0</v>
      </c>
      <c r="LJ60">
        <v>0</v>
      </c>
      <c r="LK60">
        <v>0</v>
      </c>
      <c r="LN60" t="s">
        <v>393</v>
      </c>
      <c r="LO60" t="s">
        <v>394</v>
      </c>
      <c r="LP60" t="s">
        <v>395</v>
      </c>
      <c r="LQ60">
        <v>0.63639999999999997</v>
      </c>
      <c r="LR60">
        <v>10.761900000000001</v>
      </c>
      <c r="LS60">
        <v>7.6097999999999999</v>
      </c>
      <c r="LT60">
        <v>286</v>
      </c>
      <c r="LU60">
        <v>182</v>
      </c>
      <c r="LV60">
        <v>95.333299999999994</v>
      </c>
      <c r="LW60">
        <v>0.91210000000000002</v>
      </c>
      <c r="LX60">
        <v>0.60840000000000005</v>
      </c>
      <c r="LY60">
        <v>0.60840000000000005</v>
      </c>
      <c r="LZ60">
        <v>0.60840000000000005</v>
      </c>
      <c r="MA60">
        <v>0</v>
      </c>
      <c r="MB60">
        <v>174</v>
      </c>
      <c r="MC60">
        <v>1</v>
      </c>
      <c r="MD60" t="s">
        <v>396</v>
      </c>
      <c r="ME60" t="s">
        <v>517</v>
      </c>
    </row>
    <row r="61" spans="1:343" ht="16.95" customHeight="1" x14ac:dyDescent="0.3">
      <c r="A61" t="s">
        <v>1910</v>
      </c>
      <c r="B61" t="s">
        <v>1911</v>
      </c>
      <c r="C61" t="s">
        <v>345</v>
      </c>
      <c r="D61" t="s">
        <v>346</v>
      </c>
      <c r="E61" t="s">
        <v>347</v>
      </c>
      <c r="F61" t="s">
        <v>1912</v>
      </c>
      <c r="G61" t="s">
        <v>1913</v>
      </c>
      <c r="H61" t="s">
        <v>1914</v>
      </c>
      <c r="I61" t="s">
        <v>351</v>
      </c>
      <c r="J61">
        <v>1971</v>
      </c>
      <c r="K61">
        <v>949</v>
      </c>
      <c r="L61">
        <v>0.48149999999999998</v>
      </c>
      <c r="M61">
        <v>47</v>
      </c>
      <c r="N61">
        <v>3</v>
      </c>
      <c r="O61">
        <v>1</v>
      </c>
      <c r="P61">
        <v>41.9</v>
      </c>
      <c r="Q61">
        <v>15.7</v>
      </c>
      <c r="R61">
        <v>20</v>
      </c>
      <c r="S61">
        <v>6.8</v>
      </c>
      <c r="T61">
        <v>10.6</v>
      </c>
      <c r="U61">
        <v>1.7</v>
      </c>
      <c r="V61">
        <v>8.8000000000000007</v>
      </c>
      <c r="W61">
        <v>7</v>
      </c>
      <c r="X61">
        <v>4</v>
      </c>
      <c r="Y61">
        <v>1</v>
      </c>
      <c r="Z61">
        <v>0</v>
      </c>
      <c r="AA61">
        <v>1</v>
      </c>
      <c r="AB61" t="s">
        <v>352</v>
      </c>
      <c r="AC61" t="b">
        <v>0</v>
      </c>
      <c r="AD61" t="s">
        <v>353</v>
      </c>
      <c r="AE61">
        <v>0.42099999999999999</v>
      </c>
      <c r="AF61" t="s">
        <v>354</v>
      </c>
      <c r="AG61">
        <v>0.20899999999999999</v>
      </c>
      <c r="AH61">
        <v>2.4899999999999999E-2</v>
      </c>
      <c r="AI61">
        <v>0.77129999999999999</v>
      </c>
      <c r="AJ61" t="s">
        <v>355</v>
      </c>
      <c r="AK61">
        <v>7.1</v>
      </c>
      <c r="AL61">
        <v>17</v>
      </c>
      <c r="AM61" t="s">
        <v>356</v>
      </c>
      <c r="AN61">
        <v>0</v>
      </c>
      <c r="AO61">
        <v>0</v>
      </c>
      <c r="AP61">
        <v>37</v>
      </c>
      <c r="AQ61">
        <v>18.77</v>
      </c>
      <c r="AR61">
        <v>37</v>
      </c>
      <c r="AS61">
        <v>0</v>
      </c>
      <c r="AT61" t="s">
        <v>357</v>
      </c>
      <c r="AU61">
        <v>57.4</v>
      </c>
      <c r="AV61">
        <v>27</v>
      </c>
      <c r="AW61" t="s">
        <v>356</v>
      </c>
      <c r="AX61">
        <v>27</v>
      </c>
      <c r="AY61">
        <v>13.7</v>
      </c>
      <c r="AZ61">
        <v>24</v>
      </c>
      <c r="BA61">
        <v>2</v>
      </c>
      <c r="BB61">
        <v>0</v>
      </c>
      <c r="BC61">
        <v>1</v>
      </c>
      <c r="BD61">
        <v>0</v>
      </c>
      <c r="BE61">
        <v>2</v>
      </c>
      <c r="BF61">
        <v>24</v>
      </c>
      <c r="BG61">
        <v>0.08</v>
      </c>
      <c r="BH61">
        <v>0</v>
      </c>
      <c r="BI61">
        <v>0.1</v>
      </c>
      <c r="BJ61" t="b">
        <v>0</v>
      </c>
      <c r="BK61" t="b">
        <v>0</v>
      </c>
      <c r="BL61">
        <v>3</v>
      </c>
      <c r="BM61">
        <v>3</v>
      </c>
      <c r="BN61">
        <v>2</v>
      </c>
      <c r="BO61">
        <v>1</v>
      </c>
      <c r="BP61">
        <v>0</v>
      </c>
      <c r="BQ61">
        <v>1</v>
      </c>
      <c r="BR61">
        <v>0</v>
      </c>
      <c r="BS61">
        <v>1971</v>
      </c>
      <c r="BT61">
        <v>949</v>
      </c>
      <c r="BU61">
        <v>0.48149999999999998</v>
      </c>
      <c r="BV61">
        <v>3</v>
      </c>
      <c r="BW61">
        <v>1</v>
      </c>
      <c r="BX61">
        <v>657</v>
      </c>
      <c r="BZ61" t="s">
        <v>1915</v>
      </c>
      <c r="CA61" t="s">
        <v>1916</v>
      </c>
      <c r="CB61" t="s">
        <v>1917</v>
      </c>
      <c r="CC61" t="s">
        <v>1918</v>
      </c>
      <c r="CD61">
        <v>25</v>
      </c>
      <c r="CE61">
        <v>1</v>
      </c>
      <c r="CF61">
        <v>24</v>
      </c>
      <c r="CG61">
        <v>12.68</v>
      </c>
      <c r="CH61">
        <v>2</v>
      </c>
      <c r="CI61" t="s">
        <v>1590</v>
      </c>
      <c r="CJ61">
        <v>4</v>
      </c>
      <c r="CK61">
        <v>2.0299999999999998</v>
      </c>
      <c r="CL61" t="s">
        <v>1152</v>
      </c>
      <c r="CM61">
        <v>1</v>
      </c>
      <c r="CN61">
        <v>0</v>
      </c>
      <c r="CO61" t="b">
        <v>0</v>
      </c>
      <c r="CP61" t="b">
        <v>1</v>
      </c>
      <c r="CQ61" t="b">
        <v>1</v>
      </c>
      <c r="CR61" t="b">
        <v>0</v>
      </c>
      <c r="CS61" t="b">
        <v>1</v>
      </c>
      <c r="CT61" t="b">
        <v>1</v>
      </c>
      <c r="CU61" t="b">
        <v>1</v>
      </c>
      <c r="CV61">
        <v>0</v>
      </c>
      <c r="CW61">
        <v>0</v>
      </c>
      <c r="CX61">
        <v>0</v>
      </c>
      <c r="CY61">
        <v>0</v>
      </c>
      <c r="CZ61">
        <v>0</v>
      </c>
      <c r="DA61">
        <v>38</v>
      </c>
      <c r="DB61">
        <v>19.27</v>
      </c>
      <c r="DC61">
        <v>38</v>
      </c>
      <c r="DD61">
        <v>0</v>
      </c>
      <c r="DE61">
        <v>0</v>
      </c>
      <c r="DF61">
        <v>2</v>
      </c>
      <c r="DG61">
        <v>1.01</v>
      </c>
      <c r="DH61">
        <v>0</v>
      </c>
      <c r="DI61">
        <v>0</v>
      </c>
      <c r="DJ61">
        <v>2</v>
      </c>
      <c r="DK61">
        <v>2</v>
      </c>
      <c r="DL61">
        <v>0</v>
      </c>
      <c r="DM61">
        <v>1</v>
      </c>
      <c r="DN61">
        <v>2</v>
      </c>
      <c r="DO61">
        <v>129</v>
      </c>
      <c r="DP61">
        <v>1</v>
      </c>
      <c r="DQ61">
        <v>0.51</v>
      </c>
      <c r="DR61" t="s">
        <v>1919</v>
      </c>
      <c r="DS61" t="s">
        <v>1920</v>
      </c>
      <c r="DT61" t="s">
        <v>1921</v>
      </c>
      <c r="DU61" t="s">
        <v>1922</v>
      </c>
      <c r="DV61" t="s">
        <v>1923</v>
      </c>
      <c r="DW61">
        <v>3.57</v>
      </c>
      <c r="DX61">
        <v>5</v>
      </c>
      <c r="DY61">
        <v>2</v>
      </c>
      <c r="DZ61">
        <v>5</v>
      </c>
      <c r="EA61">
        <v>1</v>
      </c>
      <c r="EB61">
        <v>16.57</v>
      </c>
      <c r="EC61" t="s">
        <v>825</v>
      </c>
      <c r="ED61" t="s">
        <v>825</v>
      </c>
      <c r="EE61">
        <v>2.33</v>
      </c>
      <c r="EF61" t="s">
        <v>414</v>
      </c>
      <c r="EG61">
        <v>0.2</v>
      </c>
      <c r="EH61">
        <v>0.96</v>
      </c>
      <c r="EI61">
        <v>0.21099999999999999</v>
      </c>
      <c r="EJ61" t="s">
        <v>370</v>
      </c>
      <c r="EK61">
        <v>0.81</v>
      </c>
      <c r="EL61" t="s">
        <v>472</v>
      </c>
      <c r="EM61" t="s">
        <v>1924</v>
      </c>
      <c r="EN61">
        <v>1.1100000000000001</v>
      </c>
      <c r="EO61" t="s">
        <v>534</v>
      </c>
      <c r="EP61">
        <v>0</v>
      </c>
      <c r="EQ61">
        <v>2</v>
      </c>
      <c r="ER61">
        <v>100</v>
      </c>
      <c r="ES61" t="s">
        <v>669</v>
      </c>
      <c r="ET61">
        <v>0.17</v>
      </c>
      <c r="EU61">
        <v>1.01</v>
      </c>
      <c r="EV61">
        <v>1.52</v>
      </c>
      <c r="EW61">
        <v>2.7</v>
      </c>
      <c r="EX61">
        <v>2.0299999999999998</v>
      </c>
      <c r="EY61">
        <v>0.17</v>
      </c>
      <c r="EZ61">
        <v>0.51</v>
      </c>
      <c r="FA61">
        <v>1.01</v>
      </c>
      <c r="FB61">
        <v>2.0299999999999998</v>
      </c>
      <c r="FC61">
        <v>0</v>
      </c>
      <c r="FD61" t="s">
        <v>375</v>
      </c>
      <c r="FE61">
        <v>210</v>
      </c>
      <c r="FF61" t="s">
        <v>1925</v>
      </c>
      <c r="FG61" t="s">
        <v>1926</v>
      </c>
      <c r="FH61" t="s">
        <v>1927</v>
      </c>
      <c r="FI61" t="s">
        <v>1928</v>
      </c>
      <c r="FJ61" t="s">
        <v>1929</v>
      </c>
      <c r="FK61" t="s">
        <v>1930</v>
      </c>
      <c r="FL61" t="s">
        <v>1931</v>
      </c>
      <c r="FM61">
        <v>0</v>
      </c>
      <c r="FN61">
        <v>0.66649999999999998</v>
      </c>
      <c r="FO61">
        <v>0.77500000000000002</v>
      </c>
      <c r="FP61">
        <v>0.71209999999999996</v>
      </c>
      <c r="FQ61">
        <v>0.82979999999999998</v>
      </c>
      <c r="FR61">
        <v>0</v>
      </c>
      <c r="FS61">
        <v>2.1299999999999999E-2</v>
      </c>
      <c r="FT61">
        <v>0</v>
      </c>
      <c r="FU61">
        <v>0</v>
      </c>
      <c r="FV61">
        <v>0.2596</v>
      </c>
      <c r="FW61">
        <v>1.6199999999999999E-2</v>
      </c>
      <c r="FX61">
        <v>0</v>
      </c>
      <c r="FY61">
        <v>0.2576</v>
      </c>
      <c r="FZ61">
        <v>2.1600000000000001E-2</v>
      </c>
      <c r="GA61">
        <v>47</v>
      </c>
      <c r="GB61">
        <v>1</v>
      </c>
      <c r="GC61">
        <v>1</v>
      </c>
      <c r="GD61">
        <v>43</v>
      </c>
      <c r="GE61">
        <v>0</v>
      </c>
      <c r="GF61">
        <v>4</v>
      </c>
      <c r="GG61">
        <v>0</v>
      </c>
      <c r="GH61">
        <v>1</v>
      </c>
      <c r="GI61">
        <v>0</v>
      </c>
      <c r="GJ61">
        <v>0</v>
      </c>
      <c r="GK61">
        <v>0</v>
      </c>
      <c r="GL61">
        <v>0</v>
      </c>
      <c r="GM61">
        <v>0</v>
      </c>
      <c r="GN61">
        <v>0</v>
      </c>
      <c r="GO61">
        <v>6.4799999999999996E-2</v>
      </c>
      <c r="GP61">
        <v>0.1295</v>
      </c>
      <c r="GQ61">
        <v>0</v>
      </c>
      <c r="GR61">
        <v>0</v>
      </c>
      <c r="GS61">
        <v>0</v>
      </c>
      <c r="GT61">
        <v>0</v>
      </c>
      <c r="GU61">
        <v>0</v>
      </c>
      <c r="GV61">
        <v>0.1943</v>
      </c>
      <c r="GW61">
        <v>0</v>
      </c>
      <c r="GX61">
        <v>0</v>
      </c>
      <c r="GY61">
        <v>0</v>
      </c>
      <c r="GZ61">
        <v>0</v>
      </c>
      <c r="HA61">
        <v>0</v>
      </c>
      <c r="HB61">
        <v>0</v>
      </c>
      <c r="HC61" t="s">
        <v>383</v>
      </c>
      <c r="HD61">
        <v>0</v>
      </c>
      <c r="HE61">
        <v>0</v>
      </c>
      <c r="HF61">
        <v>0</v>
      </c>
      <c r="HG61">
        <v>0</v>
      </c>
      <c r="HH61">
        <v>0</v>
      </c>
      <c r="HI61" t="s">
        <v>383</v>
      </c>
      <c r="HJ61">
        <v>0</v>
      </c>
      <c r="HK61">
        <v>0</v>
      </c>
      <c r="HL61">
        <v>0</v>
      </c>
      <c r="HM61">
        <v>0</v>
      </c>
      <c r="HN61">
        <v>0</v>
      </c>
      <c r="HO61" t="s">
        <v>383</v>
      </c>
      <c r="HP61">
        <v>0</v>
      </c>
      <c r="HQ61">
        <v>0</v>
      </c>
      <c r="HR61">
        <v>0</v>
      </c>
      <c r="HS61">
        <v>0</v>
      </c>
      <c r="HT61">
        <v>0</v>
      </c>
      <c r="HU61" t="s">
        <v>383</v>
      </c>
      <c r="HV61">
        <v>0</v>
      </c>
      <c r="HW61">
        <v>0</v>
      </c>
      <c r="HX61">
        <v>0</v>
      </c>
      <c r="HY61">
        <v>0</v>
      </c>
      <c r="HZ61">
        <v>0</v>
      </c>
      <c r="IA61" t="s">
        <v>384</v>
      </c>
      <c r="IB61">
        <v>0</v>
      </c>
      <c r="IC61">
        <v>0</v>
      </c>
      <c r="ID61">
        <v>0</v>
      </c>
      <c r="IE61">
        <v>0</v>
      </c>
      <c r="IF61">
        <v>0</v>
      </c>
      <c r="IG61" t="s">
        <v>384</v>
      </c>
      <c r="IH61">
        <v>0</v>
      </c>
      <c r="II61">
        <v>0</v>
      </c>
      <c r="IJ61">
        <v>0</v>
      </c>
      <c r="IK61">
        <v>0</v>
      </c>
      <c r="IL61">
        <v>0</v>
      </c>
      <c r="IM61" t="s">
        <v>384</v>
      </c>
      <c r="IN61">
        <v>0</v>
      </c>
      <c r="IO61">
        <v>0</v>
      </c>
      <c r="IP61">
        <v>0</v>
      </c>
      <c r="IQ61">
        <v>0</v>
      </c>
      <c r="IR61">
        <v>0</v>
      </c>
      <c r="IS61" t="s">
        <v>384</v>
      </c>
      <c r="IT61">
        <v>0</v>
      </c>
      <c r="IU61">
        <v>0</v>
      </c>
      <c r="IV61">
        <v>0</v>
      </c>
      <c r="IW61">
        <v>0</v>
      </c>
      <c r="IX61">
        <v>0</v>
      </c>
      <c r="IY61">
        <v>0</v>
      </c>
      <c r="IZ61">
        <v>0</v>
      </c>
      <c r="JA61">
        <v>0</v>
      </c>
      <c r="JD61" t="s">
        <v>1165</v>
      </c>
      <c r="JE61" t="s">
        <v>386</v>
      </c>
      <c r="JF61" t="s">
        <v>1932</v>
      </c>
      <c r="JG61" t="s">
        <v>1933</v>
      </c>
      <c r="JH61" t="s">
        <v>1934</v>
      </c>
      <c r="JI61" t="s">
        <v>1920</v>
      </c>
      <c r="JJ61">
        <v>0.48330000000000001</v>
      </c>
      <c r="JK61">
        <v>0</v>
      </c>
      <c r="JL61" t="s">
        <v>391</v>
      </c>
      <c r="JM61">
        <v>0</v>
      </c>
      <c r="JN61">
        <v>0</v>
      </c>
      <c r="JO61">
        <v>0</v>
      </c>
      <c r="JP61">
        <v>0</v>
      </c>
      <c r="JQ61">
        <v>0</v>
      </c>
      <c r="JR61">
        <v>0</v>
      </c>
      <c r="JS61">
        <v>0</v>
      </c>
      <c r="JT61">
        <v>0</v>
      </c>
      <c r="JU61">
        <v>0</v>
      </c>
      <c r="JV61">
        <v>0</v>
      </c>
      <c r="JX61" t="s">
        <v>392</v>
      </c>
      <c r="JY61">
        <v>0</v>
      </c>
      <c r="JZ61">
        <v>0</v>
      </c>
      <c r="KA61">
        <v>1</v>
      </c>
      <c r="KB61">
        <v>0</v>
      </c>
      <c r="KC61">
        <v>0</v>
      </c>
      <c r="KD61">
        <v>1</v>
      </c>
      <c r="KE61">
        <v>0</v>
      </c>
      <c r="KF61">
        <v>0</v>
      </c>
      <c r="KG61">
        <v>1</v>
      </c>
      <c r="KH61">
        <v>0</v>
      </c>
      <c r="KI61">
        <v>0</v>
      </c>
      <c r="KJ61">
        <v>1</v>
      </c>
      <c r="KK61">
        <v>0</v>
      </c>
      <c r="KL61">
        <v>0</v>
      </c>
      <c r="KM61">
        <v>1</v>
      </c>
      <c r="KN61">
        <v>0</v>
      </c>
      <c r="KO61">
        <v>0</v>
      </c>
      <c r="KP61">
        <v>1</v>
      </c>
      <c r="KQ61">
        <v>0</v>
      </c>
      <c r="KR61">
        <v>0</v>
      </c>
      <c r="KS61">
        <v>1</v>
      </c>
      <c r="KT61">
        <v>0</v>
      </c>
      <c r="KU61">
        <v>0</v>
      </c>
      <c r="KV61">
        <v>1</v>
      </c>
      <c r="KW61">
        <v>0</v>
      </c>
      <c r="KX61">
        <v>0</v>
      </c>
      <c r="KY61">
        <v>1</v>
      </c>
      <c r="KZ61">
        <v>0</v>
      </c>
      <c r="LA61">
        <v>0</v>
      </c>
      <c r="LB61">
        <v>0</v>
      </c>
      <c r="LC61">
        <v>0</v>
      </c>
      <c r="LD61">
        <v>0</v>
      </c>
      <c r="LE61">
        <v>0</v>
      </c>
      <c r="LF61">
        <v>0</v>
      </c>
      <c r="LG61">
        <v>0</v>
      </c>
      <c r="LH61">
        <v>0</v>
      </c>
      <c r="LI61">
        <v>0</v>
      </c>
      <c r="LJ61">
        <v>0</v>
      </c>
      <c r="LK61">
        <v>0</v>
      </c>
      <c r="LN61" t="s">
        <v>393</v>
      </c>
      <c r="LO61" t="s">
        <v>394</v>
      </c>
      <c r="LP61" t="s">
        <v>395</v>
      </c>
      <c r="LQ61">
        <v>0.43169999999999997</v>
      </c>
      <c r="LR61">
        <v>18.838200000000001</v>
      </c>
      <c r="LS61">
        <v>13.320600000000001</v>
      </c>
      <c r="LT61">
        <v>1904</v>
      </c>
      <c r="LU61">
        <v>822</v>
      </c>
      <c r="LV61">
        <v>159.9905</v>
      </c>
      <c r="LW61">
        <v>0.92610000000000003</v>
      </c>
      <c r="LX61">
        <v>0.62029999999999996</v>
      </c>
      <c r="LY61">
        <v>0.62029999999999996</v>
      </c>
      <c r="LZ61">
        <v>0.62029999999999996</v>
      </c>
      <c r="MA61">
        <v>0</v>
      </c>
      <c r="MB61">
        <v>1181</v>
      </c>
      <c r="MC61">
        <v>1</v>
      </c>
      <c r="MD61" t="s">
        <v>396</v>
      </c>
      <c r="ME61" t="s">
        <v>517</v>
      </c>
    </row>
    <row r="62" spans="1:343" ht="16.95" customHeight="1" x14ac:dyDescent="0.3">
      <c r="A62" t="s">
        <v>1935</v>
      </c>
      <c r="B62" t="s">
        <v>1936</v>
      </c>
      <c r="C62" t="s">
        <v>345</v>
      </c>
      <c r="D62" t="s">
        <v>346</v>
      </c>
      <c r="E62" t="s">
        <v>347</v>
      </c>
      <c r="F62" t="s">
        <v>1937</v>
      </c>
      <c r="G62" t="s">
        <v>1938</v>
      </c>
      <c r="H62" t="s">
        <v>1939</v>
      </c>
      <c r="I62" t="s">
        <v>351</v>
      </c>
      <c r="J62">
        <v>2380</v>
      </c>
      <c r="K62">
        <v>682</v>
      </c>
      <c r="L62">
        <v>0.28660000000000002</v>
      </c>
      <c r="M62">
        <v>146</v>
      </c>
      <c r="N62">
        <v>3</v>
      </c>
      <c r="O62">
        <v>1</v>
      </c>
      <c r="P62">
        <v>16.3</v>
      </c>
      <c r="Q62">
        <v>48.7</v>
      </c>
      <c r="R62">
        <v>18.2</v>
      </c>
      <c r="S62">
        <v>8.6999999999999993</v>
      </c>
      <c r="T62">
        <v>7.1</v>
      </c>
      <c r="U62">
        <v>3.1</v>
      </c>
      <c r="V62">
        <v>7.4</v>
      </c>
      <c r="W62">
        <v>2</v>
      </c>
      <c r="X62">
        <v>0.8</v>
      </c>
      <c r="Y62">
        <v>12</v>
      </c>
      <c r="Z62">
        <v>4</v>
      </c>
      <c r="AA62">
        <v>3</v>
      </c>
      <c r="AB62" t="s">
        <v>352</v>
      </c>
      <c r="AC62" t="b">
        <v>0</v>
      </c>
      <c r="AD62" t="s">
        <v>353</v>
      </c>
      <c r="AE62">
        <v>0.39510000000000001</v>
      </c>
      <c r="AF62" t="s">
        <v>356</v>
      </c>
      <c r="AG62">
        <v>0.32390000000000002</v>
      </c>
      <c r="AH62">
        <v>9.2100000000000001E-2</v>
      </c>
      <c r="AI62">
        <v>0.61380000000000001</v>
      </c>
      <c r="AJ62" t="s">
        <v>355</v>
      </c>
      <c r="AK62">
        <v>4.13</v>
      </c>
      <c r="AL62">
        <v>10</v>
      </c>
      <c r="AM62" t="s">
        <v>356</v>
      </c>
      <c r="AN62">
        <v>0</v>
      </c>
      <c r="AO62">
        <v>0</v>
      </c>
      <c r="AP62">
        <v>17</v>
      </c>
      <c r="AQ62">
        <v>7.14</v>
      </c>
      <c r="AR62">
        <v>17</v>
      </c>
      <c r="AS62">
        <v>1</v>
      </c>
      <c r="AT62" t="s">
        <v>357</v>
      </c>
      <c r="AU62">
        <v>27.4</v>
      </c>
      <c r="AV62">
        <v>40</v>
      </c>
      <c r="AW62" t="s">
        <v>356</v>
      </c>
      <c r="AX62">
        <v>11</v>
      </c>
      <c r="AY62">
        <v>4.62</v>
      </c>
      <c r="AZ62">
        <v>0</v>
      </c>
      <c r="BA62">
        <v>9</v>
      </c>
      <c r="BB62">
        <v>2</v>
      </c>
      <c r="BC62">
        <v>0</v>
      </c>
      <c r="BD62">
        <v>0</v>
      </c>
      <c r="BE62">
        <v>11</v>
      </c>
      <c r="BF62">
        <v>0</v>
      </c>
      <c r="BG62">
        <v>11</v>
      </c>
      <c r="BH62">
        <v>3</v>
      </c>
      <c r="BI62">
        <v>0</v>
      </c>
      <c r="BJ62" t="b">
        <v>0</v>
      </c>
      <c r="BK62" t="b">
        <v>0</v>
      </c>
      <c r="BL62">
        <v>3</v>
      </c>
      <c r="BM62">
        <v>3</v>
      </c>
      <c r="BN62">
        <v>2</v>
      </c>
      <c r="BO62">
        <v>1</v>
      </c>
      <c r="BP62">
        <v>0</v>
      </c>
      <c r="BQ62">
        <v>1</v>
      </c>
      <c r="BR62">
        <v>0</v>
      </c>
      <c r="BS62">
        <v>2380</v>
      </c>
      <c r="BT62">
        <v>682</v>
      </c>
      <c r="BU62">
        <v>0.28660000000000002</v>
      </c>
      <c r="BV62">
        <v>3</v>
      </c>
      <c r="BW62">
        <v>1</v>
      </c>
      <c r="BX62">
        <v>793.3</v>
      </c>
      <c r="BZ62" t="s">
        <v>1940</v>
      </c>
      <c r="CA62" t="s">
        <v>1941</v>
      </c>
      <c r="CB62" t="s">
        <v>1942</v>
      </c>
      <c r="CC62" t="s">
        <v>1943</v>
      </c>
      <c r="CD62">
        <v>0</v>
      </c>
      <c r="CE62">
        <v>0</v>
      </c>
      <c r="CF62">
        <v>0</v>
      </c>
      <c r="CG62">
        <v>0</v>
      </c>
      <c r="CH62">
        <v>3</v>
      </c>
      <c r="CI62" t="s">
        <v>1944</v>
      </c>
      <c r="CJ62">
        <v>1</v>
      </c>
      <c r="CK62">
        <v>0.42</v>
      </c>
      <c r="CL62" t="s">
        <v>440</v>
      </c>
      <c r="CM62">
        <v>1</v>
      </c>
      <c r="CN62">
        <v>0</v>
      </c>
      <c r="CO62" t="b">
        <v>0</v>
      </c>
      <c r="CP62" t="b">
        <v>0</v>
      </c>
      <c r="CQ62" t="b">
        <v>1</v>
      </c>
      <c r="CR62" t="b">
        <v>0</v>
      </c>
      <c r="CS62" t="b">
        <v>0</v>
      </c>
      <c r="CT62" t="b">
        <v>0</v>
      </c>
      <c r="CU62" t="b">
        <v>0</v>
      </c>
      <c r="CV62">
        <v>0</v>
      </c>
      <c r="CW62">
        <v>0</v>
      </c>
      <c r="CX62">
        <v>0</v>
      </c>
      <c r="CY62">
        <v>1</v>
      </c>
      <c r="CZ62">
        <v>0.42</v>
      </c>
      <c r="DA62">
        <v>19</v>
      </c>
      <c r="DB62">
        <v>7.98</v>
      </c>
      <c r="DC62">
        <v>19</v>
      </c>
      <c r="DD62">
        <v>2</v>
      </c>
      <c r="DE62">
        <v>0.84</v>
      </c>
      <c r="DF62">
        <v>6</v>
      </c>
      <c r="DG62">
        <v>2.52</v>
      </c>
      <c r="DH62">
        <v>25</v>
      </c>
      <c r="DI62">
        <v>10.5</v>
      </c>
      <c r="DJ62">
        <v>0.24</v>
      </c>
      <c r="DK62">
        <v>0</v>
      </c>
      <c r="DL62">
        <v>0</v>
      </c>
      <c r="DM62">
        <v>2</v>
      </c>
      <c r="DN62">
        <v>1</v>
      </c>
      <c r="DO62">
        <v>91</v>
      </c>
      <c r="DP62">
        <v>5</v>
      </c>
      <c r="DQ62">
        <v>2.1</v>
      </c>
      <c r="DR62" t="s">
        <v>1945</v>
      </c>
      <c r="DS62" t="s">
        <v>1946</v>
      </c>
      <c r="DT62" t="s">
        <v>1947</v>
      </c>
      <c r="DU62" t="s">
        <v>1948</v>
      </c>
      <c r="DV62" t="s">
        <v>1949</v>
      </c>
      <c r="DW62">
        <v>0.71</v>
      </c>
      <c r="DX62">
        <v>0</v>
      </c>
      <c r="DY62">
        <v>2.17</v>
      </c>
      <c r="DZ62">
        <v>5</v>
      </c>
      <c r="EA62">
        <v>2</v>
      </c>
      <c r="EB62">
        <v>9.8800000000000008</v>
      </c>
      <c r="EC62" t="s">
        <v>369</v>
      </c>
      <c r="ED62" t="s">
        <v>413</v>
      </c>
      <c r="EE62">
        <v>6.47</v>
      </c>
      <c r="EF62" t="s">
        <v>559</v>
      </c>
      <c r="EG62">
        <v>0.84</v>
      </c>
      <c r="EH62">
        <v>2.56</v>
      </c>
      <c r="EI62">
        <v>0.32800000000000001</v>
      </c>
      <c r="EJ62" t="s">
        <v>370</v>
      </c>
      <c r="EK62">
        <v>1.51</v>
      </c>
      <c r="EL62" t="s">
        <v>1694</v>
      </c>
      <c r="EM62" t="s">
        <v>1950</v>
      </c>
      <c r="EN62">
        <v>2</v>
      </c>
      <c r="EO62" t="s">
        <v>373</v>
      </c>
      <c r="EP62">
        <v>1</v>
      </c>
      <c r="EQ62">
        <v>12</v>
      </c>
      <c r="ER62">
        <v>70.3</v>
      </c>
      <c r="ES62" t="s">
        <v>475</v>
      </c>
      <c r="ET62">
        <v>0.14000000000000001</v>
      </c>
      <c r="EU62">
        <v>1.1200000000000001</v>
      </c>
      <c r="EV62">
        <v>5.32</v>
      </c>
      <c r="EW62">
        <v>1.54</v>
      </c>
      <c r="EX62">
        <v>5.18</v>
      </c>
      <c r="EY62">
        <v>1.68</v>
      </c>
      <c r="EZ62">
        <v>0.84</v>
      </c>
      <c r="FA62">
        <v>0.84</v>
      </c>
      <c r="FB62">
        <v>1.54</v>
      </c>
      <c r="FC62">
        <v>1.82</v>
      </c>
      <c r="FD62" t="s">
        <v>375</v>
      </c>
      <c r="FE62">
        <v>178</v>
      </c>
      <c r="FF62" t="s">
        <v>1951</v>
      </c>
      <c r="FG62" t="s">
        <v>1952</v>
      </c>
      <c r="FH62" t="s">
        <v>1953</v>
      </c>
      <c r="FI62" t="s">
        <v>1954</v>
      </c>
      <c r="FJ62" t="s">
        <v>1955</v>
      </c>
      <c r="FK62" t="s">
        <v>1956</v>
      </c>
      <c r="FL62" t="s">
        <v>1957</v>
      </c>
      <c r="FM62">
        <v>0</v>
      </c>
      <c r="FN62">
        <v>0.56889999999999996</v>
      </c>
      <c r="FO62">
        <v>0.77500000000000002</v>
      </c>
      <c r="FP62">
        <v>0.65549999999999997</v>
      </c>
      <c r="FQ62">
        <v>0.54359999999999997</v>
      </c>
      <c r="FR62">
        <v>0</v>
      </c>
      <c r="FS62">
        <v>2.01E-2</v>
      </c>
      <c r="FT62">
        <v>0</v>
      </c>
      <c r="FU62">
        <v>3.3999999999999998E-3</v>
      </c>
      <c r="FV62">
        <v>0.1799</v>
      </c>
      <c r="FW62">
        <v>0</v>
      </c>
      <c r="FX62">
        <v>0</v>
      </c>
      <c r="FY62">
        <v>0.26219999999999999</v>
      </c>
      <c r="FZ62">
        <v>0</v>
      </c>
      <c r="GA62">
        <v>149</v>
      </c>
      <c r="GB62">
        <v>1</v>
      </c>
      <c r="GC62">
        <v>1</v>
      </c>
      <c r="GD62">
        <v>86</v>
      </c>
      <c r="GE62">
        <v>8</v>
      </c>
      <c r="GF62">
        <v>33</v>
      </c>
      <c r="GG62">
        <v>0</v>
      </c>
      <c r="GH62">
        <v>0</v>
      </c>
      <c r="GI62">
        <v>0</v>
      </c>
      <c r="GJ62">
        <v>0</v>
      </c>
      <c r="GK62">
        <v>0</v>
      </c>
      <c r="GL62">
        <v>0</v>
      </c>
      <c r="GM62">
        <v>0</v>
      </c>
      <c r="GN62">
        <v>0</v>
      </c>
      <c r="GO62">
        <v>0</v>
      </c>
      <c r="GP62">
        <v>0.1095</v>
      </c>
      <c r="GQ62">
        <v>0</v>
      </c>
      <c r="GR62">
        <v>0</v>
      </c>
      <c r="GS62">
        <v>0</v>
      </c>
      <c r="GT62">
        <v>0</v>
      </c>
      <c r="GU62">
        <v>0</v>
      </c>
      <c r="GV62">
        <v>0</v>
      </c>
      <c r="GW62">
        <v>0</v>
      </c>
      <c r="GX62">
        <v>0</v>
      </c>
      <c r="GY62">
        <v>0</v>
      </c>
      <c r="GZ62">
        <v>0</v>
      </c>
      <c r="HA62">
        <v>0</v>
      </c>
      <c r="HB62">
        <v>0</v>
      </c>
      <c r="HC62" t="s">
        <v>383</v>
      </c>
      <c r="HD62">
        <v>0</v>
      </c>
      <c r="HE62">
        <v>0</v>
      </c>
      <c r="HF62">
        <v>0</v>
      </c>
      <c r="HG62">
        <v>0</v>
      </c>
      <c r="HH62">
        <v>0</v>
      </c>
      <c r="HI62" t="s">
        <v>383</v>
      </c>
      <c r="HJ62">
        <v>0</v>
      </c>
      <c r="HK62">
        <v>0</v>
      </c>
      <c r="HL62">
        <v>0</v>
      </c>
      <c r="HM62">
        <v>0</v>
      </c>
      <c r="HN62">
        <v>0</v>
      </c>
      <c r="HO62" t="s">
        <v>383</v>
      </c>
      <c r="HP62">
        <v>0</v>
      </c>
      <c r="HQ62">
        <v>0</v>
      </c>
      <c r="HR62">
        <v>0</v>
      </c>
      <c r="HS62">
        <v>0</v>
      </c>
      <c r="HT62">
        <v>0</v>
      </c>
      <c r="HU62" t="s">
        <v>383</v>
      </c>
      <c r="HV62">
        <v>0</v>
      </c>
      <c r="HW62">
        <v>0</v>
      </c>
      <c r="HX62">
        <v>0</v>
      </c>
      <c r="HY62">
        <v>0</v>
      </c>
      <c r="HZ62">
        <v>0</v>
      </c>
      <c r="IA62" t="s">
        <v>384</v>
      </c>
      <c r="IB62">
        <v>0</v>
      </c>
      <c r="IC62">
        <v>0</v>
      </c>
      <c r="ID62">
        <v>0</v>
      </c>
      <c r="IE62">
        <v>0</v>
      </c>
      <c r="IF62">
        <v>0</v>
      </c>
      <c r="IG62" t="s">
        <v>384</v>
      </c>
      <c r="IH62">
        <v>0</v>
      </c>
      <c r="II62">
        <v>0</v>
      </c>
      <c r="IJ62">
        <v>0</v>
      </c>
      <c r="IK62">
        <v>0</v>
      </c>
      <c r="IL62">
        <v>0</v>
      </c>
      <c r="IM62" t="s">
        <v>384</v>
      </c>
      <c r="IN62">
        <v>0</v>
      </c>
      <c r="IO62">
        <v>0</v>
      </c>
      <c r="IP62">
        <v>0</v>
      </c>
      <c r="IQ62">
        <v>0</v>
      </c>
      <c r="IR62">
        <v>0</v>
      </c>
      <c r="IS62" t="s">
        <v>384</v>
      </c>
      <c r="IT62">
        <v>0</v>
      </c>
      <c r="IU62">
        <v>0</v>
      </c>
      <c r="IV62">
        <v>0</v>
      </c>
      <c r="IW62">
        <v>0</v>
      </c>
      <c r="IX62">
        <v>0</v>
      </c>
      <c r="IY62">
        <v>0</v>
      </c>
      <c r="IZ62">
        <v>0</v>
      </c>
      <c r="JA62">
        <v>0</v>
      </c>
      <c r="JD62" t="s">
        <v>483</v>
      </c>
      <c r="JE62" t="s">
        <v>386</v>
      </c>
      <c r="JF62" t="s">
        <v>1958</v>
      </c>
      <c r="JG62" t="s">
        <v>1959</v>
      </c>
      <c r="JH62" t="s">
        <v>1960</v>
      </c>
      <c r="JI62" t="s">
        <v>1961</v>
      </c>
      <c r="JJ62">
        <v>0.6</v>
      </c>
      <c r="JK62">
        <v>0</v>
      </c>
      <c r="JL62" t="s">
        <v>391</v>
      </c>
      <c r="JM62">
        <v>0</v>
      </c>
      <c r="JN62">
        <v>0</v>
      </c>
      <c r="JO62">
        <v>0</v>
      </c>
      <c r="JP62">
        <v>0</v>
      </c>
      <c r="JQ62">
        <v>0</v>
      </c>
      <c r="JR62">
        <v>0</v>
      </c>
      <c r="JS62">
        <v>0</v>
      </c>
      <c r="JT62">
        <v>0</v>
      </c>
      <c r="JU62">
        <v>0</v>
      </c>
      <c r="JV62">
        <v>0</v>
      </c>
      <c r="JX62" t="s">
        <v>392</v>
      </c>
      <c r="JY62">
        <v>0</v>
      </c>
      <c r="JZ62">
        <v>0</v>
      </c>
      <c r="KA62">
        <v>1</v>
      </c>
      <c r="KB62">
        <v>0</v>
      </c>
      <c r="KC62">
        <v>0</v>
      </c>
      <c r="KD62">
        <v>1</v>
      </c>
      <c r="KE62">
        <v>0</v>
      </c>
      <c r="KF62">
        <v>0</v>
      </c>
      <c r="KG62">
        <v>1</v>
      </c>
      <c r="KH62">
        <v>0</v>
      </c>
      <c r="KI62">
        <v>0</v>
      </c>
      <c r="KJ62">
        <v>1</v>
      </c>
      <c r="KK62">
        <v>0</v>
      </c>
      <c r="KL62">
        <v>0</v>
      </c>
      <c r="KM62">
        <v>1</v>
      </c>
      <c r="KN62">
        <v>0</v>
      </c>
      <c r="KO62">
        <v>0</v>
      </c>
      <c r="KP62">
        <v>1</v>
      </c>
      <c r="KQ62">
        <v>0</v>
      </c>
      <c r="KR62">
        <v>0</v>
      </c>
      <c r="KS62">
        <v>1</v>
      </c>
      <c r="KT62">
        <v>0</v>
      </c>
      <c r="KU62">
        <v>0</v>
      </c>
      <c r="KV62">
        <v>1</v>
      </c>
      <c r="KW62">
        <v>0</v>
      </c>
      <c r="KX62">
        <v>0</v>
      </c>
      <c r="KY62">
        <v>1</v>
      </c>
      <c r="KZ62">
        <v>0</v>
      </c>
      <c r="LA62">
        <v>0</v>
      </c>
      <c r="LB62">
        <v>0</v>
      </c>
      <c r="LC62">
        <v>0</v>
      </c>
      <c r="LD62">
        <v>0</v>
      </c>
      <c r="LE62">
        <v>0</v>
      </c>
      <c r="LF62">
        <v>0</v>
      </c>
      <c r="LG62">
        <v>0</v>
      </c>
      <c r="LH62">
        <v>0</v>
      </c>
      <c r="LI62">
        <v>0</v>
      </c>
      <c r="LJ62">
        <v>0</v>
      </c>
      <c r="LK62">
        <v>0</v>
      </c>
      <c r="LN62" t="s">
        <v>393</v>
      </c>
      <c r="LO62" t="s">
        <v>394</v>
      </c>
      <c r="LP62" t="s">
        <v>395</v>
      </c>
      <c r="LQ62">
        <v>0.28129999999999999</v>
      </c>
      <c r="LR62">
        <v>13.521100000000001</v>
      </c>
      <c r="LS62">
        <v>9.5609000000000002</v>
      </c>
      <c r="LT62">
        <v>2311</v>
      </c>
      <c r="LU62">
        <v>650</v>
      </c>
      <c r="LV62">
        <v>54.615900000000003</v>
      </c>
      <c r="LW62">
        <v>0.84419999999999995</v>
      </c>
      <c r="LX62">
        <v>0.43540000000000001</v>
      </c>
      <c r="LY62">
        <v>0.43540000000000001</v>
      </c>
      <c r="LZ62">
        <v>0.43540000000000001</v>
      </c>
      <c r="MA62">
        <v>0</v>
      </c>
      <c r="MB62">
        <v>991</v>
      </c>
      <c r="MC62">
        <v>1</v>
      </c>
      <c r="MD62" t="s">
        <v>396</v>
      </c>
      <c r="ME62" t="s">
        <v>458</v>
      </c>
    </row>
    <row r="63" spans="1:343" ht="16.95" customHeight="1" x14ac:dyDescent="0.3">
      <c r="A63" t="s">
        <v>2137</v>
      </c>
      <c r="B63" t="s">
        <v>399</v>
      </c>
      <c r="C63" t="s">
        <v>2138</v>
      </c>
      <c r="D63" t="s">
        <v>2139</v>
      </c>
      <c r="E63" t="s">
        <v>347</v>
      </c>
      <c r="F63" t="s">
        <v>2140</v>
      </c>
      <c r="G63" t="s">
        <v>2141</v>
      </c>
      <c r="H63" t="s">
        <v>2142</v>
      </c>
      <c r="I63" t="s">
        <v>2143</v>
      </c>
      <c r="J63">
        <v>958</v>
      </c>
      <c r="K63">
        <v>383</v>
      </c>
      <c r="L63">
        <v>0.39979999999999999</v>
      </c>
      <c r="M63">
        <v>65</v>
      </c>
      <c r="N63">
        <v>36</v>
      </c>
      <c r="O63">
        <v>14</v>
      </c>
      <c r="P63">
        <v>14.7</v>
      </c>
      <c r="Q63">
        <v>1.8</v>
      </c>
      <c r="R63">
        <v>21</v>
      </c>
      <c r="S63">
        <v>8.1999999999999993</v>
      </c>
      <c r="T63">
        <v>3.3</v>
      </c>
      <c r="U63">
        <v>3.7</v>
      </c>
      <c r="V63">
        <v>3.5</v>
      </c>
      <c r="W63">
        <v>1</v>
      </c>
      <c r="X63">
        <v>1</v>
      </c>
      <c r="Y63">
        <v>7</v>
      </c>
      <c r="Z63">
        <v>1</v>
      </c>
      <c r="AA63">
        <v>7</v>
      </c>
      <c r="AB63" t="s">
        <v>493</v>
      </c>
      <c r="AC63" t="b">
        <v>0</v>
      </c>
      <c r="AE63">
        <v>0.48209999999999997</v>
      </c>
      <c r="AF63" t="s">
        <v>354</v>
      </c>
      <c r="AG63">
        <v>0.23380000000000001</v>
      </c>
      <c r="AH63">
        <v>5.96E-2</v>
      </c>
      <c r="AI63">
        <v>0.72050000000000003</v>
      </c>
      <c r="AK63">
        <v>3.6</v>
      </c>
      <c r="AL63">
        <v>12</v>
      </c>
      <c r="AM63" t="s">
        <v>354</v>
      </c>
      <c r="AN63">
        <v>1</v>
      </c>
      <c r="AO63">
        <v>1.04</v>
      </c>
      <c r="AP63">
        <v>2</v>
      </c>
      <c r="AQ63">
        <v>2.09</v>
      </c>
      <c r="AR63">
        <v>2</v>
      </c>
      <c r="AS63">
        <v>0</v>
      </c>
      <c r="AT63" t="s">
        <v>357</v>
      </c>
      <c r="AU63">
        <v>24.6</v>
      </c>
      <c r="AV63">
        <v>16</v>
      </c>
      <c r="AW63" t="s">
        <v>354</v>
      </c>
      <c r="AX63">
        <v>4</v>
      </c>
      <c r="AY63">
        <v>4.18</v>
      </c>
      <c r="AZ63">
        <v>0</v>
      </c>
      <c r="BA63">
        <v>3</v>
      </c>
      <c r="BB63">
        <v>1</v>
      </c>
      <c r="BC63">
        <v>0</v>
      </c>
      <c r="BD63">
        <v>0</v>
      </c>
      <c r="BE63">
        <v>4</v>
      </c>
      <c r="BF63">
        <v>0</v>
      </c>
      <c r="BG63">
        <v>4</v>
      </c>
      <c r="BH63">
        <v>1</v>
      </c>
      <c r="BI63">
        <v>0</v>
      </c>
      <c r="BJ63" t="b">
        <v>1</v>
      </c>
      <c r="BK63" t="b">
        <v>0</v>
      </c>
      <c r="BL63">
        <v>20</v>
      </c>
      <c r="BM63">
        <v>10</v>
      </c>
      <c r="BN63">
        <v>1</v>
      </c>
      <c r="BO63">
        <v>0.105</v>
      </c>
      <c r="BP63">
        <v>10</v>
      </c>
      <c r="BQ63">
        <v>0.26319999999999999</v>
      </c>
      <c r="BR63">
        <v>8</v>
      </c>
      <c r="BS63">
        <v>958</v>
      </c>
      <c r="BT63">
        <v>383</v>
      </c>
      <c r="BU63">
        <v>0.39979999999999999</v>
      </c>
      <c r="BV63">
        <v>40</v>
      </c>
      <c r="BW63">
        <v>14</v>
      </c>
      <c r="BX63">
        <v>23.9</v>
      </c>
      <c r="BZ63" t="s">
        <v>2144</v>
      </c>
      <c r="CA63" t="s">
        <v>2145</v>
      </c>
      <c r="CB63" t="s">
        <v>2146</v>
      </c>
      <c r="CC63" t="s">
        <v>2147</v>
      </c>
      <c r="CD63">
        <v>0</v>
      </c>
      <c r="CE63">
        <v>0</v>
      </c>
      <c r="CF63">
        <v>0</v>
      </c>
      <c r="CG63">
        <v>0</v>
      </c>
      <c r="CH63">
        <v>0</v>
      </c>
      <c r="CJ63">
        <v>1</v>
      </c>
      <c r="CK63">
        <v>1.02</v>
      </c>
      <c r="CL63">
        <v>46029</v>
      </c>
      <c r="CM63">
        <v>14</v>
      </c>
      <c r="CN63">
        <v>0</v>
      </c>
      <c r="CO63" t="b">
        <v>0</v>
      </c>
      <c r="CP63" t="b">
        <v>1</v>
      </c>
      <c r="CQ63" t="b">
        <v>0</v>
      </c>
      <c r="CR63" t="b">
        <v>0</v>
      </c>
      <c r="CS63" t="b">
        <v>0</v>
      </c>
      <c r="CT63" t="b">
        <v>0</v>
      </c>
      <c r="CU63" t="b">
        <v>0</v>
      </c>
      <c r="CV63">
        <v>0</v>
      </c>
      <c r="CW63">
        <v>0</v>
      </c>
      <c r="CX63">
        <v>0</v>
      </c>
      <c r="CY63">
        <v>1</v>
      </c>
      <c r="CZ63">
        <v>1.02</v>
      </c>
      <c r="DA63">
        <v>2</v>
      </c>
      <c r="DB63">
        <v>2.04</v>
      </c>
      <c r="DC63">
        <v>2</v>
      </c>
      <c r="DD63">
        <v>0</v>
      </c>
      <c r="DE63">
        <v>0</v>
      </c>
      <c r="DF63">
        <v>0</v>
      </c>
      <c r="DG63">
        <v>0</v>
      </c>
      <c r="DH63">
        <v>5</v>
      </c>
      <c r="DI63">
        <v>5.09</v>
      </c>
      <c r="DJ63">
        <v>0</v>
      </c>
      <c r="DK63">
        <v>0</v>
      </c>
      <c r="DL63">
        <v>1</v>
      </c>
      <c r="DM63">
        <v>0</v>
      </c>
      <c r="DN63">
        <v>0</v>
      </c>
      <c r="DO63">
        <v>59</v>
      </c>
      <c r="DP63">
        <v>0</v>
      </c>
      <c r="DQ63">
        <v>0</v>
      </c>
      <c r="DR63" t="s">
        <v>2148</v>
      </c>
      <c r="DS63" t="s">
        <v>2149</v>
      </c>
      <c r="DT63" t="s">
        <v>2150</v>
      </c>
      <c r="DU63" t="s">
        <v>365</v>
      </c>
      <c r="DV63" t="s">
        <v>2151</v>
      </c>
      <c r="DW63">
        <v>0.71</v>
      </c>
      <c r="DX63">
        <v>0</v>
      </c>
      <c r="DY63">
        <v>2.17</v>
      </c>
      <c r="DZ63">
        <v>5</v>
      </c>
      <c r="EA63">
        <v>0.5</v>
      </c>
      <c r="EB63">
        <v>8.3800000000000008</v>
      </c>
      <c r="EC63" t="s">
        <v>369</v>
      </c>
      <c r="ED63" t="s">
        <v>413</v>
      </c>
      <c r="EE63">
        <v>3.46</v>
      </c>
      <c r="EF63" t="s">
        <v>414</v>
      </c>
      <c r="EG63">
        <v>1.43</v>
      </c>
      <c r="EH63">
        <v>0.61</v>
      </c>
      <c r="EI63">
        <v>2.3330000000000002</v>
      </c>
      <c r="EJ63" t="s">
        <v>2152</v>
      </c>
      <c r="EK63">
        <v>3.67</v>
      </c>
      <c r="EL63" t="s">
        <v>371</v>
      </c>
      <c r="EM63" t="s">
        <v>2153</v>
      </c>
      <c r="EN63">
        <v>1.9</v>
      </c>
      <c r="EO63" t="s">
        <v>417</v>
      </c>
      <c r="EP63">
        <v>0</v>
      </c>
      <c r="EQ63">
        <v>0</v>
      </c>
      <c r="ER63">
        <v>21.3</v>
      </c>
      <c r="ES63" t="s">
        <v>418</v>
      </c>
      <c r="ET63">
        <v>1.7</v>
      </c>
      <c r="EU63">
        <v>0.68</v>
      </c>
      <c r="EV63">
        <v>2.04</v>
      </c>
      <c r="EW63">
        <v>4.41</v>
      </c>
      <c r="EX63">
        <v>5.09</v>
      </c>
      <c r="EY63">
        <v>0.68</v>
      </c>
      <c r="EZ63">
        <v>1.02</v>
      </c>
      <c r="FA63">
        <v>0.68</v>
      </c>
      <c r="FB63">
        <v>1.36</v>
      </c>
      <c r="FC63">
        <v>1.36</v>
      </c>
      <c r="FD63" t="s">
        <v>375</v>
      </c>
      <c r="FE63">
        <v>97</v>
      </c>
      <c r="FF63" t="s">
        <v>2154</v>
      </c>
      <c r="FG63" t="s">
        <v>2155</v>
      </c>
      <c r="FH63" t="s">
        <v>378</v>
      </c>
      <c r="FI63" t="s">
        <v>2156</v>
      </c>
      <c r="FJ63" t="s">
        <v>2157</v>
      </c>
      <c r="FK63" t="s">
        <v>2158</v>
      </c>
      <c r="FL63" t="s">
        <v>2159</v>
      </c>
      <c r="FM63">
        <v>0</v>
      </c>
      <c r="FN63">
        <v>0.5343</v>
      </c>
      <c r="FO63">
        <v>0.36180000000000001</v>
      </c>
      <c r="FP63">
        <v>0.46179999999999999</v>
      </c>
      <c r="FQ63">
        <v>0.4516</v>
      </c>
      <c r="FR63">
        <v>0</v>
      </c>
      <c r="FS63">
        <v>0</v>
      </c>
      <c r="FT63">
        <v>0</v>
      </c>
      <c r="FU63">
        <v>9.5999999999999992E-3</v>
      </c>
      <c r="FV63">
        <v>0.1484</v>
      </c>
      <c r="FW63">
        <v>0.22620000000000001</v>
      </c>
      <c r="FX63">
        <v>0.30149999999999999</v>
      </c>
      <c r="FY63">
        <v>0.46939999999999998</v>
      </c>
      <c r="FZ63">
        <v>0.10050000000000001</v>
      </c>
      <c r="GA63">
        <v>62</v>
      </c>
      <c r="GB63">
        <v>44</v>
      </c>
      <c r="GC63">
        <v>11</v>
      </c>
      <c r="GD63">
        <v>30</v>
      </c>
      <c r="GE63">
        <v>3</v>
      </c>
      <c r="GF63">
        <v>15</v>
      </c>
      <c r="GG63">
        <v>0</v>
      </c>
      <c r="GH63">
        <v>0</v>
      </c>
      <c r="GI63">
        <v>0</v>
      </c>
      <c r="GJ63">
        <v>0</v>
      </c>
      <c r="GK63">
        <v>0.30149999999999999</v>
      </c>
      <c r="GL63">
        <v>0.15079999999999999</v>
      </c>
      <c r="GM63">
        <v>0.30149999999999999</v>
      </c>
      <c r="GN63">
        <v>0.30149999999999999</v>
      </c>
      <c r="GO63">
        <v>0.15079999999999999</v>
      </c>
      <c r="GP63">
        <v>0.60299999999999998</v>
      </c>
      <c r="GQ63">
        <v>0.30149999999999999</v>
      </c>
      <c r="GR63">
        <v>0.15079999999999999</v>
      </c>
      <c r="GS63">
        <v>0.30149999999999999</v>
      </c>
      <c r="GT63">
        <v>0</v>
      </c>
      <c r="GU63">
        <v>0.30149999999999999</v>
      </c>
      <c r="GV63">
        <v>0.45229999999999998</v>
      </c>
      <c r="GW63">
        <v>0</v>
      </c>
      <c r="GX63">
        <v>0</v>
      </c>
      <c r="GY63">
        <v>0.15079999999999999</v>
      </c>
      <c r="GZ63">
        <v>0</v>
      </c>
      <c r="HA63">
        <v>0</v>
      </c>
      <c r="HB63">
        <v>0</v>
      </c>
      <c r="HC63" t="s">
        <v>383</v>
      </c>
      <c r="HD63">
        <v>0</v>
      </c>
      <c r="HE63">
        <v>0</v>
      </c>
      <c r="HF63">
        <v>0</v>
      </c>
      <c r="HG63">
        <v>0</v>
      </c>
      <c r="HH63">
        <v>0</v>
      </c>
      <c r="HI63" t="s">
        <v>383</v>
      </c>
      <c r="HJ63">
        <v>0</v>
      </c>
      <c r="HK63">
        <v>0</v>
      </c>
      <c r="HL63">
        <v>0</v>
      </c>
      <c r="HM63">
        <v>0</v>
      </c>
      <c r="HN63">
        <v>0</v>
      </c>
      <c r="HO63" t="s">
        <v>383</v>
      </c>
      <c r="HP63">
        <v>0</v>
      </c>
      <c r="HQ63">
        <v>0</v>
      </c>
      <c r="HR63">
        <v>0</v>
      </c>
      <c r="HS63">
        <v>0</v>
      </c>
      <c r="HT63">
        <v>0</v>
      </c>
      <c r="HU63" t="s">
        <v>383</v>
      </c>
      <c r="HV63">
        <v>0</v>
      </c>
      <c r="HW63">
        <v>0</v>
      </c>
      <c r="HX63">
        <v>0</v>
      </c>
      <c r="HY63">
        <v>0</v>
      </c>
      <c r="HZ63">
        <v>0</v>
      </c>
      <c r="IA63" t="s">
        <v>384</v>
      </c>
      <c r="IB63">
        <v>0</v>
      </c>
      <c r="IC63">
        <v>0</v>
      </c>
      <c r="ID63">
        <v>0</v>
      </c>
      <c r="IE63">
        <v>0</v>
      </c>
      <c r="IF63">
        <v>0</v>
      </c>
      <c r="IG63" t="s">
        <v>384</v>
      </c>
      <c r="IH63">
        <v>0</v>
      </c>
      <c r="II63">
        <v>0</v>
      </c>
      <c r="IJ63">
        <v>0</v>
      </c>
      <c r="IK63">
        <v>0</v>
      </c>
      <c r="IL63">
        <v>0</v>
      </c>
      <c r="IM63" t="s">
        <v>384</v>
      </c>
      <c r="IN63">
        <v>0</v>
      </c>
      <c r="IO63">
        <v>0</v>
      </c>
      <c r="IP63">
        <v>0</v>
      </c>
      <c r="IQ63">
        <v>0</v>
      </c>
      <c r="IR63">
        <v>0</v>
      </c>
      <c r="IS63" t="s">
        <v>384</v>
      </c>
      <c r="IT63">
        <v>0</v>
      </c>
      <c r="IU63">
        <v>0</v>
      </c>
      <c r="IV63">
        <v>0</v>
      </c>
      <c r="IW63">
        <v>0</v>
      </c>
      <c r="IX63">
        <v>0</v>
      </c>
      <c r="IY63">
        <v>0</v>
      </c>
      <c r="IZ63">
        <v>0</v>
      </c>
      <c r="JA63">
        <v>0</v>
      </c>
      <c r="JD63" t="s">
        <v>2160</v>
      </c>
      <c r="JE63" t="s">
        <v>426</v>
      </c>
      <c r="JF63" t="s">
        <v>2161</v>
      </c>
      <c r="JG63" t="s">
        <v>2162</v>
      </c>
      <c r="JH63" t="s">
        <v>429</v>
      </c>
      <c r="JI63" t="s">
        <v>2163</v>
      </c>
      <c r="JM63">
        <v>7.8299999999999995E-2</v>
      </c>
      <c r="JN63">
        <v>4.2200000000000001E-2</v>
      </c>
      <c r="JO63">
        <v>0.1024</v>
      </c>
      <c r="JP63">
        <v>0.20480000000000001</v>
      </c>
      <c r="JQ63">
        <v>3.0099999999999998E-2</v>
      </c>
      <c r="JR63">
        <v>0.30120000000000002</v>
      </c>
      <c r="JS63">
        <v>9.64E-2</v>
      </c>
      <c r="JT63">
        <v>5.4199999999999998E-2</v>
      </c>
      <c r="JU63">
        <v>1.8100000000000002E-2</v>
      </c>
      <c r="JV63">
        <v>7.2300000000000003E-2</v>
      </c>
      <c r="JW63" t="s">
        <v>2164</v>
      </c>
      <c r="JY63">
        <v>0.40010000000000001</v>
      </c>
      <c r="JZ63">
        <v>5.9999999999999995E-4</v>
      </c>
      <c r="KA63">
        <v>5.9999999999999995E-4</v>
      </c>
      <c r="KB63">
        <v>0.4017</v>
      </c>
      <c r="KC63">
        <v>2.8999999999999998E-3</v>
      </c>
      <c r="KD63">
        <v>2.0000000000000001E-4</v>
      </c>
      <c r="KE63">
        <v>0.40289999999999998</v>
      </c>
      <c r="KF63">
        <v>4.8999999999999998E-3</v>
      </c>
      <c r="KG63">
        <v>0</v>
      </c>
      <c r="KH63">
        <v>0.40350000000000003</v>
      </c>
      <c r="KI63">
        <v>5.8999999999999999E-3</v>
      </c>
      <c r="KJ63">
        <v>2.0000000000000001E-4</v>
      </c>
      <c r="KK63">
        <v>0.4012</v>
      </c>
      <c r="KL63">
        <v>2.3E-3</v>
      </c>
      <c r="KM63">
        <v>5.0000000000000001E-4</v>
      </c>
      <c r="KN63">
        <v>0.40300000000000002</v>
      </c>
      <c r="KO63">
        <v>5.4000000000000003E-3</v>
      </c>
      <c r="KP63">
        <v>5.9999999999999995E-4</v>
      </c>
      <c r="KQ63">
        <v>0.39850000000000002</v>
      </c>
      <c r="KR63">
        <v>8.5000000000000006E-3</v>
      </c>
      <c r="KS63">
        <v>1.6400000000000001E-2</v>
      </c>
      <c r="KT63">
        <v>0.40139999999999998</v>
      </c>
      <c r="KU63">
        <v>2.3999999999999998E-3</v>
      </c>
      <c r="KV63">
        <v>0</v>
      </c>
      <c r="KW63">
        <v>0.40389999999999998</v>
      </c>
      <c r="KX63">
        <v>6.4999999999999997E-3</v>
      </c>
      <c r="KY63">
        <v>1E-4</v>
      </c>
      <c r="KZ63">
        <v>5.9999999999999995E-4</v>
      </c>
      <c r="LA63">
        <v>2.0000000000000001E-4</v>
      </c>
      <c r="LB63">
        <v>0</v>
      </c>
      <c r="LC63">
        <v>2.0000000000000001E-4</v>
      </c>
      <c r="LD63">
        <v>5.0000000000000001E-4</v>
      </c>
      <c r="LE63">
        <v>5.9999999999999995E-4</v>
      </c>
      <c r="LF63">
        <v>1.6500000000000001E-2</v>
      </c>
      <c r="LG63">
        <v>0</v>
      </c>
      <c r="LH63">
        <v>1E-4</v>
      </c>
      <c r="LI63">
        <v>0.40179999999999999</v>
      </c>
      <c r="LJ63">
        <v>2.0999999999999999E-3</v>
      </c>
      <c r="LK63">
        <v>0.3997</v>
      </c>
      <c r="LL63" t="s">
        <v>2166</v>
      </c>
      <c r="LM63" t="s">
        <v>2165</v>
      </c>
      <c r="LN63" t="s">
        <v>394</v>
      </c>
      <c r="LO63" t="s">
        <v>2167</v>
      </c>
      <c r="LQ63">
        <v>0.43769999999999998</v>
      </c>
      <c r="LR63">
        <v>11.363</v>
      </c>
      <c r="LS63">
        <v>8.0348000000000006</v>
      </c>
      <c r="LT63">
        <v>674</v>
      </c>
      <c r="LU63">
        <v>295</v>
      </c>
      <c r="LV63">
        <v>54.356999999999999</v>
      </c>
      <c r="LW63">
        <v>0.82099999999999995</v>
      </c>
      <c r="LX63">
        <v>0.4864</v>
      </c>
      <c r="LY63">
        <v>0.4864</v>
      </c>
      <c r="LZ63">
        <v>0.4864</v>
      </c>
      <c r="MA63">
        <v>0</v>
      </c>
      <c r="MB63">
        <v>321</v>
      </c>
      <c r="MC63">
        <v>1</v>
      </c>
      <c r="MD63" t="s">
        <v>396</v>
      </c>
      <c r="ME63" t="s">
        <v>397</v>
      </c>
    </row>
  </sheetData>
  <autoFilter ref="A1:ME6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PAPER_VIEW</vt:lpstr>
      <vt:lpstr>CHANGELOG</vt:lpstr>
      <vt:lpstr>SCORES</vt:lpstr>
      <vt:lpstr>DASHBOARD</vt:lpstr>
      <vt:lpstr>ALL_METRICS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2026-05-31T03:03:27Z</dcterms:created>
  <dcterms:modified xsi:type="dcterms:W3CDTF">2026-06-05T05:33:16Z</dcterms:modified>
</cp:coreProperties>
</file>