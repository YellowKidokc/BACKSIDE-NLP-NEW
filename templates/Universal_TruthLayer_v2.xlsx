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S" sheetId="1" state="visible" r:id="rId1"/>
    <sheet xmlns:r="http://schemas.openxmlformats.org/officeDocument/2006/relationships" name="RELATIONSHIPS" sheetId="2" state="visible" r:id="rId2"/>
    <sheet xmlns:r="http://schemas.openxmlformats.org/officeDocument/2006/relationships" name="GUIDE"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color rgb="00D4A853"/>
      <sz val="11"/>
    </font>
    <font>
      <name val="Arial"/>
      <b val="1"/>
      <color rgb="0016213E"/>
      <sz val="12"/>
    </font>
  </fonts>
  <fills count="5">
    <fill>
      <patternFill/>
    </fill>
    <fill>
      <patternFill patternType="gray125"/>
    </fill>
    <fill>
      <patternFill patternType="solid">
        <fgColor rgb="0016213E"/>
      </patternFill>
    </fill>
    <fill>
      <patternFill patternType="solid">
        <fgColor rgb="00F7F7F7"/>
      </patternFill>
    </fill>
    <fill>
      <patternFill patternType="solid">
        <fgColor rgb="001A1A2E"/>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0" borderId="0" pivotButton="0" quotePrefix="0" xfId="0"/>
    <xf numFmtId="0" fontId="4" fillId="0" borderId="0" pivotButton="0" quotePrefix="0" xfId="0"/>
  </cellXfs>
  <cellStyles count="1">
    <cellStyle name="Normal" xfId="0" builtinId="0" hidden="0"/>
  </cellStyles>
  <dxfs count="7">
    <dxf>
      <font>
        <b val="1"/>
        <color rgb="00155724"/>
      </font>
      <fill>
        <patternFill patternType="solid">
          <fgColor rgb="00D4EDDA"/>
        </patternFill>
      </fill>
    </dxf>
    <dxf>
      <font>
        <b val="1"/>
        <color rgb="00004085"/>
      </font>
      <fill>
        <patternFill patternType="solid">
          <fgColor rgb="00CCE5FF"/>
        </patternFill>
      </fill>
    </dxf>
    <dxf>
      <font>
        <b val="1"/>
        <color rgb="00856404"/>
      </font>
      <fill>
        <patternFill patternType="solid">
          <fgColor rgb="00FFF3CD"/>
        </patternFill>
      </fill>
    </dxf>
    <dxf>
      <font>
        <b val="1"/>
        <color rgb="00721C24"/>
      </font>
      <fill>
        <patternFill patternType="solid">
          <fgColor rgb="00F8D7DA"/>
        </patternFill>
      </fill>
    </dxf>
    <dxf>
      <fill>
        <patternFill patternType="solid">
          <fgColor rgb="00D4EDDA"/>
        </patternFill>
      </fill>
    </dxf>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6213E"/>
    <outlinePr summaryBelow="1" summaryRight="1"/>
    <pageSetUpPr/>
  </sheetPr>
  <dimension ref="A1:N15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28" customWidth="1" min="3" max="3"/>
    <col width="55" customWidth="1" min="4" max="4"/>
    <col width="12" customWidth="1" min="5" max="5"/>
    <col width="16" customWidth="1" min="6" max="6"/>
    <col width="16" customWidth="1" min="7" max="7"/>
    <col width="14" customWidth="1" min="8" max="8"/>
    <col width="10" customWidth="1" min="9" max="9"/>
    <col width="10" customWidth="1" min="10" max="10"/>
    <col width="14" customWidth="1" min="11" max="11"/>
    <col width="12" customWidth="1" min="12" max="12"/>
    <col width="10" customWidth="1" min="13" max="13"/>
    <col width="14" customWidth="1" min="14" max="14"/>
  </cols>
  <sheetData>
    <row r="1">
      <c r="A1" s="1" t="inlineStr">
        <is>
          <t>node_id</t>
        </is>
      </c>
      <c r="B1" s="1" t="inlineStr">
        <is>
          <t>short_id</t>
        </is>
      </c>
      <c r="C1" s="1" t="inlineStr">
        <is>
          <t>title</t>
        </is>
      </c>
      <c r="D1" s="1" t="inlineStr">
        <is>
          <t>statement</t>
        </is>
      </c>
      <c r="E1" s="1" t="inlineStr">
        <is>
          <t>scope_level</t>
        </is>
      </c>
      <c r="F1" s="1" t="inlineStr">
        <is>
          <t>entity_class</t>
        </is>
      </c>
      <c r="G1" s="1" t="inlineStr">
        <is>
          <t>question_type</t>
        </is>
      </c>
      <c r="H1" s="1" t="inlineStr">
        <is>
          <t>ops_status</t>
        </is>
      </c>
      <c r="I1" s="1" t="inlineStr">
        <is>
          <t>chain_position</t>
        </is>
      </c>
      <c r="J1" s="1" t="inlineStr">
        <is>
          <t>tree_level</t>
        </is>
      </c>
      <c r="K1" s="1" t="inlineStr">
        <is>
          <t>origin_domain</t>
        </is>
      </c>
      <c r="L1" s="1" t="inlineStr">
        <is>
          <t>created_at</t>
        </is>
      </c>
      <c r="M1" s="2" t="inlineStr">
        <is>
          <t>t_score</t>
        </is>
      </c>
      <c r="N1" s="2" t="inlineStr">
        <is>
          <t>tier</t>
        </is>
      </c>
    </row>
    <row r="2">
      <c r="A2" s="3" t="inlineStr">
        <is>
          <t>N001</t>
        </is>
      </c>
      <c r="B2" s="3" t="inlineStr">
        <is>
          <t>Q0</t>
        </is>
      </c>
      <c r="C2" s="3" t="inlineStr">
        <is>
          <t>Bedrock</t>
        </is>
      </c>
      <c r="D2" s="3" t="inlineStr">
        <is>
          <t>Does anything exist?</t>
        </is>
      </c>
      <c r="E2" s="3" t="inlineStr">
        <is>
          <t>system</t>
        </is>
      </c>
      <c r="F2" s="3" t="inlineStr">
        <is>
          <t>question</t>
        </is>
      </c>
      <c r="G2" s="3" t="inlineStr">
        <is>
          <t>type1_binary</t>
        </is>
      </c>
      <c r="H2" s="3" t="inlineStr">
        <is>
          <t>canonical</t>
        </is>
      </c>
      <c r="I2" s="3" t="n">
        <v>1</v>
      </c>
      <c r="J2" s="3" t="n">
        <v>0</v>
      </c>
      <c r="K2" s="3" t="inlineStr">
        <is>
          <t>theophysics</t>
        </is>
      </c>
      <c r="L2" s="3" t="inlineStr">
        <is>
          <t>2026-03</t>
        </is>
      </c>
      <c r="M2" s="3">
        <f>SUMPRODUCT((RELATIONSHIPS!B2:B500=A2)*(RELATIONSHIPS!D2:D500&lt;&gt;"evidence")*RELATIONSHIPS!F2:F500)+SUMPRODUCT((RELATIONSHIPS!C2:C500=A2)*(RELATIONSHIPS!D2:D500&lt;&gt;"evidence")*RELATIONSHIPS!F2:F500)+SUMPRODUCT((RELATIONSHIPS!B2:B500=A2)*(RELATIONSHIPS!E2:E500="supports")*RELATIONSHIPS!F2:F500)*2+SUMPRODUCT((RELATIONSHIPS!C2:C500=A2)*(RELATIONSHIPS!E2:E500="supports")*RELATIONSHIPS!F2:F500)*2-SUMPRODUCT((RELATIONSHIPS!B2:B500=A2)*(RELATIONSHIPS!E2:E500="attacks")*RELATIONSHIPS!F2:F500)*3-SUMPRODUCT((RELATIONSHIPS!C2:C500=A2)*(RELATIONSHIPS!E2:E500="attacks")*RELATIONSHIPS!F2:F500)*3-COUNTIFS(RELATIONSHIPS!B2:B500,A2,RELATIONSHIPS!H2:H500,"dead")*2-COUNTIFS(RELATIONSHIPS!C2:C500,A2,RELATIONSHIPS!H2:H500,"dead")*2</f>
        <v/>
      </c>
      <c r="N2" s="3">
        <f>IF(M2="","",IF(M2&gt;=90,"NEAR-CANONICAL",IF(M2&gt;=75,"STRONG",IF(M2&gt;=60,"PROVISIONAL","WEAK"))))</f>
        <v/>
      </c>
    </row>
    <row r="3">
      <c r="A3" s="4" t="inlineStr">
        <is>
          <t>N002</t>
        </is>
      </c>
      <c r="B3" s="4" t="inlineStr">
        <is>
          <t>Q1</t>
        </is>
      </c>
      <c r="C3" s="4" t="inlineStr">
        <is>
          <t>Distinction</t>
        </is>
      </c>
      <c r="D3" s="4" t="inlineStr">
        <is>
          <t>Can that which exists be distinguished from that which does not?</t>
        </is>
      </c>
      <c r="E3" s="4" t="inlineStr">
        <is>
          <t>system</t>
        </is>
      </c>
      <c r="F3" s="4" t="inlineStr">
        <is>
          <t>question</t>
        </is>
      </c>
      <c r="G3" s="4" t="inlineStr">
        <is>
          <t>type1_binary</t>
        </is>
      </c>
      <c r="H3" s="4" t="inlineStr">
        <is>
          <t>canonical</t>
        </is>
      </c>
      <c r="I3" s="4" t="n">
        <v>2</v>
      </c>
      <c r="J3" s="4" t="n">
        <v>1</v>
      </c>
      <c r="K3" s="4" t="inlineStr">
        <is>
          <t>theophysics</t>
        </is>
      </c>
      <c r="L3" s="4" t="inlineStr">
        <is>
          <t>2026-03</t>
        </is>
      </c>
      <c r="M3" s="4">
        <f>SUMPRODUCT((RELATIONSHIPS!B2:B500=A3)*(RELATIONSHIPS!D2:D500&lt;&gt;"evidence")*RELATIONSHIPS!F2:F500)+SUMPRODUCT((RELATIONSHIPS!C2:C500=A3)*(RELATIONSHIPS!D2:D500&lt;&gt;"evidence")*RELATIONSHIPS!F2:F500)+SUMPRODUCT((RELATIONSHIPS!B2:B500=A3)*(RELATIONSHIPS!E2:E500="supports")*RELATIONSHIPS!F2:F500)*2+SUMPRODUCT((RELATIONSHIPS!C2:C500=A3)*(RELATIONSHIPS!E2:E500="supports")*RELATIONSHIPS!F2:F500)*2-SUMPRODUCT((RELATIONSHIPS!B2:B500=A3)*(RELATIONSHIPS!E2:E500="attacks")*RELATIONSHIPS!F2:F500)*3-SUMPRODUCT((RELATIONSHIPS!C2:C500=A3)*(RELATIONSHIPS!E2:E500="attacks")*RELATIONSHIPS!F2:F500)*3-COUNTIFS(RELATIONSHIPS!B2:B500,A3,RELATIONSHIPS!H2:H500,"dead")*2-COUNTIFS(RELATIONSHIPS!C2:C500,A3,RELATIONSHIPS!H2:H500,"dead")*2</f>
        <v/>
      </c>
      <c r="N3" s="4">
        <f>IF(M3="","",IF(M3&gt;=90,"NEAR-CANONICAL",IF(M3&gt;=75,"STRONG",IF(M3&gt;=60,"PROVISIONAL","WEAK"))))</f>
        <v/>
      </c>
    </row>
    <row r="4">
      <c r="A4" s="3" t="inlineStr">
        <is>
          <t>N003</t>
        </is>
      </c>
      <c r="B4" s="3" t="inlineStr">
        <is>
          <t>Q2</t>
        </is>
      </c>
      <c r="C4" s="3" t="inlineStr">
        <is>
          <t>Information Fork</t>
        </is>
      </c>
      <c r="D4" s="3" t="inlineStr">
        <is>
          <t>What IS a distinction?</t>
        </is>
      </c>
      <c r="E4" s="3" t="inlineStr">
        <is>
          <t>system</t>
        </is>
      </c>
      <c r="F4" s="3" t="inlineStr">
        <is>
          <t>question</t>
        </is>
      </c>
      <c r="G4" s="3" t="inlineStr">
        <is>
          <t>type2_identity</t>
        </is>
      </c>
      <c r="H4" s="3" t="inlineStr">
        <is>
          <t>canonical</t>
        </is>
      </c>
      <c r="I4" s="3" t="n">
        <v>3</v>
      </c>
      <c r="J4" s="3" t="n">
        <v>2</v>
      </c>
      <c r="K4" s="3" t="inlineStr">
        <is>
          <t>theophysics</t>
        </is>
      </c>
      <c r="L4" s="3" t="inlineStr">
        <is>
          <t>2026-03</t>
        </is>
      </c>
      <c r="M4" s="3">
        <f>SUMPRODUCT((RELATIONSHIPS!B2:B500=A4)*(RELATIONSHIPS!D2:D500&lt;&gt;"evidence")*RELATIONSHIPS!F2:F500)+SUMPRODUCT((RELATIONSHIPS!C2:C500=A4)*(RELATIONSHIPS!D2:D500&lt;&gt;"evidence")*RELATIONSHIPS!F2:F500)+SUMPRODUCT((RELATIONSHIPS!B2:B500=A4)*(RELATIONSHIPS!E2:E500="supports")*RELATIONSHIPS!F2:F500)*2+SUMPRODUCT((RELATIONSHIPS!C2:C500=A4)*(RELATIONSHIPS!E2:E500="supports")*RELATIONSHIPS!F2:F500)*2-SUMPRODUCT((RELATIONSHIPS!B2:B500=A4)*(RELATIONSHIPS!E2:E500="attacks")*RELATIONSHIPS!F2:F500)*3-SUMPRODUCT((RELATIONSHIPS!C2:C500=A4)*(RELATIONSHIPS!E2:E500="attacks")*RELATIONSHIPS!F2:F500)*3-COUNTIFS(RELATIONSHIPS!B2:B500,A4,RELATIONSHIPS!H2:H500,"dead")*2-COUNTIFS(RELATIONSHIPS!C2:C500,A4,RELATIONSHIPS!H2:H500,"dead")*2</f>
        <v/>
      </c>
      <c r="N4" s="3">
        <f>IF(M4="","",IF(M4&gt;=90,"NEAR-CANONICAL",IF(M4&gt;=75,"STRONG",IF(M4&gt;=60,"PROVISIONAL","WEAK"))))</f>
        <v/>
      </c>
    </row>
    <row r="5">
      <c r="A5" s="4" t="inlineStr">
        <is>
          <t>N004</t>
        </is>
      </c>
      <c r="B5" s="4" t="inlineStr">
        <is>
          <t>Q3</t>
        </is>
      </c>
      <c r="C5" s="4" t="inlineStr">
        <is>
          <t>Order</t>
        </is>
      </c>
      <c r="D5" s="4" t="inlineStr">
        <is>
          <t>Does information require structure?</t>
        </is>
      </c>
      <c r="E5" s="4" t="inlineStr">
        <is>
          <t>system</t>
        </is>
      </c>
      <c r="F5" s="4" t="inlineStr">
        <is>
          <t>question</t>
        </is>
      </c>
      <c r="G5" s="4" t="inlineStr">
        <is>
          <t>type1_binary</t>
        </is>
      </c>
      <c r="H5" s="4" t="inlineStr">
        <is>
          <t>canonical</t>
        </is>
      </c>
      <c r="I5" s="4" t="n">
        <v>4</v>
      </c>
      <c r="J5" s="4" t="n">
        <v>3</v>
      </c>
      <c r="K5" s="4" t="inlineStr">
        <is>
          <t>theophysics</t>
        </is>
      </c>
      <c r="L5" s="4" t="inlineStr">
        <is>
          <t>2026-03</t>
        </is>
      </c>
      <c r="M5" s="4">
        <f>SUMPRODUCT((RELATIONSHIPS!B2:B500=A5)*(RELATIONSHIPS!D2:D500&lt;&gt;"evidence")*RELATIONSHIPS!F2:F500)+SUMPRODUCT((RELATIONSHIPS!C2:C500=A5)*(RELATIONSHIPS!D2:D500&lt;&gt;"evidence")*RELATIONSHIPS!F2:F500)+SUMPRODUCT((RELATIONSHIPS!B2:B500=A5)*(RELATIONSHIPS!E2:E500="supports")*RELATIONSHIPS!F2:F500)*2+SUMPRODUCT((RELATIONSHIPS!C2:C500=A5)*(RELATIONSHIPS!E2:E500="supports")*RELATIONSHIPS!F2:F500)*2-SUMPRODUCT((RELATIONSHIPS!B2:B500=A5)*(RELATIONSHIPS!E2:E500="attacks")*RELATIONSHIPS!F2:F500)*3-SUMPRODUCT((RELATIONSHIPS!C2:C500=A5)*(RELATIONSHIPS!E2:E500="attacks")*RELATIONSHIPS!F2:F500)*3-COUNTIFS(RELATIONSHIPS!B2:B500,A5,RELATIONSHIPS!H2:H500,"dead")*2-COUNTIFS(RELATIONSHIPS!C2:C500,A5,RELATIONSHIPS!H2:H500,"dead")*2</f>
        <v/>
      </c>
      <c r="N5" s="4">
        <f>IF(M5="","",IF(M5&gt;=90,"NEAR-CANONICAL",IF(M5&gt;=75,"STRONG",IF(M5&gt;=60,"PROVISIONAL","WEAK"))))</f>
        <v/>
      </c>
    </row>
    <row r="6">
      <c r="A6" s="3" t="inlineStr">
        <is>
          <t>N005</t>
        </is>
      </c>
      <c r="B6" s="3" t="inlineStr">
        <is>
          <t>Q4</t>
        </is>
      </c>
      <c r="C6" s="3" t="inlineStr">
        <is>
          <t>The Great Fork</t>
        </is>
      </c>
      <c r="D6" s="3" t="inlineStr">
        <is>
          <t>What grounds the structure?</t>
        </is>
      </c>
      <c r="E6" s="3" t="inlineStr">
        <is>
          <t>system</t>
        </is>
      </c>
      <c r="F6" s="3" t="inlineStr">
        <is>
          <t>question</t>
        </is>
      </c>
      <c r="G6" s="3" t="inlineStr">
        <is>
          <t>type3_ground</t>
        </is>
      </c>
      <c r="H6" s="3" t="inlineStr">
        <is>
          <t>canonical</t>
        </is>
      </c>
      <c r="I6" s="3" t="n">
        <v>5</v>
      </c>
      <c r="J6" s="3" t="n">
        <v>4</v>
      </c>
      <c r="K6" s="3" t="inlineStr">
        <is>
          <t>theophysics</t>
        </is>
      </c>
      <c r="L6" s="3" t="inlineStr">
        <is>
          <t>2026-03</t>
        </is>
      </c>
      <c r="M6" s="3">
        <f>SUMPRODUCT((RELATIONSHIPS!B2:B500=A6)*(RELATIONSHIPS!D2:D500&lt;&gt;"evidence")*RELATIONSHIPS!F2:F500)+SUMPRODUCT((RELATIONSHIPS!C2:C500=A6)*(RELATIONSHIPS!D2:D500&lt;&gt;"evidence")*RELATIONSHIPS!F2:F500)+SUMPRODUCT((RELATIONSHIPS!B2:B500=A6)*(RELATIONSHIPS!E2:E500="supports")*RELATIONSHIPS!F2:F500)*2+SUMPRODUCT((RELATIONSHIPS!C2:C500=A6)*(RELATIONSHIPS!E2:E500="supports")*RELATIONSHIPS!F2:F500)*2-SUMPRODUCT((RELATIONSHIPS!B2:B500=A6)*(RELATIONSHIPS!E2:E500="attacks")*RELATIONSHIPS!F2:F500)*3-SUMPRODUCT((RELATIONSHIPS!C2:C500=A6)*(RELATIONSHIPS!E2:E500="attacks")*RELATIONSHIPS!F2:F500)*3-COUNTIFS(RELATIONSHIPS!B2:B500,A6,RELATIONSHIPS!H2:H500,"dead")*2-COUNTIFS(RELATIONSHIPS!C2:C500,A6,RELATIONSHIPS!H2:H500,"dead")*2</f>
        <v/>
      </c>
      <c r="N6" s="3">
        <f>IF(M6="","",IF(M6&gt;=90,"NEAR-CANONICAL",IF(M6&gt;=75,"STRONG",IF(M6&gt;=60,"PROVISIONAL","WEAK"))))</f>
        <v/>
      </c>
    </row>
    <row r="7">
      <c r="A7" s="4" t="inlineStr">
        <is>
          <t>N006</t>
        </is>
      </c>
      <c r="B7" s="4" t="inlineStr">
        <is>
          <t>Q5</t>
        </is>
      </c>
      <c r="C7" s="4" t="inlineStr">
        <is>
          <t>Properties of Ground</t>
        </is>
      </c>
      <c r="D7" s="4" t="inlineStr">
        <is>
          <t>What must a self-grounding substrate be?</t>
        </is>
      </c>
      <c r="E7" s="4" t="inlineStr">
        <is>
          <t>system</t>
        </is>
      </c>
      <c r="F7" s="4" t="inlineStr">
        <is>
          <t>question</t>
        </is>
      </c>
      <c r="G7" s="4" t="inlineStr">
        <is>
          <t>type4_constraint</t>
        </is>
      </c>
      <c r="H7" s="4" t="inlineStr">
        <is>
          <t>canonical</t>
        </is>
      </c>
      <c r="I7" s="4" t="n">
        <v>6</v>
      </c>
      <c r="J7" s="4" t="n">
        <v>5</v>
      </c>
      <c r="K7" s="4" t="inlineStr">
        <is>
          <t>theophysics</t>
        </is>
      </c>
      <c r="L7" s="4" t="inlineStr">
        <is>
          <t>2026-03</t>
        </is>
      </c>
      <c r="M7" s="4">
        <f>SUMPRODUCT((RELATIONSHIPS!B2:B500=A7)*(RELATIONSHIPS!D2:D500&lt;&gt;"evidence")*RELATIONSHIPS!F2:F500)+SUMPRODUCT((RELATIONSHIPS!C2:C500=A7)*(RELATIONSHIPS!D2:D500&lt;&gt;"evidence")*RELATIONSHIPS!F2:F500)+SUMPRODUCT((RELATIONSHIPS!B2:B500=A7)*(RELATIONSHIPS!E2:E500="supports")*RELATIONSHIPS!F2:F500)*2+SUMPRODUCT((RELATIONSHIPS!C2:C500=A7)*(RELATIONSHIPS!E2:E500="supports")*RELATIONSHIPS!F2:F500)*2-SUMPRODUCT((RELATIONSHIPS!B2:B500=A7)*(RELATIONSHIPS!E2:E500="attacks")*RELATIONSHIPS!F2:F500)*3-SUMPRODUCT((RELATIONSHIPS!C2:C500=A7)*(RELATIONSHIPS!E2:E500="attacks")*RELATIONSHIPS!F2:F500)*3-COUNTIFS(RELATIONSHIPS!B2:B500,A7,RELATIONSHIPS!H2:H500,"dead")*2-COUNTIFS(RELATIONSHIPS!C2:C500,A7,RELATIONSHIPS!H2:H500,"dead")*2</f>
        <v/>
      </c>
      <c r="N7" s="4">
        <f>IF(M7="","",IF(M7&gt;=90,"NEAR-CANONICAL",IF(M7&gt;=75,"STRONG",IF(M7&gt;=60,"PROVISIONAL","WEAK"))))</f>
        <v/>
      </c>
    </row>
    <row r="8">
      <c r="A8" s="3" t="inlineStr">
        <is>
          <t>N007</t>
        </is>
      </c>
      <c r="B8" s="3" t="inlineStr">
        <is>
          <t>Q6</t>
        </is>
      </c>
      <c r="C8" s="3" t="inlineStr">
        <is>
          <t>Observer Requirement</t>
        </is>
      </c>
      <c r="D8" s="3" t="inlineStr">
        <is>
          <t>Does information become actual on its own?</t>
        </is>
      </c>
      <c r="E8" s="3" t="inlineStr">
        <is>
          <t>system</t>
        </is>
      </c>
      <c r="F8" s="3" t="inlineStr">
        <is>
          <t>question</t>
        </is>
      </c>
      <c r="G8" s="3" t="inlineStr">
        <is>
          <t>type1_binary</t>
        </is>
      </c>
      <c r="H8" s="3" t="inlineStr">
        <is>
          <t>canonical</t>
        </is>
      </c>
      <c r="I8" s="3" t="n">
        <v>7</v>
      </c>
      <c r="J8" s="3" t="n">
        <v>6</v>
      </c>
      <c r="K8" s="3" t="inlineStr">
        <is>
          <t>theophysics</t>
        </is>
      </c>
      <c r="L8" s="3" t="inlineStr">
        <is>
          <t>2026-03</t>
        </is>
      </c>
      <c r="M8" s="3">
        <f>SUMPRODUCT((RELATIONSHIPS!B2:B500=A8)*(RELATIONSHIPS!D2:D500&lt;&gt;"evidence")*RELATIONSHIPS!F2:F500)+SUMPRODUCT((RELATIONSHIPS!C2:C500=A8)*(RELATIONSHIPS!D2:D500&lt;&gt;"evidence")*RELATIONSHIPS!F2:F500)+SUMPRODUCT((RELATIONSHIPS!B2:B500=A8)*(RELATIONSHIPS!E2:E500="supports")*RELATIONSHIPS!F2:F500)*2+SUMPRODUCT((RELATIONSHIPS!C2:C500=A8)*(RELATIONSHIPS!E2:E500="supports")*RELATIONSHIPS!F2:F500)*2-SUMPRODUCT((RELATIONSHIPS!B2:B500=A8)*(RELATIONSHIPS!E2:E500="attacks")*RELATIONSHIPS!F2:F500)*3-SUMPRODUCT((RELATIONSHIPS!C2:C500=A8)*(RELATIONSHIPS!E2:E500="attacks")*RELATIONSHIPS!F2:F500)*3-COUNTIFS(RELATIONSHIPS!B2:B500,A8,RELATIONSHIPS!H2:H500,"dead")*2-COUNTIFS(RELATIONSHIPS!C2:C500,A8,RELATIONSHIPS!H2:H500,"dead")*2</f>
        <v/>
      </c>
      <c r="N8" s="3">
        <f>IF(M8="","",IF(M8&gt;=90,"NEAR-CANONICAL",IF(M8&gt;=75,"STRONG",IF(M8&gt;=60,"PROVISIONAL","WEAK"))))</f>
        <v/>
      </c>
    </row>
    <row r="9">
      <c r="A9" s="4" t="inlineStr">
        <is>
          <t>N008</t>
        </is>
      </c>
      <c r="B9" s="4" t="inlineStr">
        <is>
          <t>Q7</t>
        </is>
      </c>
      <c r="C9" s="4" t="inlineStr">
        <is>
          <t>Terminal Observer</t>
        </is>
      </c>
      <c r="D9" s="4" t="inlineStr">
        <is>
          <t>Does the observer chain terminate?</t>
        </is>
      </c>
      <c r="E9" s="4" t="inlineStr">
        <is>
          <t>system</t>
        </is>
      </c>
      <c r="F9" s="4" t="inlineStr">
        <is>
          <t>question</t>
        </is>
      </c>
      <c r="G9" s="4" t="inlineStr">
        <is>
          <t>type1_binary</t>
        </is>
      </c>
      <c r="H9" s="4" t="inlineStr">
        <is>
          <t>canonical</t>
        </is>
      </c>
      <c r="I9" s="4" t="n">
        <v>8</v>
      </c>
      <c r="J9" s="4" t="n">
        <v>7</v>
      </c>
      <c r="K9" s="4" t="inlineStr">
        <is>
          <t>theophysics</t>
        </is>
      </c>
      <c r="L9" s="4" t="inlineStr">
        <is>
          <t>2026-03</t>
        </is>
      </c>
      <c r="M9" s="4">
        <f>SUMPRODUCT((RELATIONSHIPS!B2:B500=A9)*(RELATIONSHIPS!D2:D500&lt;&gt;"evidence")*RELATIONSHIPS!F2:F500)+SUMPRODUCT((RELATIONSHIPS!C2:C500=A9)*(RELATIONSHIPS!D2:D500&lt;&gt;"evidence")*RELATIONSHIPS!F2:F500)+SUMPRODUCT((RELATIONSHIPS!B2:B500=A9)*(RELATIONSHIPS!E2:E500="supports")*RELATIONSHIPS!F2:F500)*2+SUMPRODUCT((RELATIONSHIPS!C2:C500=A9)*(RELATIONSHIPS!E2:E500="supports")*RELATIONSHIPS!F2:F500)*2-SUMPRODUCT((RELATIONSHIPS!B2:B500=A9)*(RELATIONSHIPS!E2:E500="attacks")*RELATIONSHIPS!F2:F500)*3-SUMPRODUCT((RELATIONSHIPS!C2:C500=A9)*(RELATIONSHIPS!E2:E500="attacks")*RELATIONSHIPS!F2:F500)*3-COUNTIFS(RELATIONSHIPS!B2:B500,A9,RELATIONSHIPS!H2:H500,"dead")*2-COUNTIFS(RELATIONSHIPS!C2:C500,A9,RELATIONSHIPS!H2:H500,"dead")*2</f>
        <v/>
      </c>
      <c r="N9" s="4">
        <f>IF(M9="","",IF(M9&gt;=90,"NEAR-CANONICAL",IF(M9&gt;=75,"STRONG",IF(M9&gt;=60,"PROVISIONAL","WEAK"))))</f>
        <v/>
      </c>
    </row>
    <row r="10">
      <c r="A10" s="3" t="inlineStr">
        <is>
          <t>N009</t>
        </is>
      </c>
      <c r="B10" s="3" t="inlineStr">
        <is>
          <t>Q8</t>
        </is>
      </c>
      <c r="C10" s="3" t="inlineStr">
        <is>
          <t>Boundary Conditions</t>
        </is>
      </c>
      <c r="D10" s="3" t="inlineStr">
        <is>
          <t>What boundary conditions must a complete theory satisfy?</t>
        </is>
      </c>
      <c r="E10" s="3" t="inlineStr">
        <is>
          <t>system</t>
        </is>
      </c>
      <c r="F10" s="3" t="inlineStr">
        <is>
          <t>question</t>
        </is>
      </c>
      <c r="G10" s="3" t="inlineStr">
        <is>
          <t>type4_constraint</t>
        </is>
      </c>
      <c r="H10" s="3" t="inlineStr">
        <is>
          <t>canonical</t>
        </is>
      </c>
      <c r="I10" s="3" t="n">
        <v>9</v>
      </c>
      <c r="J10" s="3" t="n">
        <v>8</v>
      </c>
      <c r="K10" s="3" t="inlineStr">
        <is>
          <t>theophysics</t>
        </is>
      </c>
      <c r="L10" s="3" t="inlineStr">
        <is>
          <t>2026-03</t>
        </is>
      </c>
      <c r="M10" s="3">
        <f>SUMPRODUCT((RELATIONSHIPS!B2:B500=A10)*(RELATIONSHIPS!D2:D500&lt;&gt;"evidence")*RELATIONSHIPS!F2:F500)+SUMPRODUCT((RELATIONSHIPS!C2:C500=A10)*(RELATIONSHIPS!D2:D500&lt;&gt;"evidence")*RELATIONSHIPS!F2:F500)+SUMPRODUCT((RELATIONSHIPS!B2:B500=A10)*(RELATIONSHIPS!E2:E500="supports")*RELATIONSHIPS!F2:F500)*2+SUMPRODUCT((RELATIONSHIPS!C2:C500=A10)*(RELATIONSHIPS!E2:E500="supports")*RELATIONSHIPS!F2:F500)*2-SUMPRODUCT((RELATIONSHIPS!B2:B500=A10)*(RELATIONSHIPS!E2:E500="attacks")*RELATIONSHIPS!F2:F500)*3-SUMPRODUCT((RELATIONSHIPS!C2:C500=A10)*(RELATIONSHIPS!E2:E500="attacks")*RELATIONSHIPS!F2:F500)*3-COUNTIFS(RELATIONSHIPS!B2:B500,A10,RELATIONSHIPS!H2:H500,"dead")*2-COUNTIFS(RELATIONSHIPS!C2:C500,A10,RELATIONSHIPS!H2:H500,"dead")*2</f>
        <v/>
      </c>
      <c r="N10" s="3">
        <f>IF(M10="","",IF(M10&gt;=90,"NEAR-CANONICAL",IF(M10&gt;=75,"STRONG",IF(M10&gt;=60,"PROVISIONAL","WEAK"))))</f>
        <v/>
      </c>
    </row>
    <row r="11">
      <c r="A11" s="4" t="inlineStr">
        <is>
          <t>N010</t>
        </is>
      </c>
      <c r="B11" s="4" t="inlineStr">
        <is>
          <t>Q9</t>
        </is>
      </c>
      <c r="C11" s="4" t="inlineStr">
        <is>
          <t>The Identification</t>
        </is>
      </c>
      <c r="D11" s="4" t="inlineStr">
        <is>
          <t>What satisfies ALL 8 boundary conditions?</t>
        </is>
      </c>
      <c r="E11" s="4" t="inlineStr">
        <is>
          <t>system</t>
        </is>
      </c>
      <c r="F11" s="4" t="inlineStr">
        <is>
          <t>question</t>
        </is>
      </c>
      <c r="G11" s="4" t="inlineStr">
        <is>
          <t>type2_identity</t>
        </is>
      </c>
      <c r="H11" s="4" t="inlineStr">
        <is>
          <t>canonical</t>
        </is>
      </c>
      <c r="I11" s="4" t="n">
        <v>10</v>
      </c>
      <c r="J11" s="4" t="n">
        <v>9</v>
      </c>
      <c r="K11" s="4" t="inlineStr">
        <is>
          <t>theophysics</t>
        </is>
      </c>
      <c r="L11" s="4" t="inlineStr">
        <is>
          <t>2026-03</t>
        </is>
      </c>
      <c r="M11" s="4">
        <f>SUMPRODUCT((RELATIONSHIPS!B2:B500=A11)*(RELATIONSHIPS!D2:D500&lt;&gt;"evidence")*RELATIONSHIPS!F2:F500)+SUMPRODUCT((RELATIONSHIPS!C2:C500=A11)*(RELATIONSHIPS!D2:D500&lt;&gt;"evidence")*RELATIONSHIPS!F2:F500)+SUMPRODUCT((RELATIONSHIPS!B2:B500=A11)*(RELATIONSHIPS!E2:E500="supports")*RELATIONSHIPS!F2:F500)*2+SUMPRODUCT((RELATIONSHIPS!C2:C500=A11)*(RELATIONSHIPS!E2:E500="supports")*RELATIONSHIPS!F2:F500)*2-SUMPRODUCT((RELATIONSHIPS!B2:B500=A11)*(RELATIONSHIPS!E2:E500="attacks")*RELATIONSHIPS!F2:F500)*3-SUMPRODUCT((RELATIONSHIPS!C2:C500=A11)*(RELATIONSHIPS!E2:E500="attacks")*RELATIONSHIPS!F2:F500)*3-COUNTIFS(RELATIONSHIPS!B2:B500,A11,RELATIONSHIPS!H2:H500,"dead")*2-COUNTIFS(RELATIONSHIPS!C2:C500,A11,RELATIONSHIPS!H2:H500,"dead")*2</f>
        <v/>
      </c>
      <c r="N11" s="4">
        <f>IF(M11="","",IF(M11&gt;=90,"NEAR-CANONICAL",IF(M11&gt;=75,"STRONG",IF(M11&gt;=60,"PROVISIONAL","WEAK"))))</f>
        <v/>
      </c>
    </row>
    <row r="12">
      <c r="A12" s="3" t="inlineStr">
        <is>
          <t>N011</t>
        </is>
      </c>
      <c r="B12" s="3" t="inlineStr">
        <is>
          <t>Q10</t>
        </is>
      </c>
      <c r="C12" s="3" t="inlineStr">
        <is>
          <t>Sign Structure</t>
        </is>
      </c>
      <c r="D12" s="3" t="inlineStr">
        <is>
          <t>Can a system change its own moral orientation?</t>
        </is>
      </c>
      <c r="E12" s="3" t="inlineStr">
        <is>
          <t>system</t>
        </is>
      </c>
      <c r="F12" s="3" t="inlineStr">
        <is>
          <t>question</t>
        </is>
      </c>
      <c r="G12" s="3" t="inlineStr">
        <is>
          <t>type1_binary</t>
        </is>
      </c>
      <c r="H12" s="3" t="inlineStr">
        <is>
          <t>canonical</t>
        </is>
      </c>
      <c r="I12" s="3" t="n">
        <v>11</v>
      </c>
      <c r="J12" s="3" t="n">
        <v>10</v>
      </c>
      <c r="K12" s="3" t="inlineStr">
        <is>
          <t>theophysics</t>
        </is>
      </c>
      <c r="L12" s="3" t="inlineStr">
        <is>
          <t>2026-03</t>
        </is>
      </c>
      <c r="M12" s="3">
        <f>SUMPRODUCT((RELATIONSHIPS!B2:B500=A12)*(RELATIONSHIPS!D2:D500&lt;&gt;"evidence")*RELATIONSHIPS!F2:F500)+SUMPRODUCT((RELATIONSHIPS!C2:C500=A12)*(RELATIONSHIPS!D2:D500&lt;&gt;"evidence")*RELATIONSHIPS!F2:F500)+SUMPRODUCT((RELATIONSHIPS!B2:B500=A12)*(RELATIONSHIPS!E2:E500="supports")*RELATIONSHIPS!F2:F500)*2+SUMPRODUCT((RELATIONSHIPS!C2:C500=A12)*(RELATIONSHIPS!E2:E500="supports")*RELATIONSHIPS!F2:F500)*2-SUMPRODUCT((RELATIONSHIPS!B2:B500=A12)*(RELATIONSHIPS!E2:E500="attacks")*RELATIONSHIPS!F2:F500)*3-SUMPRODUCT((RELATIONSHIPS!C2:C500=A12)*(RELATIONSHIPS!E2:E500="attacks")*RELATIONSHIPS!F2:F500)*3-COUNTIFS(RELATIONSHIPS!B2:B500,A12,RELATIONSHIPS!H2:H500,"dead")*2-COUNTIFS(RELATIONSHIPS!C2:C500,A12,RELATIONSHIPS!H2:H500,"dead")*2</f>
        <v/>
      </c>
      <c r="N12" s="3">
        <f>IF(M12="","",IF(M12&gt;=90,"NEAR-CANONICAL",IF(M12&gt;=75,"STRONG",IF(M12&gt;=60,"PROVISIONAL","WEAK"))))</f>
        <v/>
      </c>
    </row>
    <row r="13">
      <c r="A13" s="4" t="inlineStr">
        <is>
          <t>N012</t>
        </is>
      </c>
      <c r="B13" s="4" t="inlineStr">
        <is>
          <t>Q11</t>
        </is>
      </c>
      <c r="C13" s="4" t="inlineStr">
        <is>
          <t>Destiny</t>
        </is>
      </c>
      <c r="D13" s="4" t="inlineStr">
        <is>
          <t>What is the asymptotic fate?</t>
        </is>
      </c>
      <c r="E13" s="4" t="inlineStr">
        <is>
          <t>system</t>
        </is>
      </c>
      <c r="F13" s="4" t="inlineStr">
        <is>
          <t>question</t>
        </is>
      </c>
      <c r="G13" s="4" t="inlineStr">
        <is>
          <t>type3_ground</t>
        </is>
      </c>
      <c r="H13" s="4" t="inlineStr">
        <is>
          <t>canonical</t>
        </is>
      </c>
      <c r="I13" s="4" t="n">
        <v>12</v>
      </c>
      <c r="J13" s="4" t="n">
        <v>11</v>
      </c>
      <c r="K13" s="4" t="inlineStr">
        <is>
          <t>theophysics</t>
        </is>
      </c>
      <c r="L13" s="4" t="inlineStr">
        <is>
          <t>2026-03</t>
        </is>
      </c>
      <c r="M13" s="4">
        <f>SUMPRODUCT((RELATIONSHIPS!B2:B500=A13)*(RELATIONSHIPS!D2:D500&lt;&gt;"evidence")*RELATIONSHIPS!F2:F500)+SUMPRODUCT((RELATIONSHIPS!C2:C500=A13)*(RELATIONSHIPS!D2:D500&lt;&gt;"evidence")*RELATIONSHIPS!F2:F500)+SUMPRODUCT((RELATIONSHIPS!B2:B500=A13)*(RELATIONSHIPS!E2:E500="supports")*RELATIONSHIPS!F2:F500)*2+SUMPRODUCT((RELATIONSHIPS!C2:C500=A13)*(RELATIONSHIPS!E2:E500="supports")*RELATIONSHIPS!F2:F500)*2-SUMPRODUCT((RELATIONSHIPS!B2:B500=A13)*(RELATIONSHIPS!E2:E500="attacks")*RELATIONSHIPS!F2:F500)*3-SUMPRODUCT((RELATIONSHIPS!C2:C500=A13)*(RELATIONSHIPS!E2:E500="attacks")*RELATIONSHIPS!F2:F500)*3-COUNTIFS(RELATIONSHIPS!B2:B500,A13,RELATIONSHIPS!H2:H500,"dead")*2-COUNTIFS(RELATIONSHIPS!C2:C500,A13,RELATIONSHIPS!H2:H500,"dead")*2</f>
        <v/>
      </c>
      <c r="N13" s="4">
        <f>IF(M13="","",IF(M13&gt;=90,"NEAR-CANONICAL",IF(M13&gt;=75,"STRONG",IF(M13&gt;=60,"PROVISIONAL","WEAK"))))</f>
        <v/>
      </c>
    </row>
    <row r="14">
      <c r="A14" s="3" t="inlineStr">
        <is>
          <t>N013</t>
        </is>
      </c>
      <c r="B14" s="3" t="inlineStr">
        <is>
          <t>Q12</t>
        </is>
      </c>
      <c r="C14" s="3" t="inlineStr">
        <is>
          <t>Uniqueness Test</t>
        </is>
      </c>
      <c r="D14" s="3" t="inlineStr">
        <is>
          <t>Which existing system satisfies ALL constraints?</t>
        </is>
      </c>
      <c r="E14" s="3" t="inlineStr">
        <is>
          <t>system</t>
        </is>
      </c>
      <c r="F14" s="3" t="inlineStr">
        <is>
          <t>question</t>
        </is>
      </c>
      <c r="G14" s="3" t="inlineStr">
        <is>
          <t>type2_identity</t>
        </is>
      </c>
      <c r="H14" s="3" t="inlineStr">
        <is>
          <t>canonical</t>
        </is>
      </c>
      <c r="I14" s="3" t="n">
        <v>13</v>
      </c>
      <c r="J14" s="3" t="n">
        <v>12</v>
      </c>
      <c r="K14" s="3" t="inlineStr">
        <is>
          <t>theophysics</t>
        </is>
      </c>
      <c r="L14" s="3" t="inlineStr">
        <is>
          <t>2026-03</t>
        </is>
      </c>
      <c r="M14" s="3">
        <f>SUMPRODUCT((RELATIONSHIPS!B2:B500=A14)*(RELATIONSHIPS!D2:D500&lt;&gt;"evidence")*RELATIONSHIPS!F2:F500)+SUMPRODUCT((RELATIONSHIPS!C2:C500=A14)*(RELATIONSHIPS!D2:D500&lt;&gt;"evidence")*RELATIONSHIPS!F2:F500)+SUMPRODUCT((RELATIONSHIPS!B2:B500=A14)*(RELATIONSHIPS!E2:E500="supports")*RELATIONSHIPS!F2:F500)*2+SUMPRODUCT((RELATIONSHIPS!C2:C500=A14)*(RELATIONSHIPS!E2:E500="supports")*RELATIONSHIPS!F2:F500)*2-SUMPRODUCT((RELATIONSHIPS!B2:B500=A14)*(RELATIONSHIPS!E2:E500="attacks")*RELATIONSHIPS!F2:F500)*3-SUMPRODUCT((RELATIONSHIPS!C2:C500=A14)*(RELATIONSHIPS!E2:E500="attacks")*RELATIONSHIPS!F2:F500)*3-COUNTIFS(RELATIONSHIPS!B2:B500,A14,RELATIONSHIPS!H2:H500,"dead")*2-COUNTIFS(RELATIONSHIPS!C2:C500,A14,RELATIONSHIPS!H2:H500,"dead")*2</f>
        <v/>
      </c>
      <c r="N14" s="3">
        <f>IF(M14="","",IF(M14&gt;=90,"NEAR-CANONICAL",IF(M14&gt;=75,"STRONG",IF(M14&gt;=60,"PROVISIONAL","WEAK"))))</f>
        <v/>
      </c>
    </row>
    <row r="15">
      <c r="A15" s="4" t="inlineStr">
        <is>
          <t>N014</t>
        </is>
      </c>
      <c r="B15" s="4" t="inlineStr">
        <is>
          <t>Q0-A</t>
        </is>
      </c>
      <c r="C15" s="4" t="inlineStr">
        <is>
          <t>Nothing exists</t>
        </is>
      </c>
      <c r="D15" s="4" t="inlineStr">
        <is>
          <t>No, nothing exists.</t>
        </is>
      </c>
      <c r="E15" s="4" t="inlineStr">
        <is>
          <t>system</t>
        </is>
      </c>
      <c r="F15" s="4" t="inlineStr">
        <is>
          <t>branch</t>
        </is>
      </c>
      <c r="G15" s="4" t="inlineStr">
        <is>
          <t>type1_binary</t>
        </is>
      </c>
      <c r="H15" s="4" t="inlineStr">
        <is>
          <t>canonical</t>
        </is>
      </c>
      <c r="I15" s="4" t="n"/>
      <c r="J15" s="4" t="n">
        <v>0</v>
      </c>
      <c r="K15" s="4" t="inlineStr">
        <is>
          <t>theophysics</t>
        </is>
      </c>
      <c r="L15" s="4" t="inlineStr">
        <is>
          <t>2026-03</t>
        </is>
      </c>
      <c r="M15" s="4">
        <f>SUMPRODUCT((RELATIONSHIPS!B2:B500=A15)*(RELATIONSHIPS!D2:D500&lt;&gt;"evidence")*RELATIONSHIPS!F2:F500)+SUMPRODUCT((RELATIONSHIPS!C2:C500=A15)*(RELATIONSHIPS!D2:D500&lt;&gt;"evidence")*RELATIONSHIPS!F2:F500)+SUMPRODUCT((RELATIONSHIPS!B2:B500=A15)*(RELATIONSHIPS!E2:E500="supports")*RELATIONSHIPS!F2:F500)*2+SUMPRODUCT((RELATIONSHIPS!C2:C500=A15)*(RELATIONSHIPS!E2:E500="supports")*RELATIONSHIPS!F2:F500)*2-SUMPRODUCT((RELATIONSHIPS!B2:B500=A15)*(RELATIONSHIPS!E2:E500="attacks")*RELATIONSHIPS!F2:F500)*3-SUMPRODUCT((RELATIONSHIPS!C2:C500=A15)*(RELATIONSHIPS!E2:E500="attacks")*RELATIONSHIPS!F2:F500)*3-COUNTIFS(RELATIONSHIPS!B2:B500,A15,RELATIONSHIPS!H2:H500,"dead")*2-COUNTIFS(RELATIONSHIPS!C2:C500,A15,RELATIONSHIPS!H2:H500,"dead")*2</f>
        <v/>
      </c>
      <c r="N15" s="4">
        <f>IF(M15="","",IF(M15&gt;=90,"NEAR-CANONICAL",IF(M15&gt;=75,"STRONG",IF(M15&gt;=60,"PROVISIONAL","WEAK"))))</f>
        <v/>
      </c>
    </row>
    <row r="16">
      <c r="A16" s="3" t="inlineStr">
        <is>
          <t>N015</t>
        </is>
      </c>
      <c r="B16" s="3" t="inlineStr">
        <is>
          <t>Q0-B</t>
        </is>
      </c>
      <c r="C16" s="3" t="inlineStr">
        <is>
          <t>Something exists</t>
        </is>
      </c>
      <c r="D16" s="3" t="inlineStr">
        <is>
          <t>Yes, something exists.</t>
        </is>
      </c>
      <c r="E16" s="3" t="inlineStr">
        <is>
          <t>system</t>
        </is>
      </c>
      <c r="F16" s="3" t="inlineStr">
        <is>
          <t>branch</t>
        </is>
      </c>
      <c r="G16" s="3" t="inlineStr">
        <is>
          <t>type1_binary</t>
        </is>
      </c>
      <c r="H16" s="3" t="inlineStr">
        <is>
          <t>canonical</t>
        </is>
      </c>
      <c r="I16" s="3" t="n"/>
      <c r="J16" s="3" t="n">
        <v>0</v>
      </c>
      <c r="K16" s="3" t="inlineStr">
        <is>
          <t>theophysics</t>
        </is>
      </c>
      <c r="L16" s="3" t="inlineStr">
        <is>
          <t>2026-03</t>
        </is>
      </c>
      <c r="M16" s="3">
        <f>SUMPRODUCT((RELATIONSHIPS!B2:B500=A16)*(RELATIONSHIPS!D2:D500&lt;&gt;"evidence")*RELATIONSHIPS!F2:F500)+SUMPRODUCT((RELATIONSHIPS!C2:C500=A16)*(RELATIONSHIPS!D2:D500&lt;&gt;"evidence")*RELATIONSHIPS!F2:F500)+SUMPRODUCT((RELATIONSHIPS!B2:B500=A16)*(RELATIONSHIPS!E2:E500="supports")*RELATIONSHIPS!F2:F500)*2+SUMPRODUCT((RELATIONSHIPS!C2:C500=A16)*(RELATIONSHIPS!E2:E500="supports")*RELATIONSHIPS!F2:F500)*2-SUMPRODUCT((RELATIONSHIPS!B2:B500=A16)*(RELATIONSHIPS!E2:E500="attacks")*RELATIONSHIPS!F2:F500)*3-SUMPRODUCT((RELATIONSHIPS!C2:C500=A16)*(RELATIONSHIPS!E2:E500="attacks")*RELATIONSHIPS!F2:F500)*3-COUNTIFS(RELATIONSHIPS!B2:B500,A16,RELATIONSHIPS!H2:H500,"dead")*2-COUNTIFS(RELATIONSHIPS!C2:C500,A16,RELATIONSHIPS!H2:H500,"dead")*2</f>
        <v/>
      </c>
      <c r="N16" s="3">
        <f>IF(M16="","",IF(M16&gt;=90,"NEAR-CANONICAL",IF(M16&gt;=75,"STRONG",IF(M16&gt;=60,"PROVISIONAL","WEAK"))))</f>
        <v/>
      </c>
    </row>
    <row r="17">
      <c r="A17" s="4" t="inlineStr">
        <is>
          <t>N016</t>
        </is>
      </c>
      <c r="B17" s="4" t="inlineStr">
        <is>
          <t>Q0-C</t>
        </is>
      </c>
      <c r="C17" s="4" t="inlineStr">
        <is>
          <t>Meaningless</t>
        </is>
      </c>
      <c r="D17" s="4" t="inlineStr">
        <is>
          <t>The question is meaningless.</t>
        </is>
      </c>
      <c r="E17" s="4" t="inlineStr">
        <is>
          <t>system</t>
        </is>
      </c>
      <c r="F17" s="4" t="inlineStr">
        <is>
          <t>branch</t>
        </is>
      </c>
      <c r="G17" s="4" t="inlineStr">
        <is>
          <t>type1_binary</t>
        </is>
      </c>
      <c r="H17" s="4" t="inlineStr">
        <is>
          <t>canonical</t>
        </is>
      </c>
      <c r="I17" s="4" t="n"/>
      <c r="J17" s="4" t="n">
        <v>0</v>
      </c>
      <c r="K17" s="4" t="inlineStr">
        <is>
          <t>theophysics</t>
        </is>
      </c>
      <c r="L17" s="4" t="inlineStr">
        <is>
          <t>2026-03</t>
        </is>
      </c>
      <c r="M17" s="4">
        <f>SUMPRODUCT((RELATIONSHIPS!B2:B500=A17)*(RELATIONSHIPS!D2:D500&lt;&gt;"evidence")*RELATIONSHIPS!F2:F500)+SUMPRODUCT((RELATIONSHIPS!C2:C500=A17)*(RELATIONSHIPS!D2:D500&lt;&gt;"evidence")*RELATIONSHIPS!F2:F500)+SUMPRODUCT((RELATIONSHIPS!B2:B500=A17)*(RELATIONSHIPS!E2:E500="supports")*RELATIONSHIPS!F2:F500)*2+SUMPRODUCT((RELATIONSHIPS!C2:C500=A17)*(RELATIONSHIPS!E2:E500="supports")*RELATIONSHIPS!F2:F500)*2-SUMPRODUCT((RELATIONSHIPS!B2:B500=A17)*(RELATIONSHIPS!E2:E500="attacks")*RELATIONSHIPS!F2:F500)*3-SUMPRODUCT((RELATIONSHIPS!C2:C500=A17)*(RELATIONSHIPS!E2:E500="attacks")*RELATIONSHIPS!F2:F500)*3-COUNTIFS(RELATIONSHIPS!B2:B500,A17,RELATIONSHIPS!H2:H500,"dead")*2-COUNTIFS(RELATIONSHIPS!C2:C500,A17,RELATIONSHIPS!H2:H500,"dead")*2</f>
        <v/>
      </c>
      <c r="N17" s="4">
        <f>IF(M17="","",IF(M17&gt;=90,"NEAR-CANONICAL",IF(M17&gt;=75,"STRONG",IF(M17&gt;=60,"PROVISIONAL","WEAK"))))</f>
        <v/>
      </c>
    </row>
    <row r="18">
      <c r="A18" s="3" t="inlineStr">
        <is>
          <t>N017</t>
        </is>
      </c>
      <c r="B18" s="3" t="inlineStr">
        <is>
          <t>Q0-D</t>
        </is>
      </c>
      <c r="C18" s="3" t="inlineStr">
        <is>
          <t>Illusion</t>
        </is>
      </c>
      <c r="D18" s="3" t="inlineStr">
        <is>
          <t>Existence is an illusion.</t>
        </is>
      </c>
      <c r="E18" s="3" t="inlineStr">
        <is>
          <t>system</t>
        </is>
      </c>
      <c r="F18" s="3" t="inlineStr">
        <is>
          <t>branch</t>
        </is>
      </c>
      <c r="G18" s="3" t="inlineStr">
        <is>
          <t>type1_binary</t>
        </is>
      </c>
      <c r="H18" s="3" t="inlineStr">
        <is>
          <t>canonical</t>
        </is>
      </c>
      <c r="I18" s="3" t="n"/>
      <c r="J18" s="3" t="n">
        <v>0</v>
      </c>
      <c r="K18" s="3" t="inlineStr">
        <is>
          <t>theophysics</t>
        </is>
      </c>
      <c r="L18" s="3" t="inlineStr">
        <is>
          <t>2026-03</t>
        </is>
      </c>
      <c r="M18" s="3">
        <f>SUMPRODUCT((RELATIONSHIPS!B2:B500=A18)*(RELATIONSHIPS!D2:D500&lt;&gt;"evidence")*RELATIONSHIPS!F2:F500)+SUMPRODUCT((RELATIONSHIPS!C2:C500=A18)*(RELATIONSHIPS!D2:D500&lt;&gt;"evidence")*RELATIONSHIPS!F2:F500)+SUMPRODUCT((RELATIONSHIPS!B2:B500=A18)*(RELATIONSHIPS!E2:E500="supports")*RELATIONSHIPS!F2:F500)*2+SUMPRODUCT((RELATIONSHIPS!C2:C500=A18)*(RELATIONSHIPS!E2:E500="supports")*RELATIONSHIPS!F2:F500)*2-SUMPRODUCT((RELATIONSHIPS!B2:B500=A18)*(RELATIONSHIPS!E2:E500="attacks")*RELATIONSHIPS!F2:F500)*3-SUMPRODUCT((RELATIONSHIPS!C2:C500=A18)*(RELATIONSHIPS!E2:E500="attacks")*RELATIONSHIPS!F2:F500)*3-COUNTIFS(RELATIONSHIPS!B2:B500,A18,RELATIONSHIPS!H2:H500,"dead")*2-COUNTIFS(RELATIONSHIPS!C2:C500,A18,RELATIONSHIPS!H2:H500,"dead")*2</f>
        <v/>
      </c>
      <c r="N18" s="3">
        <f>IF(M18="","",IF(M18&gt;=90,"NEAR-CANONICAL",IF(M18&gt;=75,"STRONG",IF(M18&gt;=60,"PROVISIONAL","WEAK"))))</f>
        <v/>
      </c>
    </row>
    <row r="19">
      <c r="A19" s="4" t="inlineStr">
        <is>
          <t>N018</t>
        </is>
      </c>
      <c r="B19" s="4" t="inlineStr">
        <is>
          <t>Q1-A</t>
        </is>
      </c>
      <c r="C19" s="4" t="inlineStr">
        <is>
          <t>No distinction</t>
        </is>
      </c>
      <c r="D19" s="4" t="inlineStr">
        <is>
          <t>Being and non-being indistinguishable.</t>
        </is>
      </c>
      <c r="E19" s="4" t="inlineStr">
        <is>
          <t>system</t>
        </is>
      </c>
      <c r="F19" s="4" t="inlineStr">
        <is>
          <t>branch</t>
        </is>
      </c>
      <c r="G19" s="4" t="inlineStr">
        <is>
          <t>type1_binary</t>
        </is>
      </c>
      <c r="H19" s="4" t="inlineStr">
        <is>
          <t>canonical</t>
        </is>
      </c>
      <c r="I19" s="4" t="n"/>
      <c r="J19" s="4" t="n">
        <v>1</v>
      </c>
      <c r="K19" s="4" t="inlineStr">
        <is>
          <t>theophysics</t>
        </is>
      </c>
      <c r="L19" s="4" t="inlineStr">
        <is>
          <t>2026-03</t>
        </is>
      </c>
      <c r="M19" s="4">
        <f>SUMPRODUCT((RELATIONSHIPS!B2:B500=A19)*(RELATIONSHIPS!D2:D500&lt;&gt;"evidence")*RELATIONSHIPS!F2:F500)+SUMPRODUCT((RELATIONSHIPS!C2:C500=A19)*(RELATIONSHIPS!D2:D500&lt;&gt;"evidence")*RELATIONSHIPS!F2:F500)+SUMPRODUCT((RELATIONSHIPS!B2:B500=A19)*(RELATIONSHIPS!E2:E500="supports")*RELATIONSHIPS!F2:F500)*2+SUMPRODUCT((RELATIONSHIPS!C2:C500=A19)*(RELATIONSHIPS!E2:E500="supports")*RELATIONSHIPS!F2:F500)*2-SUMPRODUCT((RELATIONSHIPS!B2:B500=A19)*(RELATIONSHIPS!E2:E500="attacks")*RELATIONSHIPS!F2:F500)*3-SUMPRODUCT((RELATIONSHIPS!C2:C500=A19)*(RELATIONSHIPS!E2:E500="attacks")*RELATIONSHIPS!F2:F500)*3-COUNTIFS(RELATIONSHIPS!B2:B500,A19,RELATIONSHIPS!H2:H500,"dead")*2-COUNTIFS(RELATIONSHIPS!C2:C500,A19,RELATIONSHIPS!H2:H500,"dead")*2</f>
        <v/>
      </c>
      <c r="N19" s="4">
        <f>IF(M19="","",IF(M19&gt;=90,"NEAR-CANONICAL",IF(M19&gt;=75,"STRONG",IF(M19&gt;=60,"PROVISIONAL","WEAK"))))</f>
        <v/>
      </c>
    </row>
    <row r="20">
      <c r="A20" s="3" t="inlineStr">
        <is>
          <t>N019</t>
        </is>
      </c>
      <c r="B20" s="3" t="inlineStr">
        <is>
          <t>Q1-B</t>
        </is>
      </c>
      <c r="C20" s="3" t="inlineStr">
        <is>
          <t>Distinction real</t>
        </is>
      </c>
      <c r="D20" s="3" t="inlineStr">
        <is>
          <t>Distinction is real.</t>
        </is>
      </c>
      <c r="E20" s="3" t="inlineStr">
        <is>
          <t>system</t>
        </is>
      </c>
      <c r="F20" s="3" t="inlineStr">
        <is>
          <t>branch</t>
        </is>
      </c>
      <c r="G20" s="3" t="inlineStr">
        <is>
          <t>type1_binary</t>
        </is>
      </c>
      <c r="H20" s="3" t="inlineStr">
        <is>
          <t>canonical</t>
        </is>
      </c>
      <c r="I20" s="3" t="n"/>
      <c r="J20" s="3" t="n">
        <v>1</v>
      </c>
      <c r="K20" s="3" t="inlineStr">
        <is>
          <t>theophysics</t>
        </is>
      </c>
      <c r="L20" s="3" t="inlineStr">
        <is>
          <t>2026-03</t>
        </is>
      </c>
      <c r="M20" s="3">
        <f>SUMPRODUCT((RELATIONSHIPS!B2:B500=A20)*(RELATIONSHIPS!D2:D500&lt;&gt;"evidence")*RELATIONSHIPS!F2:F500)+SUMPRODUCT((RELATIONSHIPS!C2:C500=A20)*(RELATIONSHIPS!D2:D500&lt;&gt;"evidence")*RELATIONSHIPS!F2:F500)+SUMPRODUCT((RELATIONSHIPS!B2:B500=A20)*(RELATIONSHIPS!E2:E500="supports")*RELATIONSHIPS!F2:F500)*2+SUMPRODUCT((RELATIONSHIPS!C2:C500=A20)*(RELATIONSHIPS!E2:E500="supports")*RELATIONSHIPS!F2:F500)*2-SUMPRODUCT((RELATIONSHIPS!B2:B500=A20)*(RELATIONSHIPS!E2:E500="attacks")*RELATIONSHIPS!F2:F500)*3-SUMPRODUCT((RELATIONSHIPS!C2:C500=A20)*(RELATIONSHIPS!E2:E500="attacks")*RELATIONSHIPS!F2:F500)*3-COUNTIFS(RELATIONSHIPS!B2:B500,A20,RELATIONSHIPS!H2:H500,"dead")*2-COUNTIFS(RELATIONSHIPS!C2:C500,A20,RELATIONSHIPS!H2:H500,"dead")*2</f>
        <v/>
      </c>
      <c r="N20" s="3">
        <f>IF(M20="","",IF(M20&gt;=90,"NEAR-CANONICAL",IF(M20&gt;=75,"STRONG",IF(M20&gt;=60,"PROVISIONAL","WEAK"))))</f>
        <v/>
      </c>
    </row>
    <row r="21">
      <c r="A21" s="4" t="inlineStr">
        <is>
          <t>N020</t>
        </is>
      </c>
      <c r="B21" s="4" t="inlineStr">
        <is>
          <t>Q1-C</t>
        </is>
      </c>
      <c r="C21" s="4" t="inlineStr">
        <is>
          <t>Multi-level</t>
        </is>
      </c>
      <c r="D21" s="4" t="inlineStr">
        <is>
          <t>Real at one level, illusory at another.</t>
        </is>
      </c>
      <c r="E21" s="4" t="inlineStr">
        <is>
          <t>system</t>
        </is>
      </c>
      <c r="F21" s="4" t="inlineStr">
        <is>
          <t>branch</t>
        </is>
      </c>
      <c r="G21" s="4" t="inlineStr">
        <is>
          <t>type1_binary</t>
        </is>
      </c>
      <c r="H21" s="4" t="inlineStr">
        <is>
          <t>canonical</t>
        </is>
      </c>
      <c r="I21" s="4" t="n"/>
      <c r="J21" s="4" t="n">
        <v>1</v>
      </c>
      <c r="K21" s="4" t="inlineStr">
        <is>
          <t>theophysics</t>
        </is>
      </c>
      <c r="L21" s="4" t="inlineStr">
        <is>
          <t>2026-03</t>
        </is>
      </c>
      <c r="M21" s="4">
        <f>SUMPRODUCT((RELATIONSHIPS!B2:B500=A21)*(RELATIONSHIPS!D2:D500&lt;&gt;"evidence")*RELATIONSHIPS!F2:F500)+SUMPRODUCT((RELATIONSHIPS!C2:C500=A21)*(RELATIONSHIPS!D2:D500&lt;&gt;"evidence")*RELATIONSHIPS!F2:F500)+SUMPRODUCT((RELATIONSHIPS!B2:B500=A21)*(RELATIONSHIPS!E2:E500="supports")*RELATIONSHIPS!F2:F500)*2+SUMPRODUCT((RELATIONSHIPS!C2:C500=A21)*(RELATIONSHIPS!E2:E500="supports")*RELATIONSHIPS!F2:F500)*2-SUMPRODUCT((RELATIONSHIPS!B2:B500=A21)*(RELATIONSHIPS!E2:E500="attacks")*RELATIONSHIPS!F2:F500)*3-SUMPRODUCT((RELATIONSHIPS!C2:C500=A21)*(RELATIONSHIPS!E2:E500="attacks")*RELATIONSHIPS!F2:F500)*3-COUNTIFS(RELATIONSHIPS!B2:B500,A21,RELATIONSHIPS!H2:H500,"dead")*2-COUNTIFS(RELATIONSHIPS!C2:C500,A21,RELATIONSHIPS!H2:H500,"dead")*2</f>
        <v/>
      </c>
      <c r="N21" s="4">
        <f>IF(M21="","",IF(M21&gt;=90,"NEAR-CANONICAL",IF(M21&gt;=75,"STRONG",IF(M21&gt;=60,"PROVISIONAL","WEAK"))))</f>
        <v/>
      </c>
    </row>
    <row r="22">
      <c r="A22" s="3" t="inlineStr">
        <is>
          <t>N021</t>
        </is>
      </c>
      <c r="B22" s="3" t="inlineStr">
        <is>
          <t>Q2-A</t>
        </is>
      </c>
      <c r="C22" s="3" t="inlineStr">
        <is>
          <t>Matter property</t>
        </is>
      </c>
      <c r="D22" s="3" t="inlineStr">
        <is>
          <t>Distinction is a property of matter.</t>
        </is>
      </c>
      <c r="E22" s="3" t="inlineStr">
        <is>
          <t>system</t>
        </is>
      </c>
      <c r="F22" s="3" t="inlineStr">
        <is>
          <t>branch</t>
        </is>
      </c>
      <c r="G22" s="3" t="inlineStr">
        <is>
          <t>type2_identity</t>
        </is>
      </c>
      <c r="H22" s="3" t="inlineStr">
        <is>
          <t>canonical</t>
        </is>
      </c>
      <c r="I22" s="3" t="n"/>
      <c r="J22" s="3" t="n">
        <v>2</v>
      </c>
      <c r="K22" s="3" t="inlineStr">
        <is>
          <t>theophysics</t>
        </is>
      </c>
      <c r="L22" s="3" t="inlineStr">
        <is>
          <t>2026-03</t>
        </is>
      </c>
      <c r="M22" s="3">
        <f>SUMPRODUCT((RELATIONSHIPS!B2:B500=A22)*(RELATIONSHIPS!D2:D500&lt;&gt;"evidence")*RELATIONSHIPS!F2:F500)+SUMPRODUCT((RELATIONSHIPS!C2:C500=A22)*(RELATIONSHIPS!D2:D500&lt;&gt;"evidence")*RELATIONSHIPS!F2:F500)+SUMPRODUCT((RELATIONSHIPS!B2:B500=A22)*(RELATIONSHIPS!E2:E500="supports")*RELATIONSHIPS!F2:F500)*2+SUMPRODUCT((RELATIONSHIPS!C2:C500=A22)*(RELATIONSHIPS!E2:E500="supports")*RELATIONSHIPS!F2:F500)*2-SUMPRODUCT((RELATIONSHIPS!B2:B500=A22)*(RELATIONSHIPS!E2:E500="attacks")*RELATIONSHIPS!F2:F500)*3-SUMPRODUCT((RELATIONSHIPS!C2:C500=A22)*(RELATIONSHIPS!E2:E500="attacks")*RELATIONSHIPS!F2:F500)*3-COUNTIFS(RELATIONSHIPS!B2:B500,A22,RELATIONSHIPS!H2:H500,"dead")*2-COUNTIFS(RELATIONSHIPS!C2:C500,A22,RELATIONSHIPS!H2:H500,"dead")*2</f>
        <v/>
      </c>
      <c r="N22" s="3">
        <f>IF(M22="","",IF(M22&gt;=90,"NEAR-CANONICAL",IF(M22&gt;=75,"STRONG",IF(M22&gt;=60,"PROVISIONAL","WEAK"))))</f>
        <v/>
      </c>
    </row>
    <row r="23">
      <c r="A23" s="4" t="inlineStr">
        <is>
          <t>N022</t>
        </is>
      </c>
      <c r="B23" s="4" t="inlineStr">
        <is>
          <t>Q2-B</t>
        </is>
      </c>
      <c r="C23" s="4" t="inlineStr">
        <is>
          <t>Mind property</t>
        </is>
      </c>
      <c r="D23" s="4" t="inlineStr">
        <is>
          <t>Distinction is a property of mind.</t>
        </is>
      </c>
      <c r="E23" s="4" t="inlineStr">
        <is>
          <t>system</t>
        </is>
      </c>
      <c r="F23" s="4" t="inlineStr">
        <is>
          <t>branch</t>
        </is>
      </c>
      <c r="G23" s="4" t="inlineStr">
        <is>
          <t>type2_identity</t>
        </is>
      </c>
      <c r="H23" s="4" t="inlineStr">
        <is>
          <t>canonical</t>
        </is>
      </c>
      <c r="I23" s="4" t="n"/>
      <c r="J23" s="4" t="n">
        <v>2</v>
      </c>
      <c r="K23" s="4" t="inlineStr">
        <is>
          <t>theophysics</t>
        </is>
      </c>
      <c r="L23" s="4" t="inlineStr">
        <is>
          <t>2026-03</t>
        </is>
      </c>
      <c r="M23" s="4">
        <f>SUMPRODUCT((RELATIONSHIPS!B2:B500=A23)*(RELATIONSHIPS!D2:D500&lt;&gt;"evidence")*RELATIONSHIPS!F2:F500)+SUMPRODUCT((RELATIONSHIPS!C2:C500=A23)*(RELATIONSHIPS!D2:D500&lt;&gt;"evidence")*RELATIONSHIPS!F2:F500)+SUMPRODUCT((RELATIONSHIPS!B2:B500=A23)*(RELATIONSHIPS!E2:E500="supports")*RELATIONSHIPS!F2:F500)*2+SUMPRODUCT((RELATIONSHIPS!C2:C500=A23)*(RELATIONSHIPS!E2:E500="supports")*RELATIONSHIPS!F2:F500)*2-SUMPRODUCT((RELATIONSHIPS!B2:B500=A23)*(RELATIONSHIPS!E2:E500="attacks")*RELATIONSHIPS!F2:F500)*3-SUMPRODUCT((RELATIONSHIPS!C2:C500=A23)*(RELATIONSHIPS!E2:E500="attacks")*RELATIONSHIPS!F2:F500)*3-COUNTIFS(RELATIONSHIPS!B2:B500,A23,RELATIONSHIPS!H2:H500,"dead")*2-COUNTIFS(RELATIONSHIPS!C2:C500,A23,RELATIONSHIPS!H2:H500,"dead")*2</f>
        <v/>
      </c>
      <c r="N23" s="4">
        <f>IF(M23="","",IF(M23&gt;=90,"NEAR-CANONICAL",IF(M23&gt;=75,"STRONG",IF(M23&gt;=60,"PROVISIONAL","WEAK"))))</f>
        <v/>
      </c>
    </row>
    <row r="24">
      <c r="A24" s="3" t="inlineStr">
        <is>
          <t>N023</t>
        </is>
      </c>
      <c r="B24" s="3" t="inlineStr">
        <is>
          <t>Q2-C</t>
        </is>
      </c>
      <c r="C24" s="3" t="inlineStr">
        <is>
          <t>Information</t>
        </is>
      </c>
      <c r="D24" s="3" t="inlineStr">
        <is>
          <t>Distinction IS information.</t>
        </is>
      </c>
      <c r="E24" s="3" t="inlineStr">
        <is>
          <t>system</t>
        </is>
      </c>
      <c r="F24" s="3" t="inlineStr">
        <is>
          <t>branch</t>
        </is>
      </c>
      <c r="G24" s="3" t="inlineStr">
        <is>
          <t>type2_identity</t>
        </is>
      </c>
      <c r="H24" s="3" t="inlineStr">
        <is>
          <t>canonical</t>
        </is>
      </c>
      <c r="I24" s="3" t="n"/>
      <c r="J24" s="3" t="n">
        <v>2</v>
      </c>
      <c r="K24" s="3" t="inlineStr">
        <is>
          <t>theophysics</t>
        </is>
      </c>
      <c r="L24" s="3" t="inlineStr">
        <is>
          <t>2026-03</t>
        </is>
      </c>
      <c r="M24" s="3">
        <f>SUMPRODUCT((RELATIONSHIPS!B2:B500=A24)*(RELATIONSHIPS!D2:D500&lt;&gt;"evidence")*RELATIONSHIPS!F2:F500)+SUMPRODUCT((RELATIONSHIPS!C2:C500=A24)*(RELATIONSHIPS!D2:D500&lt;&gt;"evidence")*RELATIONSHIPS!F2:F500)+SUMPRODUCT((RELATIONSHIPS!B2:B500=A24)*(RELATIONSHIPS!E2:E500="supports")*RELATIONSHIPS!F2:F500)*2+SUMPRODUCT((RELATIONSHIPS!C2:C500=A24)*(RELATIONSHIPS!E2:E500="supports")*RELATIONSHIPS!F2:F500)*2-SUMPRODUCT((RELATIONSHIPS!B2:B500=A24)*(RELATIONSHIPS!E2:E500="attacks")*RELATIONSHIPS!F2:F500)*3-SUMPRODUCT((RELATIONSHIPS!C2:C500=A24)*(RELATIONSHIPS!E2:E500="attacks")*RELATIONSHIPS!F2:F500)*3-COUNTIFS(RELATIONSHIPS!B2:B500,A24,RELATIONSHIPS!H2:H500,"dead")*2-COUNTIFS(RELATIONSHIPS!C2:C500,A24,RELATIONSHIPS!H2:H500,"dead")*2</f>
        <v/>
      </c>
      <c r="N24" s="3">
        <f>IF(M24="","",IF(M24&gt;=90,"NEAR-CANONICAL",IF(M24&gt;=75,"STRONG",IF(M24&gt;=60,"PROVISIONAL","WEAK"))))</f>
        <v/>
      </c>
    </row>
    <row r="25">
      <c r="A25" s="4" t="inlineStr">
        <is>
          <t>N024</t>
        </is>
      </c>
      <c r="B25" s="4" t="inlineStr">
        <is>
          <t>Q2-D</t>
        </is>
      </c>
      <c r="C25" s="4" t="inlineStr">
        <is>
          <t>Brute primitive</t>
        </is>
      </c>
      <c r="D25" s="4" t="inlineStr">
        <is>
          <t>A brute, unanalyzable primitive.</t>
        </is>
      </c>
      <c r="E25" s="4" t="inlineStr">
        <is>
          <t>system</t>
        </is>
      </c>
      <c r="F25" s="4" t="inlineStr">
        <is>
          <t>branch</t>
        </is>
      </c>
      <c r="G25" s="4" t="inlineStr">
        <is>
          <t>type2_identity</t>
        </is>
      </c>
      <c r="H25" s="4" t="inlineStr">
        <is>
          <t>canonical</t>
        </is>
      </c>
      <c r="I25" s="4" t="n"/>
      <c r="J25" s="4" t="n">
        <v>2</v>
      </c>
      <c r="K25" s="4" t="inlineStr">
        <is>
          <t>theophysics</t>
        </is>
      </c>
      <c r="L25" s="4" t="inlineStr">
        <is>
          <t>2026-03</t>
        </is>
      </c>
      <c r="M25" s="4">
        <f>SUMPRODUCT((RELATIONSHIPS!B2:B500=A25)*(RELATIONSHIPS!D2:D500&lt;&gt;"evidence")*RELATIONSHIPS!F2:F500)+SUMPRODUCT((RELATIONSHIPS!C2:C500=A25)*(RELATIONSHIPS!D2:D500&lt;&gt;"evidence")*RELATIONSHIPS!F2:F500)+SUMPRODUCT((RELATIONSHIPS!B2:B500=A25)*(RELATIONSHIPS!E2:E500="supports")*RELATIONSHIPS!F2:F500)*2+SUMPRODUCT((RELATIONSHIPS!C2:C500=A25)*(RELATIONSHIPS!E2:E500="supports")*RELATIONSHIPS!F2:F500)*2-SUMPRODUCT((RELATIONSHIPS!B2:B500=A25)*(RELATIONSHIPS!E2:E500="attacks")*RELATIONSHIPS!F2:F500)*3-SUMPRODUCT((RELATIONSHIPS!C2:C500=A25)*(RELATIONSHIPS!E2:E500="attacks")*RELATIONSHIPS!F2:F500)*3-COUNTIFS(RELATIONSHIPS!B2:B500,A25,RELATIONSHIPS!H2:H500,"dead")*2-COUNTIFS(RELATIONSHIPS!C2:C500,A25,RELATIONSHIPS!H2:H500,"dead")*2</f>
        <v/>
      </c>
      <c r="N25" s="4">
        <f>IF(M25="","",IF(M25&gt;=90,"NEAR-CANONICAL",IF(M25&gt;=75,"STRONG",IF(M25&gt;=60,"PROVISIONAL","WEAK"))))</f>
        <v/>
      </c>
    </row>
    <row r="26">
      <c r="A26" s="3" t="inlineStr">
        <is>
          <t>N025</t>
        </is>
      </c>
      <c r="B26" s="3" t="inlineStr">
        <is>
          <t>Q2-E</t>
        </is>
      </c>
      <c r="C26" s="3" t="inlineStr">
        <is>
          <t>Math relation</t>
        </is>
      </c>
      <c r="D26" s="3" t="inlineStr">
        <is>
          <t>A mathematical relation.</t>
        </is>
      </c>
      <c r="E26" s="3" t="inlineStr">
        <is>
          <t>system</t>
        </is>
      </c>
      <c r="F26" s="3" t="inlineStr">
        <is>
          <t>branch</t>
        </is>
      </c>
      <c r="G26" s="3" t="inlineStr">
        <is>
          <t>type2_identity</t>
        </is>
      </c>
      <c r="H26" s="3" t="inlineStr">
        <is>
          <t>canonical</t>
        </is>
      </c>
      <c r="I26" s="3" t="n"/>
      <c r="J26" s="3" t="n">
        <v>2</v>
      </c>
      <c r="K26" s="3" t="inlineStr">
        <is>
          <t>theophysics</t>
        </is>
      </c>
      <c r="L26" s="3" t="inlineStr">
        <is>
          <t>2026-03</t>
        </is>
      </c>
      <c r="M26" s="3">
        <f>SUMPRODUCT((RELATIONSHIPS!B2:B500=A26)*(RELATIONSHIPS!D2:D500&lt;&gt;"evidence")*RELATIONSHIPS!F2:F500)+SUMPRODUCT((RELATIONSHIPS!C2:C500=A26)*(RELATIONSHIPS!D2:D500&lt;&gt;"evidence")*RELATIONSHIPS!F2:F500)+SUMPRODUCT((RELATIONSHIPS!B2:B500=A26)*(RELATIONSHIPS!E2:E500="supports")*RELATIONSHIPS!F2:F500)*2+SUMPRODUCT((RELATIONSHIPS!C2:C500=A26)*(RELATIONSHIPS!E2:E500="supports")*RELATIONSHIPS!F2:F500)*2-SUMPRODUCT((RELATIONSHIPS!B2:B500=A26)*(RELATIONSHIPS!E2:E500="attacks")*RELATIONSHIPS!F2:F500)*3-SUMPRODUCT((RELATIONSHIPS!C2:C500=A26)*(RELATIONSHIPS!E2:E500="attacks")*RELATIONSHIPS!F2:F500)*3-COUNTIFS(RELATIONSHIPS!B2:B500,A26,RELATIONSHIPS!H2:H500,"dead")*2-COUNTIFS(RELATIONSHIPS!C2:C500,A26,RELATIONSHIPS!H2:H500,"dead")*2</f>
        <v/>
      </c>
      <c r="N26" s="3">
        <f>IF(M26="","",IF(M26&gt;=90,"NEAR-CANONICAL",IF(M26&gt;=75,"STRONG",IF(M26&gt;=60,"PROVISIONAL","WEAK"))))</f>
        <v/>
      </c>
    </row>
    <row r="27">
      <c r="A27" s="4" t="inlineStr">
        <is>
          <t>N026</t>
        </is>
      </c>
      <c r="B27" s="4" t="inlineStr">
        <is>
          <t>Q2-F</t>
        </is>
      </c>
      <c r="C27" s="4" t="inlineStr">
        <is>
          <t>OSR</t>
        </is>
      </c>
      <c r="D27" s="4" t="inlineStr">
        <is>
          <t>Structural relation (Ladyman/French).</t>
        </is>
      </c>
      <c r="E27" s="4" t="inlineStr">
        <is>
          <t>system</t>
        </is>
      </c>
      <c r="F27" s="4" t="inlineStr">
        <is>
          <t>branch</t>
        </is>
      </c>
      <c r="G27" s="4" t="inlineStr">
        <is>
          <t>type2_identity</t>
        </is>
      </c>
      <c r="H27" s="4" t="inlineStr">
        <is>
          <t>canonical</t>
        </is>
      </c>
      <c r="I27" s="4" t="n"/>
      <c r="J27" s="4" t="n">
        <v>2</v>
      </c>
      <c r="K27" s="4" t="inlineStr">
        <is>
          <t>theophysics</t>
        </is>
      </c>
      <c r="L27" s="4" t="inlineStr">
        <is>
          <t>2026-03</t>
        </is>
      </c>
      <c r="M27" s="4">
        <f>SUMPRODUCT((RELATIONSHIPS!B2:B500=A27)*(RELATIONSHIPS!D2:D500&lt;&gt;"evidence")*RELATIONSHIPS!F2:F500)+SUMPRODUCT((RELATIONSHIPS!C2:C500=A27)*(RELATIONSHIPS!D2:D500&lt;&gt;"evidence")*RELATIONSHIPS!F2:F500)+SUMPRODUCT((RELATIONSHIPS!B2:B500=A27)*(RELATIONSHIPS!E2:E500="supports")*RELATIONSHIPS!F2:F500)*2+SUMPRODUCT((RELATIONSHIPS!C2:C500=A27)*(RELATIONSHIPS!E2:E500="supports")*RELATIONSHIPS!F2:F500)*2-SUMPRODUCT((RELATIONSHIPS!B2:B500=A27)*(RELATIONSHIPS!E2:E500="attacks")*RELATIONSHIPS!F2:F500)*3-SUMPRODUCT((RELATIONSHIPS!C2:C500=A27)*(RELATIONSHIPS!E2:E500="attacks")*RELATIONSHIPS!F2:F500)*3-COUNTIFS(RELATIONSHIPS!B2:B500,A27,RELATIONSHIPS!H2:H500,"dead")*2-COUNTIFS(RELATIONSHIPS!C2:C500,A27,RELATIONSHIPS!H2:H500,"dead")*2</f>
        <v/>
      </c>
      <c r="N27" s="4">
        <f>IF(M27="","",IF(M27&gt;=90,"NEAR-CANONICAL",IF(M27&gt;=75,"STRONG",IF(M27&gt;=60,"PROVISIONAL","WEAK"))))</f>
        <v/>
      </c>
    </row>
    <row r="28">
      <c r="A28" s="3" t="inlineStr">
        <is>
          <t>N027</t>
        </is>
      </c>
      <c r="B28" s="3" t="inlineStr">
        <is>
          <t>Q3-A</t>
        </is>
      </c>
      <c r="C28" s="3" t="inlineStr">
        <is>
          <t>Pure randomness</t>
        </is>
      </c>
      <c r="D28" s="3" t="inlineStr">
        <is>
          <t>Random info can ground reality.</t>
        </is>
      </c>
      <c r="E28" s="3" t="inlineStr">
        <is>
          <t>system</t>
        </is>
      </c>
      <c r="F28" s="3" t="inlineStr">
        <is>
          <t>branch</t>
        </is>
      </c>
      <c r="G28" s="3" t="inlineStr">
        <is>
          <t>type1_binary</t>
        </is>
      </c>
      <c r="H28" s="3" t="inlineStr">
        <is>
          <t>canonical</t>
        </is>
      </c>
      <c r="I28" s="3" t="n"/>
      <c r="J28" s="3" t="n">
        <v>3</v>
      </c>
      <c r="K28" s="3" t="inlineStr">
        <is>
          <t>theophysics</t>
        </is>
      </c>
      <c r="L28" s="3" t="inlineStr">
        <is>
          <t>2026-03</t>
        </is>
      </c>
      <c r="M28" s="3">
        <f>SUMPRODUCT((RELATIONSHIPS!B2:B500=A28)*(RELATIONSHIPS!D2:D500&lt;&gt;"evidence")*RELATIONSHIPS!F2:F500)+SUMPRODUCT((RELATIONSHIPS!C2:C500=A28)*(RELATIONSHIPS!D2:D500&lt;&gt;"evidence")*RELATIONSHIPS!F2:F500)+SUMPRODUCT((RELATIONSHIPS!B2:B500=A28)*(RELATIONSHIPS!E2:E500="supports")*RELATIONSHIPS!F2:F500)*2+SUMPRODUCT((RELATIONSHIPS!C2:C500=A28)*(RELATIONSHIPS!E2:E500="supports")*RELATIONSHIPS!F2:F500)*2-SUMPRODUCT((RELATIONSHIPS!B2:B500=A28)*(RELATIONSHIPS!E2:E500="attacks")*RELATIONSHIPS!F2:F500)*3-SUMPRODUCT((RELATIONSHIPS!C2:C500=A28)*(RELATIONSHIPS!E2:E500="attacks")*RELATIONSHIPS!F2:F500)*3-COUNTIFS(RELATIONSHIPS!B2:B500,A28,RELATIONSHIPS!H2:H500,"dead")*2-COUNTIFS(RELATIONSHIPS!C2:C500,A28,RELATIONSHIPS!H2:H500,"dead")*2</f>
        <v/>
      </c>
      <c r="N28" s="3">
        <f>IF(M28="","",IF(M28&gt;=90,"NEAR-CANONICAL",IF(M28&gt;=75,"STRONG",IF(M28&gt;=60,"PROVISIONAL","WEAK"))))</f>
        <v/>
      </c>
    </row>
    <row r="29">
      <c r="A29" s="4" t="inlineStr">
        <is>
          <t>N028</t>
        </is>
      </c>
      <c r="B29" s="4" t="inlineStr">
        <is>
          <t>Q3-B</t>
        </is>
      </c>
      <c r="C29" s="4" t="inlineStr">
        <is>
          <t>Structure required</t>
        </is>
      </c>
      <c r="D29" s="4" t="inlineStr">
        <is>
          <t>Info must have structure.</t>
        </is>
      </c>
      <c r="E29" s="4" t="inlineStr">
        <is>
          <t>system</t>
        </is>
      </c>
      <c r="F29" s="4" t="inlineStr">
        <is>
          <t>branch</t>
        </is>
      </c>
      <c r="G29" s="4" t="inlineStr">
        <is>
          <t>type1_binary</t>
        </is>
      </c>
      <c r="H29" s="4" t="inlineStr">
        <is>
          <t>canonical</t>
        </is>
      </c>
      <c r="I29" s="4" t="n"/>
      <c r="J29" s="4" t="n">
        <v>3</v>
      </c>
      <c r="K29" s="4" t="inlineStr">
        <is>
          <t>theophysics</t>
        </is>
      </c>
      <c r="L29" s="4" t="inlineStr">
        <is>
          <t>2026-03</t>
        </is>
      </c>
      <c r="M29" s="4">
        <f>SUMPRODUCT((RELATIONSHIPS!B2:B500=A29)*(RELATIONSHIPS!D2:D500&lt;&gt;"evidence")*RELATIONSHIPS!F2:F500)+SUMPRODUCT((RELATIONSHIPS!C2:C500=A29)*(RELATIONSHIPS!D2:D500&lt;&gt;"evidence")*RELATIONSHIPS!F2:F500)+SUMPRODUCT((RELATIONSHIPS!B2:B500=A29)*(RELATIONSHIPS!E2:E500="supports")*RELATIONSHIPS!F2:F500)*2+SUMPRODUCT((RELATIONSHIPS!C2:C500=A29)*(RELATIONSHIPS!E2:E500="supports")*RELATIONSHIPS!F2:F500)*2-SUMPRODUCT((RELATIONSHIPS!B2:B500=A29)*(RELATIONSHIPS!E2:E500="attacks")*RELATIONSHIPS!F2:F500)*3-SUMPRODUCT((RELATIONSHIPS!C2:C500=A29)*(RELATIONSHIPS!E2:E500="attacks")*RELATIONSHIPS!F2:F500)*3-COUNTIFS(RELATIONSHIPS!B2:B500,A29,RELATIONSHIPS!H2:H500,"dead")*2-COUNTIFS(RELATIONSHIPS!C2:C500,A29,RELATIONSHIPS!H2:H500,"dead")*2</f>
        <v/>
      </c>
      <c r="N29" s="4">
        <f>IF(M29="","",IF(M29&gt;=90,"NEAR-CANONICAL",IF(M29&gt;=75,"STRONG",IF(M29&gt;=60,"PROVISIONAL","WEAK"))))</f>
        <v/>
      </c>
    </row>
    <row r="30">
      <c r="A30" s="3" t="inlineStr">
        <is>
          <t>N029</t>
        </is>
      </c>
      <c r="B30" s="3" t="inlineStr">
        <is>
          <t>Q3-C</t>
        </is>
      </c>
      <c r="C30" s="3" t="inlineStr">
        <is>
          <t>Observer-imposed</t>
        </is>
      </c>
      <c r="D30" s="3" t="inlineStr">
        <is>
          <t>Structure is observer-imposed.</t>
        </is>
      </c>
      <c r="E30" s="3" t="inlineStr">
        <is>
          <t>system</t>
        </is>
      </c>
      <c r="F30" s="3" t="inlineStr">
        <is>
          <t>branch</t>
        </is>
      </c>
      <c r="G30" s="3" t="inlineStr">
        <is>
          <t>type1_binary</t>
        </is>
      </c>
      <c r="H30" s="3" t="inlineStr">
        <is>
          <t>canonical</t>
        </is>
      </c>
      <c r="I30" s="3" t="n"/>
      <c r="J30" s="3" t="n">
        <v>3</v>
      </c>
      <c r="K30" s="3" t="inlineStr">
        <is>
          <t>theophysics</t>
        </is>
      </c>
      <c r="L30" s="3" t="inlineStr">
        <is>
          <t>2026-03</t>
        </is>
      </c>
      <c r="M30" s="3">
        <f>SUMPRODUCT((RELATIONSHIPS!B2:B500=A30)*(RELATIONSHIPS!D2:D500&lt;&gt;"evidence")*RELATIONSHIPS!F2:F500)+SUMPRODUCT((RELATIONSHIPS!C2:C500=A30)*(RELATIONSHIPS!D2:D500&lt;&gt;"evidence")*RELATIONSHIPS!F2:F500)+SUMPRODUCT((RELATIONSHIPS!B2:B500=A30)*(RELATIONSHIPS!E2:E500="supports")*RELATIONSHIPS!F2:F500)*2+SUMPRODUCT((RELATIONSHIPS!C2:C500=A30)*(RELATIONSHIPS!E2:E500="supports")*RELATIONSHIPS!F2:F500)*2-SUMPRODUCT((RELATIONSHIPS!B2:B500=A30)*(RELATIONSHIPS!E2:E500="attacks")*RELATIONSHIPS!F2:F500)*3-SUMPRODUCT((RELATIONSHIPS!C2:C500=A30)*(RELATIONSHIPS!E2:E500="attacks")*RELATIONSHIPS!F2:F500)*3-COUNTIFS(RELATIONSHIPS!B2:B500,A30,RELATIONSHIPS!H2:H500,"dead")*2-COUNTIFS(RELATIONSHIPS!C2:C500,A30,RELATIONSHIPS!H2:H500,"dead")*2</f>
        <v/>
      </c>
      <c r="N30" s="3">
        <f>IF(M30="","",IF(M30&gt;=90,"NEAR-CANONICAL",IF(M30&gt;=75,"STRONG",IF(M30&gt;=60,"PROVISIONAL","WEAK"))))</f>
        <v/>
      </c>
    </row>
    <row r="31">
      <c r="A31" s="4" t="inlineStr">
        <is>
          <t>N030</t>
        </is>
      </c>
      <c r="B31" s="4" t="inlineStr">
        <is>
          <t>Q4-A</t>
        </is>
      </c>
      <c r="C31" s="4" t="inlineStr">
        <is>
          <t>Brute fact</t>
        </is>
      </c>
      <c r="D31" s="4" t="inlineStr">
        <is>
          <t>Substrate is brute fact.</t>
        </is>
      </c>
      <c r="E31" s="4" t="inlineStr">
        <is>
          <t>system</t>
        </is>
      </c>
      <c r="F31" s="4" t="inlineStr">
        <is>
          <t>branch</t>
        </is>
      </c>
      <c r="G31" s="4" t="inlineStr">
        <is>
          <t>type3_ground</t>
        </is>
      </c>
      <c r="H31" s="4" t="inlineStr">
        <is>
          <t>canonical</t>
        </is>
      </c>
      <c r="I31" s="4" t="n"/>
      <c r="J31" s="4" t="n">
        <v>4</v>
      </c>
      <c r="K31" s="4" t="inlineStr">
        <is>
          <t>theophysics</t>
        </is>
      </c>
      <c r="L31" s="4" t="inlineStr">
        <is>
          <t>2026-03</t>
        </is>
      </c>
      <c r="M31" s="4">
        <f>SUMPRODUCT((RELATIONSHIPS!B2:B500=A31)*(RELATIONSHIPS!D2:D500&lt;&gt;"evidence")*RELATIONSHIPS!F2:F500)+SUMPRODUCT((RELATIONSHIPS!C2:C500=A31)*(RELATIONSHIPS!D2:D500&lt;&gt;"evidence")*RELATIONSHIPS!F2:F500)+SUMPRODUCT((RELATIONSHIPS!B2:B500=A31)*(RELATIONSHIPS!E2:E500="supports")*RELATIONSHIPS!F2:F500)*2+SUMPRODUCT((RELATIONSHIPS!C2:C500=A31)*(RELATIONSHIPS!E2:E500="supports")*RELATIONSHIPS!F2:F500)*2-SUMPRODUCT((RELATIONSHIPS!B2:B500=A31)*(RELATIONSHIPS!E2:E500="attacks")*RELATIONSHIPS!F2:F500)*3-SUMPRODUCT((RELATIONSHIPS!C2:C500=A31)*(RELATIONSHIPS!E2:E500="attacks")*RELATIONSHIPS!F2:F500)*3-COUNTIFS(RELATIONSHIPS!B2:B500,A31,RELATIONSHIPS!H2:H500,"dead")*2-COUNTIFS(RELATIONSHIPS!C2:C500,A31,RELATIONSHIPS!H2:H500,"dead")*2</f>
        <v/>
      </c>
      <c r="N31" s="4">
        <f>IF(M31="","",IF(M31&gt;=90,"NEAR-CANONICAL",IF(M31&gt;=75,"STRONG",IF(M31&gt;=60,"PROVISIONAL","WEAK"))))</f>
        <v/>
      </c>
    </row>
    <row r="32">
      <c r="A32" s="3" t="inlineStr">
        <is>
          <t>N031</t>
        </is>
      </c>
      <c r="B32" s="3" t="inlineStr">
        <is>
          <t>Q4-B</t>
        </is>
      </c>
      <c r="C32" s="3" t="inlineStr">
        <is>
          <t>Infinite regress</t>
        </is>
      </c>
      <c r="D32" s="3" t="inlineStr">
        <is>
          <t>Turtles all the way down.</t>
        </is>
      </c>
      <c r="E32" s="3" t="inlineStr">
        <is>
          <t>system</t>
        </is>
      </c>
      <c r="F32" s="3" t="inlineStr">
        <is>
          <t>branch</t>
        </is>
      </c>
      <c r="G32" s="3" t="inlineStr">
        <is>
          <t>type3_ground</t>
        </is>
      </c>
      <c r="H32" s="3" t="inlineStr">
        <is>
          <t>canonical</t>
        </is>
      </c>
      <c r="I32" s="3" t="n"/>
      <c r="J32" s="3" t="n">
        <v>4</v>
      </c>
      <c r="K32" s="3" t="inlineStr">
        <is>
          <t>theophysics</t>
        </is>
      </c>
      <c r="L32" s="3" t="inlineStr">
        <is>
          <t>2026-03</t>
        </is>
      </c>
      <c r="M32" s="3">
        <f>SUMPRODUCT((RELATIONSHIPS!B2:B500=A32)*(RELATIONSHIPS!D2:D500&lt;&gt;"evidence")*RELATIONSHIPS!F2:F500)+SUMPRODUCT((RELATIONSHIPS!C2:C500=A32)*(RELATIONSHIPS!D2:D500&lt;&gt;"evidence")*RELATIONSHIPS!F2:F500)+SUMPRODUCT((RELATIONSHIPS!B2:B500=A32)*(RELATIONSHIPS!E2:E500="supports")*RELATIONSHIPS!F2:F500)*2+SUMPRODUCT((RELATIONSHIPS!C2:C500=A32)*(RELATIONSHIPS!E2:E500="supports")*RELATIONSHIPS!F2:F500)*2-SUMPRODUCT((RELATIONSHIPS!B2:B500=A32)*(RELATIONSHIPS!E2:E500="attacks")*RELATIONSHIPS!F2:F500)*3-SUMPRODUCT((RELATIONSHIPS!C2:C500=A32)*(RELATIONSHIPS!E2:E500="attacks")*RELATIONSHIPS!F2:F500)*3-COUNTIFS(RELATIONSHIPS!B2:B500,A32,RELATIONSHIPS!H2:H500,"dead")*2-COUNTIFS(RELATIONSHIPS!C2:C500,A32,RELATIONSHIPS!H2:H500,"dead")*2</f>
        <v/>
      </c>
      <c r="N32" s="3">
        <f>IF(M32="","",IF(M32&gt;=90,"NEAR-CANONICAL",IF(M32&gt;=75,"STRONG",IF(M32&gt;=60,"PROVISIONAL","WEAK"))))</f>
        <v/>
      </c>
    </row>
    <row r="33">
      <c r="A33" s="4" t="inlineStr">
        <is>
          <t>N032</t>
        </is>
      </c>
      <c r="B33" s="4" t="inlineStr">
        <is>
          <t>Q4-C</t>
        </is>
      </c>
      <c r="C33" s="4" t="inlineStr">
        <is>
          <t>Self-grounding</t>
        </is>
      </c>
      <c r="D33" s="4" t="inlineStr">
        <is>
          <t>Substrate grounds itself.</t>
        </is>
      </c>
      <c r="E33" s="4" t="inlineStr">
        <is>
          <t>system</t>
        </is>
      </c>
      <c r="F33" s="4" t="inlineStr">
        <is>
          <t>branch</t>
        </is>
      </c>
      <c r="G33" s="4" t="inlineStr">
        <is>
          <t>type3_ground</t>
        </is>
      </c>
      <c r="H33" s="4" t="inlineStr">
        <is>
          <t>canonical</t>
        </is>
      </c>
      <c r="I33" s="4" t="n"/>
      <c r="J33" s="4" t="n">
        <v>4</v>
      </c>
      <c r="K33" s="4" t="inlineStr">
        <is>
          <t>theophysics</t>
        </is>
      </c>
      <c r="L33" s="4" t="inlineStr">
        <is>
          <t>2026-03</t>
        </is>
      </c>
      <c r="M33" s="4">
        <f>SUMPRODUCT((RELATIONSHIPS!B2:B500=A33)*(RELATIONSHIPS!D2:D500&lt;&gt;"evidence")*RELATIONSHIPS!F2:F500)+SUMPRODUCT((RELATIONSHIPS!C2:C500=A33)*(RELATIONSHIPS!D2:D500&lt;&gt;"evidence")*RELATIONSHIPS!F2:F500)+SUMPRODUCT((RELATIONSHIPS!B2:B500=A33)*(RELATIONSHIPS!E2:E500="supports")*RELATIONSHIPS!F2:F500)*2+SUMPRODUCT((RELATIONSHIPS!C2:C500=A33)*(RELATIONSHIPS!E2:E500="supports")*RELATIONSHIPS!F2:F500)*2-SUMPRODUCT((RELATIONSHIPS!B2:B500=A33)*(RELATIONSHIPS!E2:E500="attacks")*RELATIONSHIPS!F2:F500)*3-SUMPRODUCT((RELATIONSHIPS!C2:C500=A33)*(RELATIONSHIPS!E2:E500="attacks")*RELATIONSHIPS!F2:F500)*3-COUNTIFS(RELATIONSHIPS!B2:B500,A33,RELATIONSHIPS!H2:H500,"dead")*2-COUNTIFS(RELATIONSHIPS!C2:C500,A33,RELATIONSHIPS!H2:H500,"dead")*2</f>
        <v/>
      </c>
      <c r="N33" s="4">
        <f>IF(M33="","",IF(M33&gt;=90,"NEAR-CANONICAL",IF(M33&gt;=75,"STRONG",IF(M33&gt;=60,"PROVISIONAL","WEAK"))))</f>
        <v/>
      </c>
    </row>
    <row r="34">
      <c r="A34" s="3" t="inlineStr">
        <is>
          <t>N033</t>
        </is>
      </c>
      <c r="B34" s="3" t="inlineStr">
        <is>
          <t>Q4-D</t>
        </is>
      </c>
      <c r="C34" s="3" t="inlineStr">
        <is>
          <t>Multiverse</t>
        </is>
      </c>
      <c r="D34" s="3" t="inlineStr">
        <is>
          <t>Anthropic multiverse selection.</t>
        </is>
      </c>
      <c r="E34" s="3" t="inlineStr">
        <is>
          <t>system</t>
        </is>
      </c>
      <c r="F34" s="3" t="inlineStr">
        <is>
          <t>branch</t>
        </is>
      </c>
      <c r="G34" s="3" t="inlineStr">
        <is>
          <t>type3_ground</t>
        </is>
      </c>
      <c r="H34" s="3" t="inlineStr">
        <is>
          <t>canonical</t>
        </is>
      </c>
      <c r="I34" s="3" t="n"/>
      <c r="J34" s="3" t="n">
        <v>4</v>
      </c>
      <c r="K34" s="3" t="inlineStr">
        <is>
          <t>theophysics</t>
        </is>
      </c>
      <c r="L34" s="3" t="inlineStr">
        <is>
          <t>2026-03</t>
        </is>
      </c>
      <c r="M34" s="3">
        <f>SUMPRODUCT((RELATIONSHIPS!B2:B500=A34)*(RELATIONSHIPS!D2:D500&lt;&gt;"evidence")*RELATIONSHIPS!F2:F500)+SUMPRODUCT((RELATIONSHIPS!C2:C500=A34)*(RELATIONSHIPS!D2:D500&lt;&gt;"evidence")*RELATIONSHIPS!F2:F500)+SUMPRODUCT((RELATIONSHIPS!B2:B500=A34)*(RELATIONSHIPS!E2:E500="supports")*RELATIONSHIPS!F2:F500)*2+SUMPRODUCT((RELATIONSHIPS!C2:C500=A34)*(RELATIONSHIPS!E2:E500="supports")*RELATIONSHIPS!F2:F500)*2-SUMPRODUCT((RELATIONSHIPS!B2:B500=A34)*(RELATIONSHIPS!E2:E500="attacks")*RELATIONSHIPS!F2:F500)*3-SUMPRODUCT((RELATIONSHIPS!C2:C500=A34)*(RELATIONSHIPS!E2:E500="attacks")*RELATIONSHIPS!F2:F500)*3-COUNTIFS(RELATIONSHIPS!B2:B500,A34,RELATIONSHIPS!H2:H500,"dead")*2-COUNTIFS(RELATIONSHIPS!C2:C500,A34,RELATIONSHIPS!H2:H500,"dead")*2</f>
        <v/>
      </c>
      <c r="N34" s="3">
        <f>IF(M34="","",IF(M34&gt;=90,"NEAR-CANONICAL",IF(M34&gt;=75,"STRONG",IF(M34&gt;=60,"PROVISIONAL","WEAK"))))</f>
        <v/>
      </c>
    </row>
    <row r="35">
      <c r="A35" s="4" t="inlineStr">
        <is>
          <t>N034</t>
        </is>
      </c>
      <c r="B35" s="4" t="inlineStr">
        <is>
          <t>Q4-E</t>
        </is>
      </c>
      <c r="C35" s="4" t="inlineStr">
        <is>
          <t>Illegitimate Q</t>
        </is>
      </c>
      <c r="D35" s="4" t="inlineStr">
        <is>
          <t>Why has no answer.</t>
        </is>
      </c>
      <c r="E35" s="4" t="inlineStr">
        <is>
          <t>system</t>
        </is>
      </c>
      <c r="F35" s="4" t="inlineStr">
        <is>
          <t>branch</t>
        </is>
      </c>
      <c r="G35" s="4" t="inlineStr">
        <is>
          <t>type3_ground</t>
        </is>
      </c>
      <c r="H35" s="4" t="inlineStr">
        <is>
          <t>canonical</t>
        </is>
      </c>
      <c r="I35" s="4" t="n"/>
      <c r="J35" s="4" t="n">
        <v>4</v>
      </c>
      <c r="K35" s="4" t="inlineStr">
        <is>
          <t>theophysics</t>
        </is>
      </c>
      <c r="L35" s="4" t="inlineStr">
        <is>
          <t>2026-03</t>
        </is>
      </c>
      <c r="M35" s="4">
        <f>SUMPRODUCT((RELATIONSHIPS!B2:B500=A35)*(RELATIONSHIPS!D2:D500&lt;&gt;"evidence")*RELATIONSHIPS!F2:F500)+SUMPRODUCT((RELATIONSHIPS!C2:C500=A35)*(RELATIONSHIPS!D2:D500&lt;&gt;"evidence")*RELATIONSHIPS!F2:F500)+SUMPRODUCT((RELATIONSHIPS!B2:B500=A35)*(RELATIONSHIPS!E2:E500="supports")*RELATIONSHIPS!F2:F500)*2+SUMPRODUCT((RELATIONSHIPS!C2:C500=A35)*(RELATIONSHIPS!E2:E500="supports")*RELATIONSHIPS!F2:F500)*2-SUMPRODUCT((RELATIONSHIPS!B2:B500=A35)*(RELATIONSHIPS!E2:E500="attacks")*RELATIONSHIPS!F2:F500)*3-SUMPRODUCT((RELATIONSHIPS!C2:C500=A35)*(RELATIONSHIPS!E2:E500="attacks")*RELATIONSHIPS!F2:F500)*3-COUNTIFS(RELATIONSHIPS!B2:B500,A35,RELATIONSHIPS!H2:H500,"dead")*2-COUNTIFS(RELATIONSHIPS!C2:C500,A35,RELATIONSHIPS!H2:H500,"dead")*2</f>
        <v/>
      </c>
      <c r="N35" s="4">
        <f>IF(M35="","",IF(M35&gt;=90,"NEAR-CANONICAL",IF(M35&gt;=75,"STRONG",IF(M35&gt;=60,"PROVISIONAL","WEAK"))))</f>
        <v/>
      </c>
    </row>
    <row r="36">
      <c r="A36" s="3" t="inlineStr">
        <is>
          <t>N035</t>
        </is>
      </c>
      <c r="B36" s="3" t="inlineStr">
        <is>
          <t>Q6-A</t>
        </is>
      </c>
      <c r="C36" s="3" t="inlineStr">
        <is>
          <t>Self-actualizes</t>
        </is>
      </c>
      <c r="D36" s="3" t="inlineStr">
        <is>
          <t>No observer needed.</t>
        </is>
      </c>
      <c r="E36" s="3" t="inlineStr">
        <is>
          <t>system</t>
        </is>
      </c>
      <c r="F36" s="3" t="inlineStr">
        <is>
          <t>branch</t>
        </is>
      </c>
      <c r="G36" s="3" t="inlineStr">
        <is>
          <t>type1_binary</t>
        </is>
      </c>
      <c r="H36" s="3" t="inlineStr">
        <is>
          <t>canonical</t>
        </is>
      </c>
      <c r="I36" s="3" t="n"/>
      <c r="J36" s="3" t="n">
        <v>6</v>
      </c>
      <c r="K36" s="3" t="inlineStr">
        <is>
          <t>theophysics</t>
        </is>
      </c>
      <c r="L36" s="3" t="inlineStr">
        <is>
          <t>2026-03</t>
        </is>
      </c>
      <c r="M36" s="3">
        <f>SUMPRODUCT((RELATIONSHIPS!B2:B500=A36)*(RELATIONSHIPS!D2:D500&lt;&gt;"evidence")*RELATIONSHIPS!F2:F500)+SUMPRODUCT((RELATIONSHIPS!C2:C500=A36)*(RELATIONSHIPS!D2:D500&lt;&gt;"evidence")*RELATIONSHIPS!F2:F500)+SUMPRODUCT((RELATIONSHIPS!B2:B500=A36)*(RELATIONSHIPS!E2:E500="supports")*RELATIONSHIPS!F2:F500)*2+SUMPRODUCT((RELATIONSHIPS!C2:C500=A36)*(RELATIONSHIPS!E2:E500="supports")*RELATIONSHIPS!F2:F500)*2-SUMPRODUCT((RELATIONSHIPS!B2:B500=A36)*(RELATIONSHIPS!E2:E500="attacks")*RELATIONSHIPS!F2:F500)*3-SUMPRODUCT((RELATIONSHIPS!C2:C500=A36)*(RELATIONSHIPS!E2:E500="attacks")*RELATIONSHIPS!F2:F500)*3-COUNTIFS(RELATIONSHIPS!B2:B500,A36,RELATIONSHIPS!H2:H500,"dead")*2-COUNTIFS(RELATIONSHIPS!C2:C500,A36,RELATIONSHIPS!H2:H500,"dead")*2</f>
        <v/>
      </c>
      <c r="N36" s="3">
        <f>IF(M36="","",IF(M36&gt;=90,"NEAR-CANONICAL",IF(M36&gt;=75,"STRONG",IF(M36&gt;=60,"PROVISIONAL","WEAK"))))</f>
        <v/>
      </c>
    </row>
    <row r="37">
      <c r="A37" s="4" t="inlineStr">
        <is>
          <t>N036</t>
        </is>
      </c>
      <c r="B37" s="4" t="inlineStr">
        <is>
          <t>Q6-B</t>
        </is>
      </c>
      <c r="C37" s="4" t="inlineStr">
        <is>
          <t>Observer required</t>
        </is>
      </c>
      <c r="D37" s="4" t="inlineStr">
        <is>
          <t>Observation required for actuality.</t>
        </is>
      </c>
      <c r="E37" s="4" t="inlineStr">
        <is>
          <t>system</t>
        </is>
      </c>
      <c r="F37" s="4" t="inlineStr">
        <is>
          <t>branch</t>
        </is>
      </c>
      <c r="G37" s="4" t="inlineStr">
        <is>
          <t>type1_binary</t>
        </is>
      </c>
      <c r="H37" s="4" t="inlineStr">
        <is>
          <t>canonical</t>
        </is>
      </c>
      <c r="I37" s="4" t="n"/>
      <c r="J37" s="4" t="n">
        <v>6</v>
      </c>
      <c r="K37" s="4" t="inlineStr">
        <is>
          <t>theophysics</t>
        </is>
      </c>
      <c r="L37" s="4" t="inlineStr">
        <is>
          <t>2026-03</t>
        </is>
      </c>
      <c r="M37" s="4">
        <f>SUMPRODUCT((RELATIONSHIPS!B2:B500=A37)*(RELATIONSHIPS!D2:D500&lt;&gt;"evidence")*RELATIONSHIPS!F2:F500)+SUMPRODUCT((RELATIONSHIPS!C2:C500=A37)*(RELATIONSHIPS!D2:D500&lt;&gt;"evidence")*RELATIONSHIPS!F2:F500)+SUMPRODUCT((RELATIONSHIPS!B2:B500=A37)*(RELATIONSHIPS!E2:E500="supports")*RELATIONSHIPS!F2:F500)*2+SUMPRODUCT((RELATIONSHIPS!C2:C500=A37)*(RELATIONSHIPS!E2:E500="supports")*RELATIONSHIPS!F2:F500)*2-SUMPRODUCT((RELATIONSHIPS!B2:B500=A37)*(RELATIONSHIPS!E2:E500="attacks")*RELATIONSHIPS!F2:F500)*3-SUMPRODUCT((RELATIONSHIPS!C2:C500=A37)*(RELATIONSHIPS!E2:E500="attacks")*RELATIONSHIPS!F2:F500)*3-COUNTIFS(RELATIONSHIPS!B2:B500,A37,RELATIONSHIPS!H2:H500,"dead")*2-COUNTIFS(RELATIONSHIPS!C2:C500,A37,RELATIONSHIPS!H2:H500,"dead")*2</f>
        <v/>
      </c>
      <c r="N37" s="4">
        <f>IF(M37="","",IF(M37&gt;=90,"NEAR-CANONICAL",IF(M37&gt;=75,"STRONG",IF(M37&gt;=60,"PROVISIONAL","WEAK"))))</f>
        <v/>
      </c>
    </row>
    <row r="38">
      <c r="A38" s="3" t="inlineStr">
        <is>
          <t>N037</t>
        </is>
      </c>
      <c r="B38" s="3" t="inlineStr">
        <is>
          <t>Q6-C</t>
        </is>
      </c>
      <c r="C38" s="3" t="inlineStr">
        <is>
          <t>Decoherence</t>
        </is>
      </c>
      <c r="D38" s="3" t="inlineStr">
        <is>
          <t>Spontaneous collapse.</t>
        </is>
      </c>
      <c r="E38" s="3" t="inlineStr">
        <is>
          <t>system</t>
        </is>
      </c>
      <c r="F38" s="3" t="inlineStr">
        <is>
          <t>branch</t>
        </is>
      </c>
      <c r="G38" s="3" t="inlineStr">
        <is>
          <t>type1_binary</t>
        </is>
      </c>
      <c r="H38" s="3" t="inlineStr">
        <is>
          <t>canonical</t>
        </is>
      </c>
      <c r="I38" s="3" t="n"/>
      <c r="J38" s="3" t="n">
        <v>6</v>
      </c>
      <c r="K38" s="3" t="inlineStr">
        <is>
          <t>theophysics</t>
        </is>
      </c>
      <c r="L38" s="3" t="inlineStr">
        <is>
          <t>2026-03</t>
        </is>
      </c>
      <c r="M38" s="3">
        <f>SUMPRODUCT((RELATIONSHIPS!B2:B500=A38)*(RELATIONSHIPS!D2:D500&lt;&gt;"evidence")*RELATIONSHIPS!F2:F500)+SUMPRODUCT((RELATIONSHIPS!C2:C500=A38)*(RELATIONSHIPS!D2:D500&lt;&gt;"evidence")*RELATIONSHIPS!F2:F500)+SUMPRODUCT((RELATIONSHIPS!B2:B500=A38)*(RELATIONSHIPS!E2:E500="supports")*RELATIONSHIPS!F2:F500)*2+SUMPRODUCT((RELATIONSHIPS!C2:C500=A38)*(RELATIONSHIPS!E2:E500="supports")*RELATIONSHIPS!F2:F500)*2-SUMPRODUCT((RELATIONSHIPS!B2:B500=A38)*(RELATIONSHIPS!E2:E500="attacks")*RELATIONSHIPS!F2:F500)*3-SUMPRODUCT((RELATIONSHIPS!C2:C500=A38)*(RELATIONSHIPS!E2:E500="attacks")*RELATIONSHIPS!F2:F500)*3-COUNTIFS(RELATIONSHIPS!B2:B500,A38,RELATIONSHIPS!H2:H500,"dead")*2-COUNTIFS(RELATIONSHIPS!C2:C500,A38,RELATIONSHIPS!H2:H500,"dead")*2</f>
        <v/>
      </c>
      <c r="N38" s="3">
        <f>IF(M38="","",IF(M38&gt;=90,"NEAR-CANONICAL",IF(M38&gt;=75,"STRONG",IF(M38&gt;=60,"PROVISIONAL","WEAK"))))</f>
        <v/>
      </c>
    </row>
    <row r="39">
      <c r="A39" s="4" t="inlineStr">
        <is>
          <t>N038</t>
        </is>
      </c>
      <c r="B39" s="4" t="inlineStr">
        <is>
          <t>Q6-D</t>
        </is>
      </c>
      <c r="C39" s="4" t="inlineStr">
        <is>
          <t>Everything actual</t>
        </is>
      </c>
      <c r="D39" s="4" t="inlineStr">
        <is>
          <t>No superposition.</t>
        </is>
      </c>
      <c r="E39" s="4" t="inlineStr">
        <is>
          <t>system</t>
        </is>
      </c>
      <c r="F39" s="4" t="inlineStr">
        <is>
          <t>branch</t>
        </is>
      </c>
      <c r="G39" s="4" t="inlineStr">
        <is>
          <t>type1_binary</t>
        </is>
      </c>
      <c r="H39" s="4" t="inlineStr">
        <is>
          <t>canonical</t>
        </is>
      </c>
      <c r="I39" s="4" t="n"/>
      <c r="J39" s="4" t="n">
        <v>6</v>
      </c>
      <c r="K39" s="4" t="inlineStr">
        <is>
          <t>theophysics</t>
        </is>
      </c>
      <c r="L39" s="4" t="inlineStr">
        <is>
          <t>2026-03</t>
        </is>
      </c>
      <c r="M39" s="4">
        <f>SUMPRODUCT((RELATIONSHIPS!B2:B500=A39)*(RELATIONSHIPS!D2:D500&lt;&gt;"evidence")*RELATIONSHIPS!F2:F500)+SUMPRODUCT((RELATIONSHIPS!C2:C500=A39)*(RELATIONSHIPS!D2:D500&lt;&gt;"evidence")*RELATIONSHIPS!F2:F500)+SUMPRODUCT((RELATIONSHIPS!B2:B500=A39)*(RELATIONSHIPS!E2:E500="supports")*RELATIONSHIPS!F2:F500)*2+SUMPRODUCT((RELATIONSHIPS!C2:C500=A39)*(RELATIONSHIPS!E2:E500="supports")*RELATIONSHIPS!F2:F500)*2-SUMPRODUCT((RELATIONSHIPS!B2:B500=A39)*(RELATIONSHIPS!E2:E500="attacks")*RELATIONSHIPS!F2:F500)*3-SUMPRODUCT((RELATIONSHIPS!C2:C500=A39)*(RELATIONSHIPS!E2:E500="attacks")*RELATIONSHIPS!F2:F500)*3-COUNTIFS(RELATIONSHIPS!B2:B500,A39,RELATIONSHIPS!H2:H500,"dead")*2-COUNTIFS(RELATIONSHIPS!C2:C500,A39,RELATIONSHIPS!H2:H500,"dead")*2</f>
        <v/>
      </c>
      <c r="N39" s="4">
        <f>IF(M39="","",IF(M39&gt;=90,"NEAR-CANONICAL",IF(M39&gt;=75,"STRONG",IF(M39&gt;=60,"PROVISIONAL","WEAK"))))</f>
        <v/>
      </c>
    </row>
    <row r="40">
      <c r="A40" s="3" t="inlineStr">
        <is>
          <t>N039</t>
        </is>
      </c>
      <c r="B40" s="3" t="inlineStr">
        <is>
          <t>Q7-A</t>
        </is>
      </c>
      <c r="C40" s="3" t="inlineStr">
        <is>
          <t>Infinite chain</t>
        </is>
      </c>
      <c r="D40" s="3" t="inlineStr">
        <is>
          <t>Infinite observer chain.</t>
        </is>
      </c>
      <c r="E40" s="3" t="inlineStr">
        <is>
          <t>system</t>
        </is>
      </c>
      <c r="F40" s="3" t="inlineStr">
        <is>
          <t>branch</t>
        </is>
      </c>
      <c r="G40" s="3" t="inlineStr">
        <is>
          <t>type1_binary</t>
        </is>
      </c>
      <c r="H40" s="3" t="inlineStr">
        <is>
          <t>canonical</t>
        </is>
      </c>
      <c r="I40" s="3" t="n"/>
      <c r="J40" s="3" t="n">
        <v>7</v>
      </c>
      <c r="K40" s="3" t="inlineStr">
        <is>
          <t>theophysics</t>
        </is>
      </c>
      <c r="L40" s="3" t="inlineStr">
        <is>
          <t>2026-03</t>
        </is>
      </c>
      <c r="M40" s="3">
        <f>SUMPRODUCT((RELATIONSHIPS!B2:B500=A40)*(RELATIONSHIPS!D2:D500&lt;&gt;"evidence")*RELATIONSHIPS!F2:F500)+SUMPRODUCT((RELATIONSHIPS!C2:C500=A40)*(RELATIONSHIPS!D2:D500&lt;&gt;"evidence")*RELATIONSHIPS!F2:F500)+SUMPRODUCT((RELATIONSHIPS!B2:B500=A40)*(RELATIONSHIPS!E2:E500="supports")*RELATIONSHIPS!F2:F500)*2+SUMPRODUCT((RELATIONSHIPS!C2:C500=A40)*(RELATIONSHIPS!E2:E500="supports")*RELATIONSHIPS!F2:F500)*2-SUMPRODUCT((RELATIONSHIPS!B2:B500=A40)*(RELATIONSHIPS!E2:E500="attacks")*RELATIONSHIPS!F2:F500)*3-SUMPRODUCT((RELATIONSHIPS!C2:C500=A40)*(RELATIONSHIPS!E2:E500="attacks")*RELATIONSHIPS!F2:F500)*3-COUNTIFS(RELATIONSHIPS!B2:B500,A40,RELATIONSHIPS!H2:H500,"dead")*2-COUNTIFS(RELATIONSHIPS!C2:C500,A40,RELATIONSHIPS!H2:H500,"dead")*2</f>
        <v/>
      </c>
      <c r="N40" s="3">
        <f>IF(M40="","",IF(M40&gt;=90,"NEAR-CANONICAL",IF(M40&gt;=75,"STRONG",IF(M40&gt;=60,"PROVISIONAL","WEAK"))))</f>
        <v/>
      </c>
    </row>
    <row r="41">
      <c r="A41" s="4" t="inlineStr">
        <is>
          <t>N040</t>
        </is>
      </c>
      <c r="B41" s="4" t="inlineStr">
        <is>
          <t>Q7-B</t>
        </is>
      </c>
      <c r="C41" s="4" t="inlineStr">
        <is>
          <t>Terminal exists</t>
        </is>
      </c>
      <c r="D41" s="4" t="inlineStr">
        <is>
          <t>Chain terminates in terminal observer.</t>
        </is>
      </c>
      <c r="E41" s="4" t="inlineStr">
        <is>
          <t>system</t>
        </is>
      </c>
      <c r="F41" s="4" t="inlineStr">
        <is>
          <t>branch</t>
        </is>
      </c>
      <c r="G41" s="4" t="inlineStr">
        <is>
          <t>type1_binary</t>
        </is>
      </c>
      <c r="H41" s="4" t="inlineStr">
        <is>
          <t>canonical</t>
        </is>
      </c>
      <c r="I41" s="4" t="n"/>
      <c r="J41" s="4" t="n">
        <v>7</v>
      </c>
      <c r="K41" s="4" t="inlineStr">
        <is>
          <t>theophysics</t>
        </is>
      </c>
      <c r="L41" s="4" t="inlineStr">
        <is>
          <t>2026-03</t>
        </is>
      </c>
      <c r="M41" s="4">
        <f>SUMPRODUCT((RELATIONSHIPS!B2:B500=A41)*(RELATIONSHIPS!D2:D500&lt;&gt;"evidence")*RELATIONSHIPS!F2:F500)+SUMPRODUCT((RELATIONSHIPS!C2:C500=A41)*(RELATIONSHIPS!D2:D500&lt;&gt;"evidence")*RELATIONSHIPS!F2:F500)+SUMPRODUCT((RELATIONSHIPS!B2:B500=A41)*(RELATIONSHIPS!E2:E500="supports")*RELATIONSHIPS!F2:F500)*2+SUMPRODUCT((RELATIONSHIPS!C2:C500=A41)*(RELATIONSHIPS!E2:E500="supports")*RELATIONSHIPS!F2:F500)*2-SUMPRODUCT((RELATIONSHIPS!B2:B500=A41)*(RELATIONSHIPS!E2:E500="attacks")*RELATIONSHIPS!F2:F500)*3-SUMPRODUCT((RELATIONSHIPS!C2:C500=A41)*(RELATIONSHIPS!E2:E500="attacks")*RELATIONSHIPS!F2:F500)*3-COUNTIFS(RELATIONSHIPS!B2:B500,A41,RELATIONSHIPS!H2:H500,"dead")*2-COUNTIFS(RELATIONSHIPS!C2:C500,A41,RELATIONSHIPS!H2:H500,"dead")*2</f>
        <v/>
      </c>
      <c r="N41" s="4">
        <f>IF(M41="","",IF(M41&gt;=90,"NEAR-CANONICAL",IF(M41&gt;=75,"STRONG",IF(M41&gt;=60,"PROVISIONAL","WEAK"))))</f>
        <v/>
      </c>
    </row>
    <row r="42">
      <c r="A42" s="3" t="inlineStr">
        <is>
          <t>N041</t>
        </is>
      </c>
      <c r="B42" s="3" t="inlineStr">
        <is>
          <t>Q7-C</t>
        </is>
      </c>
      <c r="C42" s="3" t="inlineStr">
        <is>
          <t>Circular</t>
        </is>
      </c>
      <c r="D42" s="3" t="inlineStr">
        <is>
          <t>Observers observe each other.</t>
        </is>
      </c>
      <c r="E42" s="3" t="inlineStr">
        <is>
          <t>system</t>
        </is>
      </c>
      <c r="F42" s="3" t="inlineStr">
        <is>
          <t>branch</t>
        </is>
      </c>
      <c r="G42" s="3" t="inlineStr">
        <is>
          <t>type1_binary</t>
        </is>
      </c>
      <c r="H42" s="3" t="inlineStr">
        <is>
          <t>canonical</t>
        </is>
      </c>
      <c r="I42" s="3" t="n"/>
      <c r="J42" s="3" t="n">
        <v>7</v>
      </c>
      <c r="K42" s="3" t="inlineStr">
        <is>
          <t>theophysics</t>
        </is>
      </c>
      <c r="L42" s="3" t="inlineStr">
        <is>
          <t>2026-03</t>
        </is>
      </c>
      <c r="M42" s="3">
        <f>SUMPRODUCT((RELATIONSHIPS!B2:B500=A42)*(RELATIONSHIPS!D2:D500&lt;&gt;"evidence")*RELATIONSHIPS!F2:F500)+SUMPRODUCT((RELATIONSHIPS!C2:C500=A42)*(RELATIONSHIPS!D2:D500&lt;&gt;"evidence")*RELATIONSHIPS!F2:F500)+SUMPRODUCT((RELATIONSHIPS!B2:B500=A42)*(RELATIONSHIPS!E2:E500="supports")*RELATIONSHIPS!F2:F500)*2+SUMPRODUCT((RELATIONSHIPS!C2:C500=A42)*(RELATIONSHIPS!E2:E500="supports")*RELATIONSHIPS!F2:F500)*2-SUMPRODUCT((RELATIONSHIPS!B2:B500=A42)*(RELATIONSHIPS!E2:E500="attacks")*RELATIONSHIPS!F2:F500)*3-SUMPRODUCT((RELATIONSHIPS!C2:C500=A42)*(RELATIONSHIPS!E2:E500="attacks")*RELATIONSHIPS!F2:F500)*3-COUNTIFS(RELATIONSHIPS!B2:B500,A42,RELATIONSHIPS!H2:H500,"dead")*2-COUNTIFS(RELATIONSHIPS!C2:C500,A42,RELATIONSHIPS!H2:H500,"dead")*2</f>
        <v/>
      </c>
      <c r="N42" s="3">
        <f>IF(M42="","",IF(M42&gt;=90,"NEAR-CANONICAL",IF(M42&gt;=75,"STRONG",IF(M42&gt;=60,"PROVISIONAL","WEAK"))))</f>
        <v/>
      </c>
    </row>
    <row r="43">
      <c r="A43" s="4" t="inlineStr">
        <is>
          <t>N042</t>
        </is>
      </c>
      <c r="B43" s="4" t="inlineStr">
        <is>
          <t>Q7-D</t>
        </is>
      </c>
      <c r="C43" s="4" t="inlineStr">
        <is>
          <t>No bottom</t>
        </is>
      </c>
      <c r="D43" s="4" t="inlineStr">
        <is>
          <t>Consciousness has no bottom.</t>
        </is>
      </c>
      <c r="E43" s="4" t="inlineStr">
        <is>
          <t>system</t>
        </is>
      </c>
      <c r="F43" s="4" t="inlineStr">
        <is>
          <t>branch</t>
        </is>
      </c>
      <c r="G43" s="4" t="inlineStr">
        <is>
          <t>type1_binary</t>
        </is>
      </c>
      <c r="H43" s="4" t="inlineStr">
        <is>
          <t>canonical</t>
        </is>
      </c>
      <c r="I43" s="4" t="n"/>
      <c r="J43" s="4" t="n">
        <v>7</v>
      </c>
      <c r="K43" s="4" t="inlineStr">
        <is>
          <t>theophysics</t>
        </is>
      </c>
      <c r="L43" s="4" t="inlineStr">
        <is>
          <t>2026-03</t>
        </is>
      </c>
      <c r="M43" s="4">
        <f>SUMPRODUCT((RELATIONSHIPS!B2:B500=A43)*(RELATIONSHIPS!D2:D500&lt;&gt;"evidence")*RELATIONSHIPS!F2:F500)+SUMPRODUCT((RELATIONSHIPS!C2:C500=A43)*(RELATIONSHIPS!D2:D500&lt;&gt;"evidence")*RELATIONSHIPS!F2:F500)+SUMPRODUCT((RELATIONSHIPS!B2:B500=A43)*(RELATIONSHIPS!E2:E500="supports")*RELATIONSHIPS!F2:F500)*2+SUMPRODUCT((RELATIONSHIPS!C2:C500=A43)*(RELATIONSHIPS!E2:E500="supports")*RELATIONSHIPS!F2:F500)*2-SUMPRODUCT((RELATIONSHIPS!B2:B500=A43)*(RELATIONSHIPS!E2:E500="attacks")*RELATIONSHIPS!F2:F500)*3-SUMPRODUCT((RELATIONSHIPS!C2:C500=A43)*(RELATIONSHIPS!E2:E500="attacks")*RELATIONSHIPS!F2:F500)*3-COUNTIFS(RELATIONSHIPS!B2:B500,A43,RELATIONSHIPS!H2:H500,"dead")*2-COUNTIFS(RELATIONSHIPS!C2:C500,A43,RELATIONSHIPS!H2:H500,"dead")*2</f>
        <v/>
      </c>
      <c r="N43" s="4">
        <f>IF(M43="","",IF(M43&gt;=90,"NEAR-CANONICAL",IF(M43&gt;=75,"STRONG",IF(M43&gt;=60,"PROVISIONAL","WEAK"))))</f>
        <v/>
      </c>
    </row>
    <row r="44">
      <c r="A44" s="3" t="inlineStr">
        <is>
          <t>N043</t>
        </is>
      </c>
      <c r="B44" s="3" t="inlineStr">
        <is>
          <t>Q10-A</t>
        </is>
      </c>
      <c r="C44" s="3" t="inlineStr">
        <is>
          <t>Self-improvement</t>
        </is>
      </c>
      <c r="D44" s="3" t="inlineStr">
        <is>
          <t>Self-effort changes sign.</t>
        </is>
      </c>
      <c r="E44" s="3" t="inlineStr">
        <is>
          <t>system</t>
        </is>
      </c>
      <c r="F44" s="3" t="inlineStr">
        <is>
          <t>branch</t>
        </is>
      </c>
      <c r="G44" s="3" t="inlineStr">
        <is>
          <t>type1_binary</t>
        </is>
      </c>
      <c r="H44" s="3" t="inlineStr">
        <is>
          <t>canonical</t>
        </is>
      </c>
      <c r="I44" s="3" t="n"/>
      <c r="J44" s="3" t="n">
        <v>10</v>
      </c>
      <c r="K44" s="3" t="inlineStr">
        <is>
          <t>theophysics</t>
        </is>
      </c>
      <c r="L44" s="3" t="inlineStr">
        <is>
          <t>2026-03</t>
        </is>
      </c>
      <c r="M44" s="3">
        <f>SUMPRODUCT((RELATIONSHIPS!B2:B500=A44)*(RELATIONSHIPS!D2:D500&lt;&gt;"evidence")*RELATIONSHIPS!F2:F500)+SUMPRODUCT((RELATIONSHIPS!C2:C500=A44)*(RELATIONSHIPS!D2:D500&lt;&gt;"evidence")*RELATIONSHIPS!F2:F500)+SUMPRODUCT((RELATIONSHIPS!B2:B500=A44)*(RELATIONSHIPS!E2:E500="supports")*RELATIONSHIPS!F2:F500)*2+SUMPRODUCT((RELATIONSHIPS!C2:C500=A44)*(RELATIONSHIPS!E2:E500="supports")*RELATIONSHIPS!F2:F500)*2-SUMPRODUCT((RELATIONSHIPS!B2:B500=A44)*(RELATIONSHIPS!E2:E500="attacks")*RELATIONSHIPS!F2:F500)*3-SUMPRODUCT((RELATIONSHIPS!C2:C500=A44)*(RELATIONSHIPS!E2:E500="attacks")*RELATIONSHIPS!F2:F500)*3-COUNTIFS(RELATIONSHIPS!B2:B500,A44,RELATIONSHIPS!H2:H500,"dead")*2-COUNTIFS(RELATIONSHIPS!C2:C500,A44,RELATIONSHIPS!H2:H500,"dead")*2</f>
        <v/>
      </c>
      <c r="N44" s="3">
        <f>IF(M44="","",IF(M44&gt;=90,"NEAR-CANONICAL",IF(M44&gt;=75,"STRONG",IF(M44&gt;=60,"PROVISIONAL","WEAK"))))</f>
        <v/>
      </c>
    </row>
    <row r="45">
      <c r="A45" s="4" t="inlineStr">
        <is>
          <t>N044</t>
        </is>
      </c>
      <c r="B45" s="4" t="inlineStr">
        <is>
          <t>Q10-B</t>
        </is>
      </c>
      <c r="C45" s="4" t="inlineStr">
        <is>
          <t>Grace required</t>
        </is>
      </c>
      <c r="D45" s="4" t="inlineStr">
        <is>
          <t>External operator (grace) needed.</t>
        </is>
      </c>
      <c r="E45" s="4" t="inlineStr">
        <is>
          <t>system</t>
        </is>
      </c>
      <c r="F45" s="4" t="inlineStr">
        <is>
          <t>branch</t>
        </is>
      </c>
      <c r="G45" s="4" t="inlineStr">
        <is>
          <t>type1_binary</t>
        </is>
      </c>
      <c r="H45" s="4" t="inlineStr">
        <is>
          <t>canonical</t>
        </is>
      </c>
      <c r="I45" s="4" t="n"/>
      <c r="J45" s="4" t="n">
        <v>10</v>
      </c>
      <c r="K45" s="4" t="inlineStr">
        <is>
          <t>theophysics</t>
        </is>
      </c>
      <c r="L45" s="4" t="inlineStr">
        <is>
          <t>2026-03</t>
        </is>
      </c>
      <c r="M45" s="4">
        <f>SUMPRODUCT((RELATIONSHIPS!B2:B500=A45)*(RELATIONSHIPS!D2:D500&lt;&gt;"evidence")*RELATIONSHIPS!F2:F500)+SUMPRODUCT((RELATIONSHIPS!C2:C500=A45)*(RELATIONSHIPS!D2:D500&lt;&gt;"evidence")*RELATIONSHIPS!F2:F500)+SUMPRODUCT((RELATIONSHIPS!B2:B500=A45)*(RELATIONSHIPS!E2:E500="supports")*RELATIONSHIPS!F2:F500)*2+SUMPRODUCT((RELATIONSHIPS!C2:C500=A45)*(RELATIONSHIPS!E2:E500="supports")*RELATIONSHIPS!F2:F500)*2-SUMPRODUCT((RELATIONSHIPS!B2:B500=A45)*(RELATIONSHIPS!E2:E500="attacks")*RELATIONSHIPS!F2:F500)*3-SUMPRODUCT((RELATIONSHIPS!C2:C500=A45)*(RELATIONSHIPS!E2:E500="attacks")*RELATIONSHIPS!F2:F500)*3-COUNTIFS(RELATIONSHIPS!B2:B500,A45,RELATIONSHIPS!H2:H500,"dead")*2-COUNTIFS(RELATIONSHIPS!C2:C500,A45,RELATIONSHIPS!H2:H500,"dead")*2</f>
        <v/>
      </c>
      <c r="N45" s="4">
        <f>IF(M45="","",IF(M45&gt;=90,"NEAR-CANONICAL",IF(M45&gt;=75,"STRONG",IF(M45&gt;=60,"PROVISIONAL","WEAK"))))</f>
        <v/>
      </c>
    </row>
    <row r="46">
      <c r="A46" s="3" t="inlineStr">
        <is>
          <t>N045</t>
        </is>
      </c>
      <c r="B46" s="3" t="inlineStr">
        <is>
          <t>Q10-C</t>
        </is>
      </c>
      <c r="C46" s="3" t="inlineStr">
        <is>
          <t>No moral sign</t>
        </is>
      </c>
      <c r="D46" s="3" t="inlineStr">
        <is>
          <t>Question is meaningless.</t>
        </is>
      </c>
      <c r="E46" s="3" t="inlineStr">
        <is>
          <t>system</t>
        </is>
      </c>
      <c r="F46" s="3" t="inlineStr">
        <is>
          <t>branch</t>
        </is>
      </c>
      <c r="G46" s="3" t="inlineStr">
        <is>
          <t>type1_binary</t>
        </is>
      </c>
      <c r="H46" s="3" t="inlineStr">
        <is>
          <t>canonical</t>
        </is>
      </c>
      <c r="I46" s="3" t="n"/>
      <c r="J46" s="3" t="n">
        <v>10</v>
      </c>
      <c r="K46" s="3" t="inlineStr">
        <is>
          <t>theophysics</t>
        </is>
      </c>
      <c r="L46" s="3" t="inlineStr">
        <is>
          <t>2026-03</t>
        </is>
      </c>
      <c r="M46" s="3">
        <f>SUMPRODUCT((RELATIONSHIPS!B2:B500=A46)*(RELATIONSHIPS!D2:D500&lt;&gt;"evidence")*RELATIONSHIPS!F2:F500)+SUMPRODUCT((RELATIONSHIPS!C2:C500=A46)*(RELATIONSHIPS!D2:D500&lt;&gt;"evidence")*RELATIONSHIPS!F2:F500)+SUMPRODUCT((RELATIONSHIPS!B2:B500=A46)*(RELATIONSHIPS!E2:E500="supports")*RELATIONSHIPS!F2:F500)*2+SUMPRODUCT((RELATIONSHIPS!C2:C500=A46)*(RELATIONSHIPS!E2:E500="supports")*RELATIONSHIPS!F2:F500)*2-SUMPRODUCT((RELATIONSHIPS!B2:B500=A46)*(RELATIONSHIPS!E2:E500="attacks")*RELATIONSHIPS!F2:F500)*3-SUMPRODUCT((RELATIONSHIPS!C2:C500=A46)*(RELATIONSHIPS!E2:E500="attacks")*RELATIONSHIPS!F2:F500)*3-COUNTIFS(RELATIONSHIPS!B2:B500,A46,RELATIONSHIPS!H2:H500,"dead")*2-COUNTIFS(RELATIONSHIPS!C2:C500,A46,RELATIONSHIPS!H2:H500,"dead")*2</f>
        <v/>
      </c>
      <c r="N46" s="3">
        <f>IF(M46="","",IF(M46&gt;=90,"NEAR-CANONICAL",IF(M46&gt;=75,"STRONG",IF(M46&gt;=60,"PROVISIONAL","WEAK"))))</f>
        <v/>
      </c>
    </row>
    <row r="47">
      <c r="A47" s="4" t="inlineStr">
        <is>
          <t>N046</t>
        </is>
      </c>
      <c r="B47" s="4" t="inlineStr">
        <is>
          <t>Q11-A</t>
        </is>
      </c>
      <c r="C47" s="4" t="inlineStr">
        <is>
          <t>All converge</t>
        </is>
      </c>
      <c r="D47" s="4" t="inlineStr">
        <is>
          <t>Same end for all.</t>
        </is>
      </c>
      <c r="E47" s="4" t="inlineStr">
        <is>
          <t>system</t>
        </is>
      </c>
      <c r="F47" s="4" t="inlineStr">
        <is>
          <t>branch</t>
        </is>
      </c>
      <c r="G47" s="4" t="inlineStr">
        <is>
          <t>type3_ground</t>
        </is>
      </c>
      <c r="H47" s="4" t="inlineStr">
        <is>
          <t>canonical</t>
        </is>
      </c>
      <c r="I47" s="4" t="n"/>
      <c r="J47" s="4" t="n">
        <v>11</v>
      </c>
      <c r="K47" s="4" t="inlineStr">
        <is>
          <t>theophysics</t>
        </is>
      </c>
      <c r="L47" s="4" t="inlineStr">
        <is>
          <t>2026-03</t>
        </is>
      </c>
      <c r="M47" s="4">
        <f>SUMPRODUCT((RELATIONSHIPS!B2:B500=A47)*(RELATIONSHIPS!D2:D500&lt;&gt;"evidence")*RELATIONSHIPS!F2:F500)+SUMPRODUCT((RELATIONSHIPS!C2:C500=A47)*(RELATIONSHIPS!D2:D500&lt;&gt;"evidence")*RELATIONSHIPS!F2:F500)+SUMPRODUCT((RELATIONSHIPS!B2:B500=A47)*(RELATIONSHIPS!E2:E500="supports")*RELATIONSHIPS!F2:F500)*2+SUMPRODUCT((RELATIONSHIPS!C2:C500=A47)*(RELATIONSHIPS!E2:E500="supports")*RELATIONSHIPS!F2:F500)*2-SUMPRODUCT((RELATIONSHIPS!B2:B500=A47)*(RELATIONSHIPS!E2:E500="attacks")*RELATIONSHIPS!F2:F500)*3-SUMPRODUCT((RELATIONSHIPS!C2:C500=A47)*(RELATIONSHIPS!E2:E500="attacks")*RELATIONSHIPS!F2:F500)*3-COUNTIFS(RELATIONSHIPS!B2:B500,A47,RELATIONSHIPS!H2:H500,"dead")*2-COUNTIFS(RELATIONSHIPS!C2:C500,A47,RELATIONSHIPS!H2:H500,"dead")*2</f>
        <v/>
      </c>
      <c r="N47" s="4">
        <f>IF(M47="","",IF(M47&gt;=90,"NEAR-CANONICAL",IF(M47&gt;=75,"STRONG",IF(M47&gt;=60,"PROVISIONAL","WEAK"))))</f>
        <v/>
      </c>
    </row>
    <row r="48">
      <c r="A48" s="3" t="inlineStr">
        <is>
          <t>N047</t>
        </is>
      </c>
      <c r="B48" s="3" t="inlineStr">
        <is>
          <t>Q11-B</t>
        </is>
      </c>
      <c r="C48" s="3" t="inlineStr">
        <is>
          <t>Two attractors</t>
        </is>
      </c>
      <c r="D48" s="3" t="inlineStr">
        <is>
          <t>Integration vs fragmentation.</t>
        </is>
      </c>
      <c r="E48" s="3" t="inlineStr">
        <is>
          <t>system</t>
        </is>
      </c>
      <c r="F48" s="3" t="inlineStr">
        <is>
          <t>branch</t>
        </is>
      </c>
      <c r="G48" s="3" t="inlineStr">
        <is>
          <t>type3_ground</t>
        </is>
      </c>
      <c r="H48" s="3" t="inlineStr">
        <is>
          <t>canonical</t>
        </is>
      </c>
      <c r="I48" s="3" t="n"/>
      <c r="J48" s="3" t="n">
        <v>11</v>
      </c>
      <c r="K48" s="3" t="inlineStr">
        <is>
          <t>theophysics</t>
        </is>
      </c>
      <c r="L48" s="3" t="inlineStr">
        <is>
          <t>2026-03</t>
        </is>
      </c>
      <c r="M48" s="3">
        <f>SUMPRODUCT((RELATIONSHIPS!B2:B500=A48)*(RELATIONSHIPS!D2:D500&lt;&gt;"evidence")*RELATIONSHIPS!F2:F500)+SUMPRODUCT((RELATIONSHIPS!C2:C500=A48)*(RELATIONSHIPS!D2:D500&lt;&gt;"evidence")*RELATIONSHIPS!F2:F500)+SUMPRODUCT((RELATIONSHIPS!B2:B500=A48)*(RELATIONSHIPS!E2:E500="supports")*RELATIONSHIPS!F2:F500)*2+SUMPRODUCT((RELATIONSHIPS!C2:C500=A48)*(RELATIONSHIPS!E2:E500="supports")*RELATIONSHIPS!F2:F500)*2-SUMPRODUCT((RELATIONSHIPS!B2:B500=A48)*(RELATIONSHIPS!E2:E500="attacks")*RELATIONSHIPS!F2:F500)*3-SUMPRODUCT((RELATIONSHIPS!C2:C500=A48)*(RELATIONSHIPS!E2:E500="attacks")*RELATIONSHIPS!F2:F500)*3-COUNTIFS(RELATIONSHIPS!B2:B500,A48,RELATIONSHIPS!H2:H500,"dead")*2-COUNTIFS(RELATIONSHIPS!C2:C500,A48,RELATIONSHIPS!H2:H500,"dead")*2</f>
        <v/>
      </c>
      <c r="N48" s="3">
        <f>IF(M48="","",IF(M48&gt;=90,"NEAR-CANONICAL",IF(M48&gt;=75,"STRONG",IF(M48&gt;=60,"PROVISIONAL","WEAK"))))</f>
        <v/>
      </c>
    </row>
    <row r="49">
      <c r="A49" s="4" t="inlineStr">
        <is>
          <t>N048</t>
        </is>
      </c>
      <c r="B49" s="4" t="inlineStr">
        <is>
          <t>Q11-C</t>
        </is>
      </c>
      <c r="C49" s="4" t="inlineStr">
        <is>
          <t>Oscillate</t>
        </is>
      </c>
      <c r="D49" s="4" t="inlineStr">
        <is>
          <t>No asymptote.</t>
        </is>
      </c>
      <c r="E49" s="4" t="inlineStr">
        <is>
          <t>system</t>
        </is>
      </c>
      <c r="F49" s="4" t="inlineStr">
        <is>
          <t>branch</t>
        </is>
      </c>
      <c r="G49" s="4" t="inlineStr">
        <is>
          <t>type3_ground</t>
        </is>
      </c>
      <c r="H49" s="4" t="inlineStr">
        <is>
          <t>canonical</t>
        </is>
      </c>
      <c r="I49" s="4" t="n"/>
      <c r="J49" s="4" t="n">
        <v>11</v>
      </c>
      <c r="K49" s="4" t="inlineStr">
        <is>
          <t>theophysics</t>
        </is>
      </c>
      <c r="L49" s="4" t="inlineStr">
        <is>
          <t>2026-03</t>
        </is>
      </c>
      <c r="M49" s="4">
        <f>SUMPRODUCT((RELATIONSHIPS!B2:B500=A49)*(RELATIONSHIPS!D2:D500&lt;&gt;"evidence")*RELATIONSHIPS!F2:F500)+SUMPRODUCT((RELATIONSHIPS!C2:C500=A49)*(RELATIONSHIPS!D2:D500&lt;&gt;"evidence")*RELATIONSHIPS!F2:F500)+SUMPRODUCT((RELATIONSHIPS!B2:B500=A49)*(RELATIONSHIPS!E2:E500="supports")*RELATIONSHIPS!F2:F500)*2+SUMPRODUCT((RELATIONSHIPS!C2:C500=A49)*(RELATIONSHIPS!E2:E500="supports")*RELATIONSHIPS!F2:F500)*2-SUMPRODUCT((RELATIONSHIPS!B2:B500=A49)*(RELATIONSHIPS!E2:E500="attacks")*RELATIONSHIPS!F2:F500)*3-SUMPRODUCT((RELATIONSHIPS!C2:C500=A49)*(RELATIONSHIPS!E2:E500="attacks")*RELATIONSHIPS!F2:F500)*3-COUNTIFS(RELATIONSHIPS!B2:B500,A49,RELATIONSHIPS!H2:H500,"dead")*2-COUNTIFS(RELATIONSHIPS!C2:C500,A49,RELATIONSHIPS!H2:H500,"dead")*2</f>
        <v/>
      </c>
      <c r="N49" s="4">
        <f>IF(M49="","",IF(M49&gt;=90,"NEAR-CANONICAL",IF(M49&gt;=75,"STRONG",IF(M49&gt;=60,"PROVISIONAL","WEAK"))))</f>
        <v/>
      </c>
    </row>
    <row r="50">
      <c r="A50" s="3" t="inlineStr">
        <is>
          <t>N049</t>
        </is>
      </c>
      <c r="B50" s="3" t="inlineStr">
        <is>
          <t>Q11-D</t>
        </is>
      </c>
      <c r="C50" s="3" t="inlineStr">
        <is>
          <t>Annihilation</t>
        </is>
      </c>
      <c r="D50" s="3" t="inlineStr">
        <is>
          <t>Total termination.</t>
        </is>
      </c>
      <c r="E50" s="3" t="inlineStr">
        <is>
          <t>system</t>
        </is>
      </c>
      <c r="F50" s="3" t="inlineStr">
        <is>
          <t>branch</t>
        </is>
      </c>
      <c r="G50" s="3" t="inlineStr">
        <is>
          <t>type3_ground</t>
        </is>
      </c>
      <c r="H50" s="3" t="inlineStr">
        <is>
          <t>canonical</t>
        </is>
      </c>
      <c r="I50" s="3" t="n"/>
      <c r="J50" s="3" t="n">
        <v>11</v>
      </c>
      <c r="K50" s="3" t="inlineStr">
        <is>
          <t>theophysics</t>
        </is>
      </c>
      <c r="L50" s="3" t="inlineStr">
        <is>
          <t>2026-03</t>
        </is>
      </c>
      <c r="M50" s="3">
        <f>SUMPRODUCT((RELATIONSHIPS!B2:B500=A50)*(RELATIONSHIPS!D2:D500&lt;&gt;"evidence")*RELATIONSHIPS!F2:F500)+SUMPRODUCT((RELATIONSHIPS!C2:C500=A50)*(RELATIONSHIPS!D2:D500&lt;&gt;"evidence")*RELATIONSHIPS!F2:F500)+SUMPRODUCT((RELATIONSHIPS!B2:B500=A50)*(RELATIONSHIPS!E2:E500="supports")*RELATIONSHIPS!F2:F500)*2+SUMPRODUCT((RELATIONSHIPS!C2:C500=A50)*(RELATIONSHIPS!E2:E500="supports")*RELATIONSHIPS!F2:F500)*2-SUMPRODUCT((RELATIONSHIPS!B2:B500=A50)*(RELATIONSHIPS!E2:E500="attacks")*RELATIONSHIPS!F2:F500)*3-SUMPRODUCT((RELATIONSHIPS!C2:C500=A50)*(RELATIONSHIPS!E2:E500="attacks")*RELATIONSHIPS!F2:F500)*3-COUNTIFS(RELATIONSHIPS!B2:B500,A50,RELATIONSHIPS!H2:H500,"dead")*2-COUNTIFS(RELATIONSHIPS!C2:C500,A50,RELATIONSHIPS!H2:H500,"dead")*2</f>
        <v/>
      </c>
      <c r="N50" s="3">
        <f>IF(M50="","",IF(M50&gt;=90,"NEAR-CANONICAL",IF(M50&gt;=75,"STRONG",IF(M50&gt;=60,"PROVISIONAL","WEAK"))))</f>
        <v/>
      </c>
    </row>
    <row r="51">
      <c r="A51" s="4" t="inlineStr">
        <is>
          <t>N050</t>
        </is>
      </c>
      <c r="B51" s="4" t="inlineStr">
        <is>
          <t>A1.1</t>
        </is>
      </c>
      <c r="C51" s="4" t="inlineStr">
        <is>
          <t>Existence</t>
        </is>
      </c>
      <c r="D51" s="4" t="inlineStr">
        <is>
          <t>Something exists rather than nothing.</t>
        </is>
      </c>
      <c r="E51" s="4" t="inlineStr">
        <is>
          <t>system</t>
        </is>
      </c>
      <c r="F51" s="4" t="inlineStr">
        <is>
          <t>axiom</t>
        </is>
      </c>
      <c r="G51" s="4" t="inlineStr">
        <is>
          <t>type1_binary</t>
        </is>
      </c>
      <c r="H51" s="4" t="inlineStr">
        <is>
          <t>canonical</t>
        </is>
      </c>
      <c r="I51" s="4" t="n">
        <v>1</v>
      </c>
      <c r="J51" s="4" t="n">
        <v>0</v>
      </c>
      <c r="K51" s="4" t="inlineStr">
        <is>
          <t>theophysics</t>
        </is>
      </c>
      <c r="L51" s="4" t="inlineStr">
        <is>
          <t>2024-08</t>
        </is>
      </c>
      <c r="M51" s="4">
        <f>SUMPRODUCT((RELATIONSHIPS!B2:B500=A51)*(RELATIONSHIPS!D2:D500&lt;&gt;"evidence")*RELATIONSHIPS!F2:F500)+SUMPRODUCT((RELATIONSHIPS!C2:C500=A51)*(RELATIONSHIPS!D2:D500&lt;&gt;"evidence")*RELATIONSHIPS!F2:F500)+SUMPRODUCT((RELATIONSHIPS!B2:B500=A51)*(RELATIONSHIPS!E2:E500="supports")*RELATIONSHIPS!F2:F500)*2+SUMPRODUCT((RELATIONSHIPS!C2:C500=A51)*(RELATIONSHIPS!E2:E500="supports")*RELATIONSHIPS!F2:F500)*2-SUMPRODUCT((RELATIONSHIPS!B2:B500=A51)*(RELATIONSHIPS!E2:E500="attacks")*RELATIONSHIPS!F2:F500)*3-SUMPRODUCT((RELATIONSHIPS!C2:C500=A51)*(RELATIONSHIPS!E2:E500="attacks")*RELATIONSHIPS!F2:F500)*3-COUNTIFS(RELATIONSHIPS!B2:B500,A51,RELATIONSHIPS!H2:H500,"dead")*2-COUNTIFS(RELATIONSHIPS!C2:C500,A51,RELATIONSHIPS!H2:H500,"dead")*2</f>
        <v/>
      </c>
      <c r="N51" s="4">
        <f>IF(M51="","",IF(M51&gt;=90,"NEAR-CANONICAL",IF(M51&gt;=75,"STRONG",IF(M51&gt;=60,"PROVISIONAL","WEAK"))))</f>
        <v/>
      </c>
    </row>
    <row r="52">
      <c r="A52" s="3" t="inlineStr">
        <is>
          <t>N051</t>
        </is>
      </c>
      <c r="B52" s="3" t="inlineStr">
        <is>
          <t>A1.2</t>
        </is>
      </c>
      <c r="C52" s="3" t="inlineStr">
        <is>
          <t>Distinction</t>
        </is>
      </c>
      <c r="D52" s="3" t="inlineStr">
        <is>
          <t>Existence requires distinguishability.</t>
        </is>
      </c>
      <c r="E52" s="3" t="inlineStr">
        <is>
          <t>system</t>
        </is>
      </c>
      <c r="F52" s="3" t="inlineStr">
        <is>
          <t>axiom</t>
        </is>
      </c>
      <c r="G52" s="3" t="inlineStr">
        <is>
          <t>type1_binary</t>
        </is>
      </c>
      <c r="H52" s="3" t="inlineStr">
        <is>
          <t>canonical</t>
        </is>
      </c>
      <c r="I52" s="3" t="n">
        <v>2</v>
      </c>
      <c r="J52" s="3" t="n">
        <v>1</v>
      </c>
      <c r="K52" s="3" t="inlineStr">
        <is>
          <t>theophysics</t>
        </is>
      </c>
      <c r="L52" s="3" t="inlineStr">
        <is>
          <t>2024-08</t>
        </is>
      </c>
      <c r="M52" s="3">
        <f>SUMPRODUCT((RELATIONSHIPS!B2:B500=A52)*(RELATIONSHIPS!D2:D500&lt;&gt;"evidence")*RELATIONSHIPS!F2:F500)+SUMPRODUCT((RELATIONSHIPS!C2:C500=A52)*(RELATIONSHIPS!D2:D500&lt;&gt;"evidence")*RELATIONSHIPS!F2:F500)+SUMPRODUCT((RELATIONSHIPS!B2:B500=A52)*(RELATIONSHIPS!E2:E500="supports")*RELATIONSHIPS!F2:F500)*2+SUMPRODUCT((RELATIONSHIPS!C2:C500=A52)*(RELATIONSHIPS!E2:E500="supports")*RELATIONSHIPS!F2:F500)*2-SUMPRODUCT((RELATIONSHIPS!B2:B500=A52)*(RELATIONSHIPS!E2:E500="attacks")*RELATIONSHIPS!F2:F500)*3-SUMPRODUCT((RELATIONSHIPS!C2:C500=A52)*(RELATIONSHIPS!E2:E500="attacks")*RELATIONSHIPS!F2:F500)*3-COUNTIFS(RELATIONSHIPS!B2:B500,A52,RELATIONSHIPS!H2:H500,"dead")*2-COUNTIFS(RELATIONSHIPS!C2:C500,A52,RELATIONSHIPS!H2:H500,"dead")*2</f>
        <v/>
      </c>
      <c r="N52" s="3">
        <f>IF(M52="","",IF(M52&gt;=90,"NEAR-CANONICAL",IF(M52&gt;=75,"STRONG",IF(M52&gt;=60,"PROVISIONAL","WEAK"))))</f>
        <v/>
      </c>
    </row>
    <row r="53">
      <c r="A53" s="4" t="inlineStr">
        <is>
          <t>N052</t>
        </is>
      </c>
      <c r="B53" s="4" t="inlineStr">
        <is>
          <t>A1.3</t>
        </is>
      </c>
      <c r="C53" s="4" t="inlineStr">
        <is>
          <t>Information Primacy</t>
        </is>
      </c>
      <c r="D53" s="4" t="inlineStr">
        <is>
          <t>Distinguishability IS information.</t>
        </is>
      </c>
      <c r="E53" s="4" t="inlineStr">
        <is>
          <t>system</t>
        </is>
      </c>
      <c r="F53" s="4" t="inlineStr">
        <is>
          <t>axiom</t>
        </is>
      </c>
      <c r="G53" s="4" t="inlineStr">
        <is>
          <t>type2_identity</t>
        </is>
      </c>
      <c r="H53" s="4" t="inlineStr">
        <is>
          <t>canonical</t>
        </is>
      </c>
      <c r="I53" s="4" t="n">
        <v>3</v>
      </c>
      <c r="J53" s="4" t="n">
        <v>2</v>
      </c>
      <c r="K53" s="4" t="inlineStr">
        <is>
          <t>theophysics</t>
        </is>
      </c>
      <c r="L53" s="4" t="inlineStr">
        <is>
          <t>2024-08</t>
        </is>
      </c>
      <c r="M53" s="4">
        <f>SUMPRODUCT((RELATIONSHIPS!B2:B500=A53)*(RELATIONSHIPS!D2:D500&lt;&gt;"evidence")*RELATIONSHIPS!F2:F500)+SUMPRODUCT((RELATIONSHIPS!C2:C500=A53)*(RELATIONSHIPS!D2:D500&lt;&gt;"evidence")*RELATIONSHIPS!F2:F500)+SUMPRODUCT((RELATIONSHIPS!B2:B500=A53)*(RELATIONSHIPS!E2:E500="supports")*RELATIONSHIPS!F2:F500)*2+SUMPRODUCT((RELATIONSHIPS!C2:C500=A53)*(RELATIONSHIPS!E2:E500="supports")*RELATIONSHIPS!F2:F500)*2-SUMPRODUCT((RELATIONSHIPS!B2:B500=A53)*(RELATIONSHIPS!E2:E500="attacks")*RELATIONSHIPS!F2:F500)*3-SUMPRODUCT((RELATIONSHIPS!C2:C500=A53)*(RELATIONSHIPS!E2:E500="attacks")*RELATIONSHIPS!F2:F500)*3-COUNTIFS(RELATIONSHIPS!B2:B500,A53,RELATIONSHIPS!H2:H500,"dead")*2-COUNTIFS(RELATIONSHIPS!C2:C500,A53,RELATIONSHIPS!H2:H500,"dead")*2</f>
        <v/>
      </c>
      <c r="N53" s="4">
        <f>IF(M53="","",IF(M53&gt;=90,"NEAR-CANONICAL",IF(M53&gt;=75,"STRONG",IF(M53&gt;=60,"PROVISIONAL","WEAK"))))</f>
        <v/>
      </c>
    </row>
    <row r="54">
      <c r="A54" s="3" t="inlineStr">
        <is>
          <t>N053</t>
        </is>
      </c>
      <c r="B54" s="3" t="inlineStr">
        <is>
          <t>A3.1</t>
        </is>
      </c>
      <c r="C54" s="3" t="inlineStr">
        <is>
          <t>Order Required</t>
        </is>
      </c>
      <c r="D54" s="3" t="inlineStr">
        <is>
          <t>Information must have structure.</t>
        </is>
      </c>
      <c r="E54" s="3" t="inlineStr">
        <is>
          <t>system</t>
        </is>
      </c>
      <c r="F54" s="3" t="inlineStr">
        <is>
          <t>axiom</t>
        </is>
      </c>
      <c r="G54" s="3" t="inlineStr">
        <is>
          <t>type1_binary</t>
        </is>
      </c>
      <c r="H54" s="3" t="inlineStr">
        <is>
          <t>canonical</t>
        </is>
      </c>
      <c r="I54" s="3" t="n">
        <v>4</v>
      </c>
      <c r="J54" s="3" t="n">
        <v>3</v>
      </c>
      <c r="K54" s="3" t="inlineStr">
        <is>
          <t>theophysics</t>
        </is>
      </c>
      <c r="L54" s="3" t="inlineStr">
        <is>
          <t>2024-08</t>
        </is>
      </c>
      <c r="M54" s="3">
        <f>SUMPRODUCT((RELATIONSHIPS!B2:B500=A54)*(RELATIONSHIPS!D2:D500&lt;&gt;"evidence")*RELATIONSHIPS!F2:F500)+SUMPRODUCT((RELATIONSHIPS!C2:C500=A54)*(RELATIONSHIPS!D2:D500&lt;&gt;"evidence")*RELATIONSHIPS!F2:F500)+SUMPRODUCT((RELATIONSHIPS!B2:B500=A54)*(RELATIONSHIPS!E2:E500="supports")*RELATIONSHIPS!F2:F500)*2+SUMPRODUCT((RELATIONSHIPS!C2:C500=A54)*(RELATIONSHIPS!E2:E500="supports")*RELATIONSHIPS!F2:F500)*2-SUMPRODUCT((RELATIONSHIPS!B2:B500=A54)*(RELATIONSHIPS!E2:E500="attacks")*RELATIONSHIPS!F2:F500)*3-SUMPRODUCT((RELATIONSHIPS!C2:C500=A54)*(RELATIONSHIPS!E2:E500="attacks")*RELATIONSHIPS!F2:F500)*3-COUNTIFS(RELATIONSHIPS!B2:B500,A54,RELATIONSHIPS!H2:H500,"dead")*2-COUNTIFS(RELATIONSHIPS!C2:C500,A54,RELATIONSHIPS!H2:H500,"dead")*2</f>
        <v/>
      </c>
      <c r="N54" s="3">
        <f>IF(M54="","",IF(M54&gt;=90,"NEAR-CANONICAL",IF(M54&gt;=75,"STRONG",IF(M54&gt;=60,"PROVISIONAL","WEAK"))))</f>
        <v/>
      </c>
    </row>
    <row r="55">
      <c r="A55" s="4" t="inlineStr">
        <is>
          <t>N054</t>
        </is>
      </c>
      <c r="B55" s="4" t="inlineStr">
        <is>
          <t>A2.2</t>
        </is>
      </c>
      <c r="C55" s="4" t="inlineStr">
        <is>
          <t>Self-Grounding</t>
        </is>
      </c>
      <c r="D55" s="4" t="inlineStr">
        <is>
          <t>Substrate grounds itself.</t>
        </is>
      </c>
      <c r="E55" s="4" t="inlineStr">
        <is>
          <t>system</t>
        </is>
      </c>
      <c r="F55" s="4" t="inlineStr">
        <is>
          <t>axiom</t>
        </is>
      </c>
      <c r="G55" s="4" t="inlineStr">
        <is>
          <t>type3_ground</t>
        </is>
      </c>
      <c r="H55" s="4" t="inlineStr">
        <is>
          <t>canonical</t>
        </is>
      </c>
      <c r="I55" s="4" t="n">
        <v>5</v>
      </c>
      <c r="J55" s="4" t="n">
        <v>4</v>
      </c>
      <c r="K55" s="4" t="inlineStr">
        <is>
          <t>theophysics</t>
        </is>
      </c>
      <c r="L55" s="4" t="inlineStr">
        <is>
          <t>2024-08</t>
        </is>
      </c>
      <c r="M55" s="4">
        <f>SUMPRODUCT((RELATIONSHIPS!B2:B500=A55)*(RELATIONSHIPS!D2:D500&lt;&gt;"evidence")*RELATIONSHIPS!F2:F500)+SUMPRODUCT((RELATIONSHIPS!C2:C500=A55)*(RELATIONSHIPS!D2:D500&lt;&gt;"evidence")*RELATIONSHIPS!F2:F500)+SUMPRODUCT((RELATIONSHIPS!B2:B500=A55)*(RELATIONSHIPS!E2:E500="supports")*RELATIONSHIPS!F2:F500)*2+SUMPRODUCT((RELATIONSHIPS!C2:C500=A55)*(RELATIONSHIPS!E2:E500="supports")*RELATIONSHIPS!F2:F500)*2-SUMPRODUCT((RELATIONSHIPS!B2:B500=A55)*(RELATIONSHIPS!E2:E500="attacks")*RELATIONSHIPS!F2:F500)*3-SUMPRODUCT((RELATIONSHIPS!C2:C500=A55)*(RELATIONSHIPS!E2:E500="attacks")*RELATIONSHIPS!F2:F500)*3-COUNTIFS(RELATIONSHIPS!B2:B500,A55,RELATIONSHIPS!H2:H500,"dead")*2-COUNTIFS(RELATIONSHIPS!C2:C500,A55,RELATIONSHIPS!H2:H500,"dead")*2</f>
        <v/>
      </c>
      <c r="N55" s="4">
        <f>IF(M55="","",IF(M55&gt;=90,"NEAR-CANONICAL",IF(M55&gt;=75,"STRONG",IF(M55&gt;=60,"PROVISIONAL","WEAK"))))</f>
        <v/>
      </c>
    </row>
    <row r="56">
      <c r="A56" s="3" t="inlineStr">
        <is>
          <t>N055</t>
        </is>
      </c>
      <c r="B56" s="3" t="inlineStr">
        <is>
          <t>A5.1</t>
        </is>
      </c>
      <c r="C56" s="3" t="inlineStr">
        <is>
          <t>Observer Required</t>
        </is>
      </c>
      <c r="D56" s="3" t="inlineStr">
        <is>
          <t>Observer needed for actualization.</t>
        </is>
      </c>
      <c r="E56" s="3" t="inlineStr">
        <is>
          <t>system</t>
        </is>
      </c>
      <c r="F56" s="3" t="inlineStr">
        <is>
          <t>axiom</t>
        </is>
      </c>
      <c r="G56" s="3" t="inlineStr">
        <is>
          <t>type1_binary</t>
        </is>
      </c>
      <c r="H56" s="3" t="inlineStr">
        <is>
          <t>canonical</t>
        </is>
      </c>
      <c r="I56" s="3" t="n">
        <v>7</v>
      </c>
      <c r="J56" s="3" t="n">
        <v>6</v>
      </c>
      <c r="K56" s="3" t="inlineStr">
        <is>
          <t>theophysics</t>
        </is>
      </c>
      <c r="L56" s="3" t="inlineStr">
        <is>
          <t>2024-08</t>
        </is>
      </c>
      <c r="M56" s="3">
        <f>SUMPRODUCT((RELATIONSHIPS!B2:B500=A56)*(RELATIONSHIPS!D2:D500&lt;&gt;"evidence")*RELATIONSHIPS!F2:F500)+SUMPRODUCT((RELATIONSHIPS!C2:C500=A56)*(RELATIONSHIPS!D2:D500&lt;&gt;"evidence")*RELATIONSHIPS!F2:F500)+SUMPRODUCT((RELATIONSHIPS!B2:B500=A56)*(RELATIONSHIPS!E2:E500="supports")*RELATIONSHIPS!F2:F500)*2+SUMPRODUCT((RELATIONSHIPS!C2:C500=A56)*(RELATIONSHIPS!E2:E500="supports")*RELATIONSHIPS!F2:F500)*2-SUMPRODUCT((RELATIONSHIPS!B2:B500=A56)*(RELATIONSHIPS!E2:E500="attacks")*RELATIONSHIPS!F2:F500)*3-SUMPRODUCT((RELATIONSHIPS!C2:C500=A56)*(RELATIONSHIPS!E2:E500="attacks")*RELATIONSHIPS!F2:F500)*3-COUNTIFS(RELATIONSHIPS!B2:B500,A56,RELATIONSHIPS!H2:H500,"dead")*2-COUNTIFS(RELATIONSHIPS!C2:C500,A56,RELATIONSHIPS!H2:H500,"dead")*2</f>
        <v/>
      </c>
      <c r="N56" s="3">
        <f>IF(M56="","",IF(M56&gt;=90,"NEAR-CANONICAL",IF(M56&gt;=75,"STRONG",IF(M56&gt;=60,"PROVISIONAL","WEAK"))))</f>
        <v/>
      </c>
    </row>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sheetData>
  <conditionalFormatting sqref="N2:N105">
    <cfRule type="cellIs" priority="1" operator="equal" dxfId="0">
      <formula>"NEAR-CANONICAL"</formula>
    </cfRule>
    <cfRule type="cellIs" priority="2" operator="equal" dxfId="1">
      <formula>"STRONG"</formula>
    </cfRule>
    <cfRule type="cellIs" priority="3" operator="equal" dxfId="2">
      <formula>"PROVISIONAL"</formula>
    </cfRule>
    <cfRule type="cellIs" priority="4" operator="equal" dxfId="3">
      <formula>"WEAK"</formula>
    </cfRule>
  </conditionalFormatting>
  <conditionalFormatting sqref="M2:M105">
    <cfRule type="colorScale" priority="5">
      <colorScale>
        <cfvo type="num" val="0"/>
        <cfvo type="num" val="50"/>
        <cfvo type="num" val="100"/>
        <color rgb="00F8D7DA"/>
        <color rgb="00FFF3CD"/>
        <color rgb="00D4EDDA"/>
      </colorScale>
    </cfRule>
  </conditionalFormatting>
  <dataValidations count="4">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showDropDown="0" showInputMessage="0" showErrorMessage="0" allowBlank="0" type="list">
      <formula1>"word,phrase,sentence,verse,paragraph,chapter,book,corpus,system"</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showDropDown="0" showInputMessage="0" showErrorMessage="0" allowBlank="0" type="list">
      <formula1>"axiom,theorem,lemma,corollary,definition,boundary_condition,conjecture,observation,postulate,question,branch,derivation,kill_zone,claim,evidence_bundle,source,cross_reference,person,place,event,concept,equation,experiment,scripture_unit"</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showDropDown="0" showInputMessage="0" showErrorMessage="0" allowBlank="0" type="list">
      <formula1>"type1_binary,type2_identity,type3_ground,type4_constraint"</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showDropDown="0" showInputMessage="0" showErrorMessage="0" allowBlank="0" type="list">
      <formula1>"canonical,publish_ready,needs_review,needs_source,needs_math,honest_blank,under_construction,deprecated,blocked,draft"</formula1>
    </dataValidation>
  </dataValidations>
  <pageMargins left="0.75" right="0.75" top="1" bottom="1" header="0.5" footer="0.5"/>
</worksheet>
</file>

<file path=xl/worksheets/sheet2.xml><?xml version="1.0" encoding="utf-8"?>
<worksheet xmlns="http://schemas.openxmlformats.org/spreadsheetml/2006/main">
  <sheetPr>
    <tabColor rgb="001B7A4B"/>
    <outlinePr summaryBelow="1" summaryRight="1"/>
    <pageSetUpPr/>
  </sheetPr>
  <dimension ref="A1:K27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4" customWidth="1" min="3" max="3"/>
    <col width="12" customWidth="1" min="4" max="4"/>
    <col width="18" customWidth="1" min="5" max="5"/>
    <col width="8" customWidth="1" min="6" max="6"/>
    <col width="20" customWidth="1" min="7" max="7"/>
    <col width="10" customWidth="1" min="8" max="8"/>
    <col width="25" customWidth="1" min="9" max="9"/>
    <col width="50" customWidth="1" min="10" max="10"/>
    <col width="12" customWidth="1" min="11" max="11"/>
  </cols>
  <sheetData>
    <row r="1">
      <c r="A1" s="1" t="inlineStr">
        <is>
          <t>edge_id</t>
        </is>
      </c>
      <c r="B1" s="1" t="inlineStr">
        <is>
          <t>from_node_id</t>
        </is>
      </c>
      <c r="C1" s="1" t="inlineStr">
        <is>
          <t>to_node_id</t>
        </is>
      </c>
      <c r="D1" s="1" t="inlineStr">
        <is>
          <t>facet</t>
        </is>
      </c>
      <c r="E1" s="1" t="inlineStr">
        <is>
          <t>edge_type</t>
        </is>
      </c>
      <c r="F1" s="1" t="inlineStr">
        <is>
          <t>weight</t>
        </is>
      </c>
      <c r="G1" s="1" t="inlineStr">
        <is>
          <t>death_condition</t>
        </is>
      </c>
      <c r="H1" s="1" t="inlineStr">
        <is>
          <t>status</t>
        </is>
      </c>
      <c r="I1" s="1" t="inlineStr">
        <is>
          <t>source_ref</t>
        </is>
      </c>
      <c r="J1" s="1" t="inlineStr">
        <is>
          <t>note</t>
        </is>
      </c>
      <c r="K1" s="1" t="inlineStr">
        <is>
          <t>created_at</t>
        </is>
      </c>
    </row>
    <row r="2">
      <c r="A2" s="3" t="inlineStr">
        <is>
          <t>E001</t>
        </is>
      </c>
      <c r="B2" s="3" t="inlineStr">
        <is>
          <t>N001</t>
        </is>
      </c>
      <c r="C2" s="3" t="inlineStr">
        <is>
          <t>N014</t>
        </is>
      </c>
      <c r="D2" s="3" t="inlineStr">
        <is>
          <t>time</t>
        </is>
      </c>
      <c r="E2" s="3" t="inlineStr">
        <is>
          <t>forces</t>
        </is>
      </c>
      <c r="F2" s="3" t="n">
        <v>1</v>
      </c>
      <c r="G2" s="3" t="inlineStr">
        <is>
          <t>self_refutation</t>
        </is>
      </c>
      <c r="H2" s="3" t="inlineStr">
        <is>
          <t>dead</t>
        </is>
      </c>
      <c r="I2" s="3" t="inlineStr"/>
      <c r="J2" s="3" t="inlineStr">
        <is>
          <t>Denial requires denier</t>
        </is>
      </c>
      <c r="K2" s="3" t="inlineStr">
        <is>
          <t>2026-03</t>
        </is>
      </c>
    </row>
    <row r="3">
      <c r="A3" s="4" t="inlineStr">
        <is>
          <t>E002</t>
        </is>
      </c>
      <c r="B3" s="4" t="inlineStr">
        <is>
          <t>N001</t>
        </is>
      </c>
      <c r="C3" s="4" t="inlineStr">
        <is>
          <t>N015</t>
        </is>
      </c>
      <c r="D3" s="4" t="inlineStr">
        <is>
          <t>time</t>
        </is>
      </c>
      <c r="E3" s="4" t="inlineStr">
        <is>
          <t>forces</t>
        </is>
      </c>
      <c r="F3" s="4" t="n">
        <v>1</v>
      </c>
      <c r="G3" s="4" t="inlineStr">
        <is>
          <t>none</t>
        </is>
      </c>
      <c r="H3" s="4" t="inlineStr">
        <is>
          <t>alive</t>
        </is>
      </c>
      <c r="I3" s="4" t="inlineStr"/>
      <c r="J3" s="4" t="inlineStr">
        <is>
          <t>Undeniable — cogito</t>
        </is>
      </c>
      <c r="K3" s="4" t="inlineStr">
        <is>
          <t>2026-03</t>
        </is>
      </c>
    </row>
    <row r="4">
      <c r="A4" s="3" t="inlineStr">
        <is>
          <t>E003</t>
        </is>
      </c>
      <c r="B4" s="3" t="inlineStr">
        <is>
          <t>N001</t>
        </is>
      </c>
      <c r="C4" s="3" t="inlineStr">
        <is>
          <t>N016</t>
        </is>
      </c>
      <c r="D4" s="3" t="inlineStr">
        <is>
          <t>time</t>
        </is>
      </c>
      <c r="E4" s="3" t="inlineStr">
        <is>
          <t>forces</t>
        </is>
      </c>
      <c r="F4" s="3" t="n">
        <v>1</v>
      </c>
      <c r="G4" s="3" t="inlineStr">
        <is>
          <t>self_refutation</t>
        </is>
      </c>
      <c r="H4" s="3" t="inlineStr">
        <is>
          <t>dead</t>
        </is>
      </c>
      <c r="I4" s="3" t="inlineStr"/>
      <c r="J4" s="3" t="inlineStr">
        <is>
          <t>Meaninglessness requires meaning-bearer</t>
        </is>
      </c>
      <c r="K4" s="3" t="inlineStr">
        <is>
          <t>2026-03</t>
        </is>
      </c>
    </row>
    <row r="5">
      <c r="A5" s="4" t="inlineStr">
        <is>
          <t>E004</t>
        </is>
      </c>
      <c r="B5" s="4" t="inlineStr">
        <is>
          <t>N001</t>
        </is>
      </c>
      <c r="C5" s="4" t="inlineStr">
        <is>
          <t>N017</t>
        </is>
      </c>
      <c r="D5" s="4" t="inlineStr">
        <is>
          <t>time</t>
        </is>
      </c>
      <c r="E5" s="4" t="inlineStr">
        <is>
          <t>forces</t>
        </is>
      </c>
      <c r="F5" s="4" t="n">
        <v>1</v>
      </c>
      <c r="G5" s="4" t="inlineStr">
        <is>
          <t>none</t>
        </is>
      </c>
      <c r="H5" s="4" t="inlineStr">
        <is>
          <t>partial</t>
        </is>
      </c>
      <c r="I5" s="4" t="inlineStr"/>
      <c r="J5" s="4" t="inlineStr">
        <is>
          <t>Collapses → Q0-B</t>
        </is>
      </c>
      <c r="K5" s="4" t="inlineStr">
        <is>
          <t>2026-03</t>
        </is>
      </c>
    </row>
    <row r="6">
      <c r="A6" s="3" t="inlineStr">
        <is>
          <t>E005</t>
        </is>
      </c>
      <c r="B6" s="3" t="inlineStr">
        <is>
          <t>N017</t>
        </is>
      </c>
      <c r="C6" s="3" t="inlineStr">
        <is>
          <t>N015</t>
        </is>
      </c>
      <c r="D6" s="3" t="inlineStr">
        <is>
          <t>evidence</t>
        </is>
      </c>
      <c r="E6" s="3" t="inlineStr">
        <is>
          <t>collapses_to</t>
        </is>
      </c>
      <c r="F6" s="3" t="n">
        <v>0.9</v>
      </c>
      <c r="G6" s="3" t="inlineStr">
        <is>
          <t>none</t>
        </is>
      </c>
      <c r="H6" s="3" t="inlineStr">
        <is>
          <t>alive</t>
        </is>
      </c>
      <c r="I6" s="3" t="inlineStr"/>
      <c r="J6" s="3" t="inlineStr">
        <is>
          <t>Illusion requires existent substrate</t>
        </is>
      </c>
      <c r="K6" s="3" t="inlineStr">
        <is>
          <t>2026-03</t>
        </is>
      </c>
    </row>
    <row r="7">
      <c r="A7" s="4" t="inlineStr">
        <is>
          <t>E006</t>
        </is>
      </c>
      <c r="B7" s="4" t="inlineStr">
        <is>
          <t>N015</t>
        </is>
      </c>
      <c r="C7" s="4" t="inlineStr">
        <is>
          <t>N002</t>
        </is>
      </c>
      <c r="D7" s="4" t="inlineStr">
        <is>
          <t>time</t>
        </is>
      </c>
      <c r="E7" s="4" t="inlineStr">
        <is>
          <t>forces</t>
        </is>
      </c>
      <c r="F7" s="4" t="n">
        <v>1</v>
      </c>
      <c r="G7" s="4" t="inlineStr">
        <is>
          <t>none</t>
        </is>
      </c>
      <c r="H7" s="4" t="inlineStr">
        <is>
          <t>alive</t>
        </is>
      </c>
      <c r="I7" s="4" t="inlineStr"/>
      <c r="J7" s="4" t="inlineStr">
        <is>
          <t>Existence forces distinction question</t>
        </is>
      </c>
      <c r="K7" s="4" t="inlineStr">
        <is>
          <t>2026-03</t>
        </is>
      </c>
    </row>
    <row r="8">
      <c r="A8" s="3" t="inlineStr">
        <is>
          <t>E007</t>
        </is>
      </c>
      <c r="B8" s="3" t="inlineStr">
        <is>
          <t>N002</t>
        </is>
      </c>
      <c r="C8" s="3" t="inlineStr">
        <is>
          <t>N018</t>
        </is>
      </c>
      <c r="D8" s="3" t="inlineStr">
        <is>
          <t>time</t>
        </is>
      </c>
      <c r="E8" s="3" t="inlineStr">
        <is>
          <t>forces</t>
        </is>
      </c>
      <c r="F8" s="3" t="n">
        <v>1</v>
      </c>
      <c r="G8" s="3" t="inlineStr">
        <is>
          <t>logical_incoherence</t>
        </is>
      </c>
      <c r="H8" s="3" t="inlineStr">
        <is>
          <t>dead</t>
        </is>
      </c>
      <c r="I8" s="3" t="inlineStr"/>
      <c r="J8" s="3" t="inlineStr">
        <is>
          <t>Contradicts Q0-B</t>
        </is>
      </c>
      <c r="K8" s="3" t="inlineStr">
        <is>
          <t>2026-03</t>
        </is>
      </c>
    </row>
    <row r="9">
      <c r="A9" s="4" t="inlineStr">
        <is>
          <t>E008</t>
        </is>
      </c>
      <c r="B9" s="4" t="inlineStr">
        <is>
          <t>N002</t>
        </is>
      </c>
      <c r="C9" s="4" t="inlineStr">
        <is>
          <t>N019</t>
        </is>
      </c>
      <c r="D9" s="4" t="inlineStr">
        <is>
          <t>time</t>
        </is>
      </c>
      <c r="E9" s="4" t="inlineStr">
        <is>
          <t>forces</t>
        </is>
      </c>
      <c r="F9" s="4" t="n">
        <v>1</v>
      </c>
      <c r="G9" s="4" t="inlineStr">
        <is>
          <t>none</t>
        </is>
      </c>
      <c r="H9" s="4" t="inlineStr">
        <is>
          <t>alive</t>
        </is>
      </c>
      <c r="I9" s="4" t="inlineStr"/>
      <c r="J9" s="4" t="inlineStr">
        <is>
          <t>What existence MEANS</t>
        </is>
      </c>
      <c r="K9" s="4" t="inlineStr">
        <is>
          <t>2026-03</t>
        </is>
      </c>
    </row>
    <row r="10">
      <c r="A10" s="3" t="inlineStr">
        <is>
          <t>E009</t>
        </is>
      </c>
      <c r="B10" s="3" t="inlineStr">
        <is>
          <t>N002</t>
        </is>
      </c>
      <c r="C10" s="3" t="inlineStr">
        <is>
          <t>N020</t>
        </is>
      </c>
      <c r="D10" s="3" t="inlineStr">
        <is>
          <t>time</t>
        </is>
      </c>
      <c r="E10" s="3" t="inlineStr">
        <is>
          <t>forces</t>
        </is>
      </c>
      <c r="F10" s="3" t="n">
        <v>1</v>
      </c>
      <c r="G10" s="3" t="inlineStr">
        <is>
          <t>none</t>
        </is>
      </c>
      <c r="H10" s="3" t="inlineStr">
        <is>
          <t>partial</t>
        </is>
      </c>
      <c r="I10" s="3" t="inlineStr"/>
      <c r="J10" s="3" t="inlineStr">
        <is>
          <t>Advaita recursion cost</t>
        </is>
      </c>
      <c r="K10" s="3" t="inlineStr">
        <is>
          <t>2026-03</t>
        </is>
      </c>
    </row>
    <row r="11">
      <c r="A11" s="4" t="inlineStr">
        <is>
          <t>E010</t>
        </is>
      </c>
      <c r="B11" s="4" t="inlineStr">
        <is>
          <t>N019</t>
        </is>
      </c>
      <c r="C11" s="4" t="inlineStr">
        <is>
          <t>N003</t>
        </is>
      </c>
      <c r="D11" s="4" t="inlineStr">
        <is>
          <t>time</t>
        </is>
      </c>
      <c r="E11" s="4" t="inlineStr">
        <is>
          <t>forces</t>
        </is>
      </c>
      <c r="F11" s="4" t="n">
        <v>1</v>
      </c>
      <c r="G11" s="4" t="inlineStr">
        <is>
          <t>none</t>
        </is>
      </c>
      <c r="H11" s="4" t="inlineStr">
        <is>
          <t>alive</t>
        </is>
      </c>
      <c r="I11" s="4" t="inlineStr"/>
      <c r="J11" s="4" t="inlineStr">
        <is>
          <t>Distinction forces identity question</t>
        </is>
      </c>
      <c r="K11" s="4" t="inlineStr">
        <is>
          <t>2026-03</t>
        </is>
      </c>
    </row>
    <row r="12">
      <c r="A12" s="3" t="inlineStr">
        <is>
          <t>E011</t>
        </is>
      </c>
      <c r="B12" s="3" t="inlineStr">
        <is>
          <t>N003</t>
        </is>
      </c>
      <c r="C12" s="3" t="inlineStr">
        <is>
          <t>N021</t>
        </is>
      </c>
      <c r="D12" s="3" t="inlineStr">
        <is>
          <t>time</t>
        </is>
      </c>
      <c r="E12" s="3" t="inlineStr">
        <is>
          <t>forces</t>
        </is>
      </c>
      <c r="F12" s="3" t="n">
        <v>1</v>
      </c>
      <c r="G12" s="3" t="inlineStr">
        <is>
          <t>none</t>
        </is>
      </c>
      <c r="H12" s="3" t="inlineStr">
        <is>
          <t>partial</t>
        </is>
      </c>
      <c r="I12" s="3" t="inlineStr"/>
      <c r="J12" s="3" t="inlineStr">
        <is>
          <t>Circular — presupposes matter</t>
        </is>
      </c>
      <c r="K12" s="3" t="inlineStr">
        <is>
          <t>2026-03</t>
        </is>
      </c>
    </row>
    <row r="13">
      <c r="A13" s="4" t="inlineStr">
        <is>
          <t>E012</t>
        </is>
      </c>
      <c r="B13" s="4" t="inlineStr">
        <is>
          <t>N003</t>
        </is>
      </c>
      <c r="C13" s="4" t="inlineStr">
        <is>
          <t>N022</t>
        </is>
      </c>
      <c r="D13" s="4" t="inlineStr">
        <is>
          <t>time</t>
        </is>
      </c>
      <c r="E13" s="4" t="inlineStr">
        <is>
          <t>forces</t>
        </is>
      </c>
      <c r="F13" s="4" t="n">
        <v>1</v>
      </c>
      <c r="G13" s="4" t="inlineStr">
        <is>
          <t>none</t>
        </is>
      </c>
      <c r="H13" s="4" t="inlineStr">
        <is>
          <t>partial</t>
        </is>
      </c>
      <c r="I13" s="4" t="inlineStr"/>
      <c r="J13" s="4" t="inlineStr">
        <is>
          <t>Circular — presupposes observers</t>
        </is>
      </c>
      <c r="K13" s="4" t="inlineStr">
        <is>
          <t>2026-03</t>
        </is>
      </c>
    </row>
    <row r="14">
      <c r="A14" s="3" t="inlineStr">
        <is>
          <t>E013</t>
        </is>
      </c>
      <c r="B14" s="3" t="inlineStr">
        <is>
          <t>N003</t>
        </is>
      </c>
      <c r="C14" s="3" t="inlineStr">
        <is>
          <t>N023</t>
        </is>
      </c>
      <c r="D14" s="3" t="inlineStr">
        <is>
          <t>time</t>
        </is>
      </c>
      <c r="E14" s="3" t="inlineStr">
        <is>
          <t>forces</t>
        </is>
      </c>
      <c r="F14" s="3" t="n">
        <v>1</v>
      </c>
      <c r="G14" s="3" t="inlineStr">
        <is>
          <t>none</t>
        </is>
      </c>
      <c r="H14" s="3" t="inlineStr">
        <is>
          <t>alive</t>
        </is>
      </c>
      <c r="I14" s="3" t="inlineStr"/>
      <c r="J14" s="3" t="inlineStr">
        <is>
          <t>Shannon 1948 — definitional</t>
        </is>
      </c>
      <c r="K14" s="3" t="inlineStr">
        <is>
          <t>2026-03</t>
        </is>
      </c>
    </row>
    <row r="15">
      <c r="A15" s="4" t="inlineStr">
        <is>
          <t>E014</t>
        </is>
      </c>
      <c r="B15" s="4" t="inlineStr">
        <is>
          <t>N003</t>
        </is>
      </c>
      <c r="C15" s="4" t="inlineStr">
        <is>
          <t>N024</t>
        </is>
      </c>
      <c r="D15" s="4" t="inlineStr">
        <is>
          <t>time</t>
        </is>
      </c>
      <c r="E15" s="4" t="inlineStr">
        <is>
          <t>forces</t>
        </is>
      </c>
      <c r="F15" s="4" t="n">
        <v>1</v>
      </c>
      <c r="G15" s="4" t="inlineStr">
        <is>
          <t>logical_incoherence</t>
        </is>
      </c>
      <c r="H15" s="4" t="inlineStr">
        <is>
          <t>dead</t>
        </is>
      </c>
      <c r="I15" s="4" t="inlineStr"/>
      <c r="J15" s="4" t="inlineStr">
        <is>
          <t>Collapses to no-distinction or Q2-C</t>
        </is>
      </c>
      <c r="K15" s="4" t="inlineStr">
        <is>
          <t>2026-03</t>
        </is>
      </c>
    </row>
    <row r="16">
      <c r="A16" s="3" t="inlineStr">
        <is>
          <t>E015</t>
        </is>
      </c>
      <c r="B16" s="3" t="inlineStr">
        <is>
          <t>N003</t>
        </is>
      </c>
      <c r="C16" s="3" t="inlineStr">
        <is>
          <t>N025</t>
        </is>
      </c>
      <c r="D16" s="3" t="inlineStr">
        <is>
          <t>time</t>
        </is>
      </c>
      <c r="E16" s="3" t="inlineStr">
        <is>
          <t>forces</t>
        </is>
      </c>
      <c r="F16" s="3" t="n">
        <v>1</v>
      </c>
      <c r="G16" s="3" t="inlineStr">
        <is>
          <t>none</t>
        </is>
      </c>
      <c r="H16" s="3" t="inlineStr">
        <is>
          <t>partial</t>
        </is>
      </c>
      <c r="I16" s="3" t="inlineStr"/>
      <c r="J16" s="3" t="inlineStr">
        <is>
          <t>Variant of Q2-C</t>
        </is>
      </c>
      <c r="K16" s="3" t="inlineStr">
        <is>
          <t>2026-03</t>
        </is>
      </c>
    </row>
    <row r="17">
      <c r="A17" s="4" t="inlineStr">
        <is>
          <t>E016</t>
        </is>
      </c>
      <c r="B17" s="4" t="inlineStr">
        <is>
          <t>N003</t>
        </is>
      </c>
      <c r="C17" s="4" t="inlineStr">
        <is>
          <t>N026</t>
        </is>
      </c>
      <c r="D17" s="4" t="inlineStr">
        <is>
          <t>time</t>
        </is>
      </c>
      <c r="E17" s="4" t="inlineStr">
        <is>
          <t>forces</t>
        </is>
      </c>
      <c r="F17" s="4" t="n">
        <v>1</v>
      </c>
      <c r="G17" s="4" t="inlineStr">
        <is>
          <t>none</t>
        </is>
      </c>
      <c r="H17" s="4" t="inlineStr">
        <is>
          <t>partial</t>
        </is>
      </c>
      <c r="I17" s="4" t="inlineStr"/>
      <c r="J17" s="4" t="inlineStr">
        <is>
          <t>GPT Fix #1 — collapses</t>
        </is>
      </c>
      <c r="K17" s="4" t="inlineStr">
        <is>
          <t>2026-03</t>
        </is>
      </c>
    </row>
    <row r="18">
      <c r="A18" s="3" t="inlineStr">
        <is>
          <t>E017</t>
        </is>
      </c>
      <c r="B18" s="3" t="inlineStr">
        <is>
          <t>N025</t>
        </is>
      </c>
      <c r="C18" s="3" t="inlineStr">
        <is>
          <t>N023</t>
        </is>
      </c>
      <c r="D18" s="3" t="inlineStr">
        <is>
          <t>evidence</t>
        </is>
      </c>
      <c r="E18" s="3" t="inlineStr">
        <is>
          <t>collapses_to</t>
        </is>
      </c>
      <c r="F18" s="3" t="n">
        <v>0.8</v>
      </c>
      <c r="G18" s="3" t="inlineStr">
        <is>
          <t>none</t>
        </is>
      </c>
      <c r="H18" s="3" t="inlineStr">
        <is>
          <t>alive</t>
        </is>
      </c>
      <c r="I18" s="3" t="inlineStr"/>
      <c r="J18" s="3" t="inlineStr">
        <is>
          <t>Math relations ARE info structures</t>
        </is>
      </c>
      <c r="K18" s="3" t="inlineStr">
        <is>
          <t>2026-03</t>
        </is>
      </c>
    </row>
    <row r="19">
      <c r="A19" s="4" t="inlineStr">
        <is>
          <t>E018</t>
        </is>
      </c>
      <c r="B19" s="4" t="inlineStr">
        <is>
          <t>N026</t>
        </is>
      </c>
      <c r="C19" s="4" t="inlineStr">
        <is>
          <t>N023</t>
        </is>
      </c>
      <c r="D19" s="4" t="inlineStr">
        <is>
          <t>evidence</t>
        </is>
      </c>
      <c r="E19" s="4" t="inlineStr">
        <is>
          <t>collapses_to</t>
        </is>
      </c>
      <c r="F19" s="4" t="n">
        <v>0.8</v>
      </c>
      <c r="G19" s="4" t="inlineStr">
        <is>
          <t>none</t>
        </is>
      </c>
      <c r="H19" s="4" t="inlineStr">
        <is>
          <t>alive</t>
        </is>
      </c>
      <c r="I19" s="4" t="inlineStr"/>
      <c r="J19" s="4" t="inlineStr">
        <is>
          <t>Relations without content → Q2-D or Q2-C</t>
        </is>
      </c>
      <c r="K19" s="4" t="inlineStr">
        <is>
          <t>2026-03</t>
        </is>
      </c>
    </row>
    <row r="20">
      <c r="A20" s="3" t="inlineStr">
        <is>
          <t>E019</t>
        </is>
      </c>
      <c r="B20" s="3" t="inlineStr">
        <is>
          <t>N023</t>
        </is>
      </c>
      <c r="C20" s="3" t="inlineStr">
        <is>
          <t>N004</t>
        </is>
      </c>
      <c r="D20" s="3" t="inlineStr">
        <is>
          <t>time</t>
        </is>
      </c>
      <c r="E20" s="3" t="inlineStr">
        <is>
          <t>forces</t>
        </is>
      </c>
      <c r="F20" s="3" t="n">
        <v>1</v>
      </c>
      <c r="G20" s="3" t="inlineStr">
        <is>
          <t>none</t>
        </is>
      </c>
      <c r="H20" s="3" t="inlineStr">
        <is>
          <t>alive</t>
        </is>
      </c>
      <c r="I20" s="3" t="inlineStr"/>
      <c r="J20" s="3" t="inlineStr">
        <is>
          <t>Info primacy forces structure question</t>
        </is>
      </c>
      <c r="K20" s="3" t="inlineStr">
        <is>
          <t>2026-03</t>
        </is>
      </c>
    </row>
    <row r="21">
      <c r="A21" s="4" t="inlineStr">
        <is>
          <t>E020</t>
        </is>
      </c>
      <c r="B21" s="4" t="inlineStr">
        <is>
          <t>N004</t>
        </is>
      </c>
      <c r="C21" s="4" t="inlineStr">
        <is>
          <t>N027</t>
        </is>
      </c>
      <c r="D21" s="4" t="inlineStr">
        <is>
          <t>time</t>
        </is>
      </c>
      <c r="E21" s="4" t="inlineStr">
        <is>
          <t>forces</t>
        </is>
      </c>
      <c r="F21" s="4" t="n">
        <v>1</v>
      </c>
      <c r="G21" s="4" t="inlineStr">
        <is>
          <t>empirical_contradiction</t>
        </is>
      </c>
      <c r="H21" s="4" t="inlineStr">
        <is>
          <t>dead</t>
        </is>
      </c>
      <c r="I21" s="4" t="inlineStr"/>
      <c r="J21" s="4" t="inlineStr">
        <is>
          <t>Reality has laws — contradicts randomness</t>
        </is>
      </c>
      <c r="K21" s="4" t="inlineStr">
        <is>
          <t>2026-03</t>
        </is>
      </c>
    </row>
    <row r="22">
      <c r="A22" s="3" t="inlineStr">
        <is>
          <t>E021</t>
        </is>
      </c>
      <c r="B22" s="3" t="inlineStr">
        <is>
          <t>N004</t>
        </is>
      </c>
      <c r="C22" s="3" t="inlineStr">
        <is>
          <t>N028</t>
        </is>
      </c>
      <c r="D22" s="3" t="inlineStr">
        <is>
          <t>time</t>
        </is>
      </c>
      <c r="E22" s="3" t="inlineStr">
        <is>
          <t>forces</t>
        </is>
      </c>
      <c r="F22" s="3" t="n">
        <v>1</v>
      </c>
      <c r="G22" s="3" t="inlineStr">
        <is>
          <t>none</t>
        </is>
      </c>
      <c r="H22" s="3" t="inlineStr">
        <is>
          <t>alive</t>
        </is>
      </c>
      <c r="I22" s="3" t="inlineStr"/>
      <c r="J22" s="3" t="inlineStr">
        <is>
          <t>Both systems agree</t>
        </is>
      </c>
      <c r="K22" s="3" t="inlineStr">
        <is>
          <t>2026-03</t>
        </is>
      </c>
    </row>
    <row r="23">
      <c r="A23" s="4" t="inlineStr">
        <is>
          <t>E022</t>
        </is>
      </c>
      <c r="B23" s="4" t="inlineStr">
        <is>
          <t>N004</t>
        </is>
      </c>
      <c r="C23" s="4" t="inlineStr">
        <is>
          <t>N029</t>
        </is>
      </c>
      <c r="D23" s="4" t="inlineStr">
        <is>
          <t>time</t>
        </is>
      </c>
      <c r="E23" s="4" t="inlineStr">
        <is>
          <t>forces</t>
        </is>
      </c>
      <c r="F23" s="4" t="n">
        <v>1</v>
      </c>
      <c r="G23" s="4" t="inlineStr">
        <is>
          <t>none</t>
        </is>
      </c>
      <c r="H23" s="4" t="inlineStr">
        <is>
          <t>partial</t>
        </is>
      </c>
      <c r="I23" s="4" t="inlineStr"/>
      <c r="J23" s="4" t="inlineStr">
        <is>
          <t>Deferred — presupposes observer</t>
        </is>
      </c>
      <c r="K23" s="4" t="inlineStr">
        <is>
          <t>2026-03</t>
        </is>
      </c>
    </row>
    <row r="24">
      <c r="A24" s="3" t="inlineStr">
        <is>
          <t>E023</t>
        </is>
      </c>
      <c r="B24" s="3" t="inlineStr">
        <is>
          <t>N028</t>
        </is>
      </c>
      <c r="C24" s="3" t="inlineStr">
        <is>
          <t>N005</t>
        </is>
      </c>
      <c r="D24" s="3" t="inlineStr">
        <is>
          <t>time</t>
        </is>
      </c>
      <c r="E24" s="3" t="inlineStr">
        <is>
          <t>forces</t>
        </is>
      </c>
      <c r="F24" s="3" t="n">
        <v>1</v>
      </c>
      <c r="G24" s="3" t="inlineStr">
        <is>
          <t>none</t>
        </is>
      </c>
      <c r="H24" s="3" t="inlineStr">
        <is>
          <t>alive</t>
        </is>
      </c>
      <c r="I24" s="3" t="inlineStr"/>
      <c r="J24" s="3" t="inlineStr">
        <is>
          <t>Structure forces grounding question</t>
        </is>
      </c>
      <c r="K24" s="3" t="inlineStr">
        <is>
          <t>2026-03</t>
        </is>
      </c>
    </row>
    <row r="25">
      <c r="A25" s="4" t="inlineStr">
        <is>
          <t>E024</t>
        </is>
      </c>
      <c r="B25" s="4" t="inlineStr">
        <is>
          <t>N005</t>
        </is>
      </c>
      <c r="C25" s="4" t="inlineStr">
        <is>
          <t>N030</t>
        </is>
      </c>
      <c r="D25" s="4" t="inlineStr">
        <is>
          <t>time</t>
        </is>
      </c>
      <c r="E25" s="4" t="inlineStr">
        <is>
          <t>forces</t>
        </is>
      </c>
      <c r="F25" s="4" t="n">
        <v>1</v>
      </c>
      <c r="G25" s="4" t="inlineStr">
        <is>
          <t>explanatory_terminal</t>
        </is>
      </c>
      <c r="H25" s="4" t="inlineStr">
        <is>
          <t>partial</t>
        </is>
      </c>
      <c r="I25" s="4" t="inlineStr"/>
      <c r="J25" s="4" t="inlineStr">
        <is>
          <t>Secular physics lives here — honest stop</t>
        </is>
      </c>
      <c r="K25" s="4" t="inlineStr">
        <is>
          <t>2026-03</t>
        </is>
      </c>
    </row>
    <row r="26">
      <c r="A26" s="3" t="inlineStr">
        <is>
          <t>E025</t>
        </is>
      </c>
      <c r="B26" s="3" t="inlineStr">
        <is>
          <t>N005</t>
        </is>
      </c>
      <c r="C26" s="3" t="inlineStr">
        <is>
          <t>N031</t>
        </is>
      </c>
      <c r="D26" s="3" t="inlineStr">
        <is>
          <t>time</t>
        </is>
      </c>
      <c r="E26" s="3" t="inlineStr">
        <is>
          <t>forces</t>
        </is>
      </c>
      <c r="F26" s="3" t="n">
        <v>1</v>
      </c>
      <c r="G26" s="3" t="inlineStr">
        <is>
          <t>infinite_regress</t>
        </is>
      </c>
      <c r="H26" s="3" t="inlineStr">
        <is>
          <t>dead</t>
        </is>
      </c>
      <c r="I26" s="3" t="inlineStr"/>
      <c r="J26" s="3" t="inlineStr">
        <is>
          <t>Never terminates</t>
        </is>
      </c>
      <c r="K26" s="3" t="inlineStr">
        <is>
          <t>2026-03</t>
        </is>
      </c>
    </row>
    <row r="27">
      <c r="A27" s="4" t="inlineStr">
        <is>
          <t>E026</t>
        </is>
      </c>
      <c r="B27" s="4" t="inlineStr">
        <is>
          <t>N005</t>
        </is>
      </c>
      <c r="C27" s="4" t="inlineStr">
        <is>
          <t>N032</t>
        </is>
      </c>
      <c r="D27" s="4" t="inlineStr">
        <is>
          <t>time</t>
        </is>
      </c>
      <c r="E27" s="4" t="inlineStr">
        <is>
          <t>forces</t>
        </is>
      </c>
      <c r="F27" s="4" t="n">
        <v>1</v>
      </c>
      <c r="G27" s="4" t="inlineStr">
        <is>
          <t>none</t>
        </is>
      </c>
      <c r="H27" s="4" t="inlineStr">
        <is>
          <t>alive</t>
        </is>
      </c>
      <c r="I27" s="4" t="inlineStr"/>
      <c r="J27" s="4" t="inlineStr">
        <is>
          <t>Self-grounding — why and what identical</t>
        </is>
      </c>
      <c r="K27" s="4" t="inlineStr">
        <is>
          <t>2026-03</t>
        </is>
      </c>
    </row>
    <row r="28">
      <c r="A28" s="3" t="inlineStr">
        <is>
          <t>E027</t>
        </is>
      </c>
      <c r="B28" s="3" t="inlineStr">
        <is>
          <t>N005</t>
        </is>
      </c>
      <c r="C28" s="3" t="inlineStr">
        <is>
          <t>N033</t>
        </is>
      </c>
      <c r="D28" s="3" t="inlineStr">
        <is>
          <t>time</t>
        </is>
      </c>
      <c r="E28" s="3" t="inlineStr">
        <is>
          <t>forces</t>
        </is>
      </c>
      <c r="F28" s="3" t="n">
        <v>1</v>
      </c>
      <c r="G28" s="3" t="inlineStr">
        <is>
          <t>none</t>
        </is>
      </c>
      <c r="H28" s="3" t="inlineStr">
        <is>
          <t>partial</t>
        </is>
      </c>
      <c r="I28" s="3" t="inlineStr"/>
      <c r="J28" s="3" t="inlineStr">
        <is>
          <t>Unfalsifiable + regress</t>
        </is>
      </c>
      <c r="K28" s="3" t="inlineStr">
        <is>
          <t>2026-03</t>
        </is>
      </c>
    </row>
    <row r="29">
      <c r="A29" s="4" t="inlineStr">
        <is>
          <t>E028</t>
        </is>
      </c>
      <c r="B29" s="4" t="inlineStr">
        <is>
          <t>N005</t>
        </is>
      </c>
      <c r="C29" s="4" t="inlineStr">
        <is>
          <t>N034</t>
        </is>
      </c>
      <c r="D29" s="4" t="inlineStr">
        <is>
          <t>time</t>
        </is>
      </c>
      <c r="E29" s="4" t="inlineStr">
        <is>
          <t>forces</t>
        </is>
      </c>
      <c r="F29" s="4" t="n">
        <v>1</v>
      </c>
      <c r="G29" s="4" t="inlineStr">
        <is>
          <t>none</t>
        </is>
      </c>
      <c r="H29" s="4" t="inlineStr">
        <is>
          <t>partial</t>
        </is>
      </c>
      <c r="I29" s="4" t="inlineStr"/>
      <c r="J29" s="4" t="inlineStr">
        <is>
          <t>Collapses → Q4-A</t>
        </is>
      </c>
      <c r="K29" s="4" t="inlineStr">
        <is>
          <t>2026-03</t>
        </is>
      </c>
    </row>
    <row r="30">
      <c r="A30" s="3" t="inlineStr">
        <is>
          <t>E029</t>
        </is>
      </c>
      <c r="B30" s="3" t="inlineStr">
        <is>
          <t>N034</t>
        </is>
      </c>
      <c r="C30" s="3" t="inlineStr">
        <is>
          <t>N030</t>
        </is>
      </c>
      <c r="D30" s="3" t="inlineStr">
        <is>
          <t>evidence</t>
        </is>
      </c>
      <c r="E30" s="3" t="inlineStr">
        <is>
          <t>collapses_to</t>
        </is>
      </c>
      <c r="F30" s="3" t="n">
        <v>0.9</v>
      </c>
      <c r="G30" s="3" t="inlineStr">
        <is>
          <t>none</t>
        </is>
      </c>
      <c r="H30" s="3" t="inlineStr">
        <is>
          <t>alive</t>
        </is>
      </c>
      <c r="I30" s="3" t="inlineStr"/>
      <c r="J30" s="3" t="inlineStr">
        <is>
          <t>No-answer IS brute fact</t>
        </is>
      </c>
      <c r="K30" s="3" t="inlineStr">
        <is>
          <t>2026-03</t>
        </is>
      </c>
    </row>
    <row r="31">
      <c r="A31" s="4" t="inlineStr">
        <is>
          <t>E030</t>
        </is>
      </c>
      <c r="B31" s="4" t="inlineStr">
        <is>
          <t>N032</t>
        </is>
      </c>
      <c r="C31" s="4" t="inlineStr">
        <is>
          <t>N006</t>
        </is>
      </c>
      <c r="D31" s="4" t="inlineStr">
        <is>
          <t>time</t>
        </is>
      </c>
      <c r="E31" s="4" t="inlineStr">
        <is>
          <t>forces</t>
        </is>
      </c>
      <c r="F31" s="4" t="n">
        <v>1</v>
      </c>
      <c r="G31" s="4" t="inlineStr">
        <is>
          <t>none</t>
        </is>
      </c>
      <c r="H31" s="4" t="inlineStr">
        <is>
          <t>alive</t>
        </is>
      </c>
      <c r="I31" s="4" t="inlineStr"/>
      <c r="J31" s="4" t="inlineStr">
        <is>
          <t>Self-grounding forces property derivation</t>
        </is>
      </c>
      <c r="K31" s="4" t="inlineStr">
        <is>
          <t>2026-03</t>
        </is>
      </c>
    </row>
    <row r="32">
      <c r="A32" s="3" t="inlineStr">
        <is>
          <t>E031</t>
        </is>
      </c>
      <c r="B32" s="3" t="inlineStr">
        <is>
          <t>N006</t>
        </is>
      </c>
      <c r="C32" s="3" t="inlineStr">
        <is>
          <t>N007</t>
        </is>
      </c>
      <c r="D32" s="3" t="inlineStr">
        <is>
          <t>time</t>
        </is>
      </c>
      <c r="E32" s="3" t="inlineStr">
        <is>
          <t>forces</t>
        </is>
      </c>
      <c r="F32" s="3" t="n">
        <v>1</v>
      </c>
      <c r="G32" s="3" t="inlineStr">
        <is>
          <t>none</t>
        </is>
      </c>
      <c r="H32" s="3" t="inlineStr">
        <is>
          <t>alive</t>
        </is>
      </c>
      <c r="I32" s="3" t="inlineStr"/>
      <c r="J32" s="3" t="inlineStr">
        <is>
          <t>Properties force actualization question</t>
        </is>
      </c>
      <c r="K32" s="3" t="inlineStr">
        <is>
          <t>2026-03</t>
        </is>
      </c>
    </row>
    <row r="33">
      <c r="A33" s="4" t="inlineStr">
        <is>
          <t>E032</t>
        </is>
      </c>
      <c r="B33" s="4" t="inlineStr">
        <is>
          <t>N007</t>
        </is>
      </c>
      <c r="C33" s="4" t="inlineStr">
        <is>
          <t>N035</t>
        </is>
      </c>
      <c r="D33" s="4" t="inlineStr">
        <is>
          <t>time</t>
        </is>
      </c>
      <c r="E33" s="4" t="inlineStr">
        <is>
          <t>forces</t>
        </is>
      </c>
      <c r="F33" s="4" t="n">
        <v>1</v>
      </c>
      <c r="G33" s="4" t="inlineStr">
        <is>
          <t>empirical_contradiction</t>
        </is>
      </c>
      <c r="H33" s="4" t="inlineStr">
        <is>
          <t>partial</t>
        </is>
      </c>
      <c r="I33" s="4" t="inlineStr"/>
      <c r="J33" s="4" t="inlineStr">
        <is>
          <t>Contradicts QM superposition</t>
        </is>
      </c>
      <c r="K33" s="4" t="inlineStr">
        <is>
          <t>2026-03</t>
        </is>
      </c>
    </row>
    <row r="34">
      <c r="A34" s="3" t="inlineStr">
        <is>
          <t>E033</t>
        </is>
      </c>
      <c r="B34" s="3" t="inlineStr">
        <is>
          <t>N007</t>
        </is>
      </c>
      <c r="C34" s="3" t="inlineStr">
        <is>
          <t>N036</t>
        </is>
      </c>
      <c r="D34" s="3" t="inlineStr">
        <is>
          <t>time</t>
        </is>
      </c>
      <c r="E34" s="3" t="inlineStr">
        <is>
          <t>forces</t>
        </is>
      </c>
      <c r="F34" s="3" t="n">
        <v>1</v>
      </c>
      <c r="G34" s="3" t="inlineStr">
        <is>
          <t>none</t>
        </is>
      </c>
      <c r="H34" s="3" t="inlineStr">
        <is>
          <t>alive</t>
        </is>
      </c>
      <c r="I34" s="3" t="inlineStr"/>
      <c r="J34" s="3" t="inlineStr">
        <is>
          <t>Wheeler delayed-choice, Born rule</t>
        </is>
      </c>
      <c r="K34" s="3" t="inlineStr">
        <is>
          <t>2026-03</t>
        </is>
      </c>
    </row>
    <row r="35">
      <c r="A35" s="4" t="inlineStr">
        <is>
          <t>E034</t>
        </is>
      </c>
      <c r="B35" s="4" t="inlineStr">
        <is>
          <t>N007</t>
        </is>
      </c>
      <c r="C35" s="4" t="inlineStr">
        <is>
          <t>N037</t>
        </is>
      </c>
      <c r="D35" s="4" t="inlineStr">
        <is>
          <t>time</t>
        </is>
      </c>
      <c r="E35" s="4" t="inlineStr">
        <is>
          <t>forces</t>
        </is>
      </c>
      <c r="F35" s="4" t="n">
        <v>1</v>
      </c>
      <c r="G35" s="4" t="inlineStr">
        <is>
          <t>none</t>
        </is>
      </c>
      <c r="H35" s="4" t="inlineStr">
        <is>
          <t>partial</t>
        </is>
      </c>
      <c r="I35" s="4" t="inlineStr"/>
      <c r="J35" s="4" t="inlineStr">
        <is>
          <t>Incomplete — Wigner's Friend</t>
        </is>
      </c>
      <c r="K35" s="4" t="inlineStr">
        <is>
          <t>2026-03</t>
        </is>
      </c>
    </row>
    <row r="36">
      <c r="A36" s="3" t="inlineStr">
        <is>
          <t>E035</t>
        </is>
      </c>
      <c r="B36" s="3" t="inlineStr">
        <is>
          <t>N007</t>
        </is>
      </c>
      <c r="C36" s="3" t="inlineStr">
        <is>
          <t>N038</t>
        </is>
      </c>
      <c r="D36" s="3" t="inlineStr">
        <is>
          <t>time</t>
        </is>
      </c>
      <c r="E36" s="3" t="inlineStr">
        <is>
          <t>forces</t>
        </is>
      </c>
      <c r="F36" s="3" t="n">
        <v>1</v>
      </c>
      <c r="G36" s="3" t="inlineStr">
        <is>
          <t>empirical_contradiction</t>
        </is>
      </c>
      <c r="H36" s="3" t="inlineStr">
        <is>
          <t>dead</t>
        </is>
      </c>
      <c r="I36" s="3" t="inlineStr"/>
      <c r="J36" s="3" t="inlineStr">
        <is>
          <t>Superposition experimentally verified</t>
        </is>
      </c>
      <c r="K36" s="3" t="inlineStr">
        <is>
          <t>2026-03</t>
        </is>
      </c>
    </row>
    <row r="37">
      <c r="A37" s="4" t="inlineStr">
        <is>
          <t>E036</t>
        </is>
      </c>
      <c r="B37" s="4" t="inlineStr">
        <is>
          <t>N036</t>
        </is>
      </c>
      <c r="C37" s="4" t="inlineStr">
        <is>
          <t>N008</t>
        </is>
      </c>
      <c r="D37" s="4" t="inlineStr">
        <is>
          <t>time</t>
        </is>
      </c>
      <c r="E37" s="4" t="inlineStr">
        <is>
          <t>forces</t>
        </is>
      </c>
      <c r="F37" s="4" t="n">
        <v>1</v>
      </c>
      <c r="G37" s="4" t="inlineStr">
        <is>
          <t>none</t>
        </is>
      </c>
      <c r="H37" s="4" t="inlineStr">
        <is>
          <t>alive</t>
        </is>
      </c>
      <c r="I37" s="4" t="inlineStr"/>
      <c r="J37" s="4" t="inlineStr">
        <is>
          <t>Observer forces termination question</t>
        </is>
      </c>
      <c r="K37" s="4" t="inlineStr">
        <is>
          <t>2026-03</t>
        </is>
      </c>
    </row>
    <row r="38">
      <c r="A38" s="3" t="inlineStr">
        <is>
          <t>E037</t>
        </is>
      </c>
      <c r="B38" s="3" t="inlineStr">
        <is>
          <t>N008</t>
        </is>
      </c>
      <c r="C38" s="3" t="inlineStr">
        <is>
          <t>N039</t>
        </is>
      </c>
      <c r="D38" s="3" t="inlineStr">
        <is>
          <t>time</t>
        </is>
      </c>
      <c r="E38" s="3" t="inlineStr">
        <is>
          <t>forces</t>
        </is>
      </c>
      <c r="F38" s="3" t="n">
        <v>1</v>
      </c>
      <c r="G38" s="3" t="inlineStr">
        <is>
          <t>infinite_regress</t>
        </is>
      </c>
      <c r="H38" s="3" t="inlineStr">
        <is>
          <t>dead</t>
        </is>
      </c>
      <c r="I38" s="3" t="inlineStr"/>
      <c r="J38" s="3" t="inlineStr">
        <is>
          <t>Same as Q4-B structure</t>
        </is>
      </c>
      <c r="K38" s="3" t="inlineStr">
        <is>
          <t>2026-03</t>
        </is>
      </c>
    </row>
    <row r="39">
      <c r="A39" s="4" t="inlineStr">
        <is>
          <t>E038</t>
        </is>
      </c>
      <c r="B39" s="4" t="inlineStr">
        <is>
          <t>N008</t>
        </is>
      </c>
      <c r="C39" s="4" t="inlineStr">
        <is>
          <t>N040</t>
        </is>
      </c>
      <c r="D39" s="4" t="inlineStr">
        <is>
          <t>time</t>
        </is>
      </c>
      <c r="E39" s="4" t="inlineStr">
        <is>
          <t>forces</t>
        </is>
      </c>
      <c r="F39" s="4" t="n">
        <v>1</v>
      </c>
      <c r="G39" s="4" t="inlineStr">
        <is>
          <t>none</t>
        </is>
      </c>
      <c r="H39" s="4" t="inlineStr">
        <is>
          <t>alive</t>
        </is>
      </c>
      <c r="I39" s="4" t="inlineStr"/>
      <c r="J39" s="4" t="inlineStr">
        <is>
          <t>Derived: always actual, self-grounding, Φ=∞</t>
        </is>
      </c>
      <c r="K39" s="4" t="inlineStr">
        <is>
          <t>2026-03</t>
        </is>
      </c>
    </row>
    <row r="40">
      <c r="A40" s="3" t="inlineStr">
        <is>
          <t>E039</t>
        </is>
      </c>
      <c r="B40" s="3" t="inlineStr">
        <is>
          <t>N008</t>
        </is>
      </c>
      <c r="C40" s="3" t="inlineStr">
        <is>
          <t>N041</t>
        </is>
      </c>
      <c r="D40" s="3" t="inlineStr">
        <is>
          <t>time</t>
        </is>
      </c>
      <c r="E40" s="3" t="inlineStr">
        <is>
          <t>forces</t>
        </is>
      </c>
      <c r="F40" s="3" t="n">
        <v>1</v>
      </c>
      <c r="G40" s="3" t="inlineStr">
        <is>
          <t>none</t>
        </is>
      </c>
      <c r="H40" s="3" t="inlineStr">
        <is>
          <t>partial</t>
        </is>
      </c>
      <c r="I40" s="3" t="inlineStr"/>
      <c r="J40" s="3" t="inlineStr">
        <is>
          <t>No bootstrap → routes to Q7-B</t>
        </is>
      </c>
      <c r="K40" s="3" t="inlineStr">
        <is>
          <t>2026-03</t>
        </is>
      </c>
    </row>
    <row r="41">
      <c r="A41" s="4" t="inlineStr">
        <is>
          <t>E040</t>
        </is>
      </c>
      <c r="B41" s="4" t="inlineStr">
        <is>
          <t>N008</t>
        </is>
      </c>
      <c r="C41" s="4" t="inlineStr">
        <is>
          <t>N042</t>
        </is>
      </c>
      <c r="D41" s="4" t="inlineStr">
        <is>
          <t>time</t>
        </is>
      </c>
      <c r="E41" s="4" t="inlineStr">
        <is>
          <t>forces</t>
        </is>
      </c>
      <c r="F41" s="4" t="n">
        <v>1</v>
      </c>
      <c r="G41" s="4" t="inlineStr">
        <is>
          <t>none</t>
        </is>
      </c>
      <c r="H41" s="4" t="inlineStr">
        <is>
          <t>partial</t>
        </is>
      </c>
      <c r="I41" s="4" t="inlineStr"/>
      <c r="J41" s="4" t="inlineStr">
        <is>
          <t>Avoids measurement problem</t>
        </is>
      </c>
      <c r="K41" s="4" t="inlineStr">
        <is>
          <t>2026-03</t>
        </is>
      </c>
    </row>
    <row r="42">
      <c r="A42" s="3" t="inlineStr">
        <is>
          <t>E041</t>
        </is>
      </c>
      <c r="B42" s="3" t="inlineStr">
        <is>
          <t>N041</t>
        </is>
      </c>
      <c r="C42" s="3" t="inlineStr">
        <is>
          <t>N040</t>
        </is>
      </c>
      <c r="D42" s="3" t="inlineStr">
        <is>
          <t>evidence</t>
        </is>
      </c>
      <c r="E42" s="3" t="inlineStr">
        <is>
          <t>collapses_to</t>
        </is>
      </c>
      <c r="F42" s="3" t="n">
        <v>0.7</v>
      </c>
      <c r="G42" s="3" t="inlineStr">
        <is>
          <t>none</t>
        </is>
      </c>
      <c r="H42" s="3" t="inlineStr">
        <is>
          <t>alive</t>
        </is>
      </c>
      <c r="I42" s="3" t="inlineStr"/>
      <c r="J42" s="3" t="inlineStr">
        <is>
          <t>If always running → self-grounding</t>
        </is>
      </c>
      <c r="K42" s="3" t="inlineStr">
        <is>
          <t>2026-03</t>
        </is>
      </c>
    </row>
    <row r="43">
      <c r="A43" s="4" t="inlineStr">
        <is>
          <t>E042</t>
        </is>
      </c>
      <c r="B43" s="4" t="inlineStr">
        <is>
          <t>N040</t>
        </is>
      </c>
      <c r="C43" s="4" t="inlineStr">
        <is>
          <t>N009</t>
        </is>
      </c>
      <c r="D43" s="4" t="inlineStr">
        <is>
          <t>time</t>
        </is>
      </c>
      <c r="E43" s="4" t="inlineStr">
        <is>
          <t>forces</t>
        </is>
      </c>
      <c r="F43" s="4" t="n">
        <v>1</v>
      </c>
      <c r="G43" s="4" t="inlineStr">
        <is>
          <t>none</t>
        </is>
      </c>
      <c r="H43" s="4" t="inlineStr">
        <is>
          <t>alive</t>
        </is>
      </c>
      <c r="I43" s="4" t="inlineStr"/>
      <c r="J43" s="4" t="inlineStr">
        <is>
          <t>Terminal observer forces BCs</t>
        </is>
      </c>
      <c r="K43" s="4" t="inlineStr">
        <is>
          <t>2026-03</t>
        </is>
      </c>
    </row>
    <row r="44">
      <c r="A44" s="3" t="inlineStr">
        <is>
          <t>E043</t>
        </is>
      </c>
      <c r="B44" s="3" t="inlineStr">
        <is>
          <t>N009</t>
        </is>
      </c>
      <c r="C44" s="3" t="inlineStr">
        <is>
          <t>N010</t>
        </is>
      </c>
      <c r="D44" s="3" t="inlineStr">
        <is>
          <t>time</t>
        </is>
      </c>
      <c r="E44" s="3" t="inlineStr">
        <is>
          <t>forces</t>
        </is>
      </c>
      <c r="F44" s="3" t="n">
        <v>1</v>
      </c>
      <c r="G44" s="3" t="inlineStr">
        <is>
          <t>none</t>
        </is>
      </c>
      <c r="H44" s="3" t="inlineStr">
        <is>
          <t>alive</t>
        </is>
      </c>
      <c r="I44" s="3" t="inlineStr"/>
      <c r="J44" s="3" t="inlineStr">
        <is>
          <t>BCs force identification</t>
        </is>
      </c>
      <c r="K44" s="3" t="inlineStr">
        <is>
          <t>2026-03</t>
        </is>
      </c>
    </row>
    <row r="45">
      <c r="A45" s="4" t="inlineStr">
        <is>
          <t>E044</t>
        </is>
      </c>
      <c r="B45" s="4" t="inlineStr">
        <is>
          <t>N010</t>
        </is>
      </c>
      <c r="C45" s="4" t="inlineStr">
        <is>
          <t>N011</t>
        </is>
      </c>
      <c r="D45" s="4" t="inlineStr">
        <is>
          <t>time</t>
        </is>
      </c>
      <c r="E45" s="4" t="inlineStr">
        <is>
          <t>forces</t>
        </is>
      </c>
      <c r="F45" s="4" t="n">
        <v>1</v>
      </c>
      <c r="G45" s="4" t="inlineStr">
        <is>
          <t>none</t>
        </is>
      </c>
      <c r="H45" s="4" t="inlineStr">
        <is>
          <t>alive</t>
        </is>
      </c>
      <c r="I45" s="4" t="inlineStr"/>
      <c r="J45" s="4" t="inlineStr">
        <is>
          <t>Identification forces moral sign Q</t>
        </is>
      </c>
      <c r="K45" s="4" t="inlineStr">
        <is>
          <t>2026-03</t>
        </is>
      </c>
    </row>
    <row r="46">
      <c r="A46" s="3" t="inlineStr">
        <is>
          <t>E045</t>
        </is>
      </c>
      <c r="B46" s="3" t="inlineStr">
        <is>
          <t>N011</t>
        </is>
      </c>
      <c r="C46" s="3" t="inlineStr">
        <is>
          <t>N043</t>
        </is>
      </c>
      <c r="D46" s="3" t="inlineStr">
        <is>
          <t>time</t>
        </is>
      </c>
      <c r="E46" s="3" t="inlineStr">
        <is>
          <t>forces</t>
        </is>
      </c>
      <c r="F46" s="3" t="n">
        <v>1</v>
      </c>
      <c r="G46" s="3" t="inlineStr">
        <is>
          <t>logical_incoherence</t>
        </is>
      </c>
      <c r="H46" s="3" t="inlineStr">
        <is>
          <t>dead</t>
        </is>
      </c>
      <c r="I46" s="3" t="inlineStr"/>
      <c r="J46" s="3" t="inlineStr">
        <is>
          <t>Contradicts T3.1 — [σ,U]=0</t>
        </is>
      </c>
      <c r="K46" s="3" t="inlineStr">
        <is>
          <t>2026-03</t>
        </is>
      </c>
    </row>
    <row r="47">
      <c r="A47" s="4" t="inlineStr">
        <is>
          <t>E046</t>
        </is>
      </c>
      <c r="B47" s="4" t="inlineStr">
        <is>
          <t>N011</t>
        </is>
      </c>
      <c r="C47" s="4" t="inlineStr">
        <is>
          <t>N044</t>
        </is>
      </c>
      <c r="D47" s="4" t="inlineStr">
        <is>
          <t>time</t>
        </is>
      </c>
      <c r="E47" s="4" t="inlineStr">
        <is>
          <t>forces</t>
        </is>
      </c>
      <c r="F47" s="4" t="n">
        <v>1</v>
      </c>
      <c r="G47" s="4" t="inlineStr">
        <is>
          <t>none</t>
        </is>
      </c>
      <c r="H47" s="4" t="inlineStr">
        <is>
          <t>alive</t>
        </is>
      </c>
      <c r="I47" s="4" t="inlineStr"/>
      <c r="J47" s="4" t="inlineStr">
        <is>
          <t>Grace = non-unitary external operator</t>
        </is>
      </c>
      <c r="K47" s="4" t="inlineStr">
        <is>
          <t>2026-03</t>
        </is>
      </c>
    </row>
    <row r="48">
      <c r="A48" s="3" t="inlineStr">
        <is>
          <t>E047</t>
        </is>
      </c>
      <c r="B48" s="3" t="inlineStr">
        <is>
          <t>N011</t>
        </is>
      </c>
      <c r="C48" s="3" t="inlineStr">
        <is>
          <t>N045</t>
        </is>
      </c>
      <c r="D48" s="3" t="inlineStr">
        <is>
          <t>time</t>
        </is>
      </c>
      <c r="E48" s="3" t="inlineStr">
        <is>
          <t>forces</t>
        </is>
      </c>
      <c r="F48" s="3" t="n">
        <v>1</v>
      </c>
      <c r="G48" s="3" t="inlineStr">
        <is>
          <t>logical_incoherence</t>
        </is>
      </c>
      <c r="H48" s="3" t="inlineStr">
        <is>
          <t>dead</t>
        </is>
      </c>
      <c r="I48" s="3" t="inlineStr"/>
      <c r="J48" s="3" t="inlineStr">
        <is>
          <t>Contradicts Q1-B distinction</t>
        </is>
      </c>
      <c r="K48" s="3" t="inlineStr">
        <is>
          <t>2026-03</t>
        </is>
      </c>
    </row>
    <row r="49">
      <c r="A49" s="4" t="inlineStr">
        <is>
          <t>E048</t>
        </is>
      </c>
      <c r="B49" s="4" t="inlineStr">
        <is>
          <t>N044</t>
        </is>
      </c>
      <c r="C49" s="4" t="inlineStr">
        <is>
          <t>N012</t>
        </is>
      </c>
      <c r="D49" s="4" t="inlineStr">
        <is>
          <t>time</t>
        </is>
      </c>
      <c r="E49" s="4" t="inlineStr">
        <is>
          <t>forces</t>
        </is>
      </c>
      <c r="F49" s="4" t="n">
        <v>1</v>
      </c>
      <c r="G49" s="4" t="inlineStr">
        <is>
          <t>none</t>
        </is>
      </c>
      <c r="H49" s="4" t="inlineStr">
        <is>
          <t>alive</t>
        </is>
      </c>
      <c r="I49" s="4" t="inlineStr"/>
      <c r="J49" s="4" t="inlineStr">
        <is>
          <t>Grace forces destiny question</t>
        </is>
      </c>
      <c r="K49" s="4" t="inlineStr">
        <is>
          <t>2026-03</t>
        </is>
      </c>
    </row>
    <row r="50">
      <c r="A50" s="3" t="inlineStr">
        <is>
          <t>E049</t>
        </is>
      </c>
      <c r="B50" s="3" t="inlineStr">
        <is>
          <t>N012</t>
        </is>
      </c>
      <c r="C50" s="3" t="inlineStr">
        <is>
          <t>N046</t>
        </is>
      </c>
      <c r="D50" s="3" t="inlineStr">
        <is>
          <t>time</t>
        </is>
      </c>
      <c r="E50" s="3" t="inlineStr">
        <is>
          <t>forces</t>
        </is>
      </c>
      <c r="F50" s="3" t="n">
        <v>1</v>
      </c>
      <c r="G50" s="3" t="inlineStr">
        <is>
          <t>logical_incoherence</t>
        </is>
      </c>
      <c r="H50" s="3" t="inlineStr">
        <is>
          <t>dead</t>
        </is>
      </c>
      <c r="I50" s="3" t="inlineStr"/>
      <c r="J50" s="3" t="inlineStr">
        <is>
          <t>Sign meaningless if same end</t>
        </is>
      </c>
      <c r="K50" s="3" t="inlineStr">
        <is>
          <t>2026-03</t>
        </is>
      </c>
    </row>
    <row r="51">
      <c r="A51" s="4" t="inlineStr">
        <is>
          <t>E050</t>
        </is>
      </c>
      <c r="B51" s="4" t="inlineStr">
        <is>
          <t>N012</t>
        </is>
      </c>
      <c r="C51" s="4" t="inlineStr">
        <is>
          <t>N047</t>
        </is>
      </c>
      <c r="D51" s="4" t="inlineStr">
        <is>
          <t>time</t>
        </is>
      </c>
      <c r="E51" s="4" t="inlineStr">
        <is>
          <t>forces</t>
        </is>
      </c>
      <c r="F51" s="4" t="n">
        <v>1</v>
      </c>
      <c r="G51" s="4" t="inlineStr">
        <is>
          <t>none</t>
        </is>
      </c>
      <c r="H51" s="4" t="inlineStr">
        <is>
          <t>alive</t>
        </is>
      </c>
      <c r="I51" s="4" t="inlineStr"/>
      <c r="J51" s="4" t="inlineStr">
        <is>
          <t>dΦ/dt = σ·γ·(Φ_max - Φ)·Φ</t>
        </is>
      </c>
      <c r="K51" s="4" t="inlineStr">
        <is>
          <t>2026-03</t>
        </is>
      </c>
    </row>
    <row r="52">
      <c r="A52" s="3" t="inlineStr">
        <is>
          <t>E051</t>
        </is>
      </c>
      <c r="B52" s="3" t="inlineStr">
        <is>
          <t>N012</t>
        </is>
      </c>
      <c r="C52" s="3" t="inlineStr">
        <is>
          <t>N048</t>
        </is>
      </c>
      <c r="D52" s="3" t="inlineStr">
        <is>
          <t>time</t>
        </is>
      </c>
      <c r="E52" s="3" t="inlineStr">
        <is>
          <t>forces</t>
        </is>
      </c>
      <c r="F52" s="3" t="n">
        <v>1</v>
      </c>
      <c r="G52" s="3" t="inlineStr">
        <is>
          <t>none</t>
        </is>
      </c>
      <c r="H52" s="3" t="inlineStr">
        <is>
          <t>partial</t>
        </is>
      </c>
      <c r="I52" s="3" t="inlineStr"/>
      <c r="J52" s="3" t="inlineStr">
        <is>
          <t>Requires perpetual energy — where from?</t>
        </is>
      </c>
      <c r="K52" s="3" t="inlineStr">
        <is>
          <t>2026-03</t>
        </is>
      </c>
    </row>
    <row r="53">
      <c r="A53" s="4" t="inlineStr">
        <is>
          <t>E052</t>
        </is>
      </c>
      <c r="B53" s="4" t="inlineStr">
        <is>
          <t>N012</t>
        </is>
      </c>
      <c r="C53" s="4" t="inlineStr">
        <is>
          <t>N049</t>
        </is>
      </c>
      <c r="D53" s="4" t="inlineStr">
        <is>
          <t>time</t>
        </is>
      </c>
      <c r="E53" s="4" t="inlineStr">
        <is>
          <t>forces</t>
        </is>
      </c>
      <c r="F53" s="4" t="n">
        <v>1</v>
      </c>
      <c r="G53" s="4" t="inlineStr">
        <is>
          <t>logical_incoherence</t>
        </is>
      </c>
      <c r="H53" s="4" t="inlineStr">
        <is>
          <t>dead</t>
        </is>
      </c>
      <c r="I53" s="4" t="inlineStr"/>
      <c r="J53" s="4" t="inlineStr">
        <is>
          <t>Contradicts BC7 info conservation</t>
        </is>
      </c>
      <c r="K53" s="4" t="inlineStr">
        <is>
          <t>2026-03</t>
        </is>
      </c>
    </row>
    <row r="54">
      <c r="A54" s="3" t="inlineStr">
        <is>
          <t>E053</t>
        </is>
      </c>
      <c r="B54" s="3" t="inlineStr">
        <is>
          <t>N047</t>
        </is>
      </c>
      <c r="C54" s="3" t="inlineStr">
        <is>
          <t>N013</t>
        </is>
      </c>
      <c r="D54" s="3" t="inlineStr">
        <is>
          <t>time</t>
        </is>
      </c>
      <c r="E54" s="3" t="inlineStr">
        <is>
          <t>forces</t>
        </is>
      </c>
      <c r="F54" s="3" t="n">
        <v>1</v>
      </c>
      <c r="G54" s="3" t="inlineStr">
        <is>
          <t>none</t>
        </is>
      </c>
      <c r="H54" s="3" t="inlineStr">
        <is>
          <t>alive</t>
        </is>
      </c>
      <c r="I54" s="3" t="inlineStr"/>
      <c r="J54" s="3" t="inlineStr">
        <is>
          <t>Two attractors force uniqueness test</t>
        </is>
      </c>
      <c r="K54" s="3" t="inlineStr">
        <is>
          <t>2026-03</t>
        </is>
      </c>
    </row>
    <row r="55">
      <c r="A55" s="4" t="inlineStr">
        <is>
          <t>E100</t>
        </is>
      </c>
      <c r="B55" s="4" t="inlineStr">
        <is>
          <t>N050</t>
        </is>
      </c>
      <c r="C55" s="4" t="inlineStr">
        <is>
          <t>N015</t>
        </is>
      </c>
      <c r="D55" s="4" t="inlineStr">
        <is>
          <t>context</t>
        </is>
      </c>
      <c r="E55" s="4" t="inlineStr">
        <is>
          <t>maps_to</t>
        </is>
      </c>
      <c r="F55" s="4" t="n">
        <v>1</v>
      </c>
      <c r="G55" s="4" t="inlineStr">
        <is>
          <t>none</t>
        </is>
      </c>
      <c r="H55" s="4" t="inlineStr">
        <is>
          <t>alive</t>
        </is>
      </c>
      <c r="I55" s="4" t="inlineStr"/>
      <c r="J55" s="4" t="inlineStr">
        <is>
          <t>A1.1 IS Q0-B survivor</t>
        </is>
      </c>
      <c r="K55" s="4" t="inlineStr">
        <is>
          <t>2026-03</t>
        </is>
      </c>
    </row>
    <row r="56">
      <c r="A56" s="3" t="inlineStr">
        <is>
          <t>E101</t>
        </is>
      </c>
      <c r="B56" s="3" t="inlineStr">
        <is>
          <t>N051</t>
        </is>
      </c>
      <c r="C56" s="3" t="inlineStr">
        <is>
          <t>N019</t>
        </is>
      </c>
      <c r="D56" s="3" t="inlineStr">
        <is>
          <t>context</t>
        </is>
      </c>
      <c r="E56" s="3" t="inlineStr">
        <is>
          <t>maps_to</t>
        </is>
      </c>
      <c r="F56" s="3" t="n">
        <v>1</v>
      </c>
      <c r="G56" s="3" t="inlineStr">
        <is>
          <t>none</t>
        </is>
      </c>
      <c r="H56" s="3" t="inlineStr">
        <is>
          <t>alive</t>
        </is>
      </c>
      <c r="I56" s="3" t="inlineStr"/>
      <c r="J56" s="3" t="inlineStr">
        <is>
          <t>A1.2 IS Q1-B survivor</t>
        </is>
      </c>
      <c r="K56" s="3" t="inlineStr">
        <is>
          <t>2026-03</t>
        </is>
      </c>
    </row>
    <row r="57">
      <c r="A57" s="4" t="inlineStr">
        <is>
          <t>E102</t>
        </is>
      </c>
      <c r="B57" s="4" t="inlineStr">
        <is>
          <t>N052</t>
        </is>
      </c>
      <c r="C57" s="4" t="inlineStr">
        <is>
          <t>N023</t>
        </is>
      </c>
      <c r="D57" s="4" t="inlineStr">
        <is>
          <t>context</t>
        </is>
      </c>
      <c r="E57" s="4" t="inlineStr">
        <is>
          <t>maps_to</t>
        </is>
      </c>
      <c r="F57" s="4" t="n">
        <v>1</v>
      </c>
      <c r="G57" s="4" t="inlineStr">
        <is>
          <t>none</t>
        </is>
      </c>
      <c r="H57" s="4" t="inlineStr">
        <is>
          <t>alive</t>
        </is>
      </c>
      <c r="I57" s="4" t="inlineStr"/>
      <c r="J57" s="4" t="inlineStr">
        <is>
          <t>A1.3 IS Q2-C survivor</t>
        </is>
      </c>
      <c r="K57" s="4" t="inlineStr">
        <is>
          <t>2026-03</t>
        </is>
      </c>
    </row>
    <row r="58">
      <c r="A58" s="3" t="inlineStr">
        <is>
          <t>E103</t>
        </is>
      </c>
      <c r="B58" s="3" t="inlineStr">
        <is>
          <t>N053</t>
        </is>
      </c>
      <c r="C58" s="3" t="inlineStr">
        <is>
          <t>N028</t>
        </is>
      </c>
      <c r="D58" s="3" t="inlineStr">
        <is>
          <t>context</t>
        </is>
      </c>
      <c r="E58" s="3" t="inlineStr">
        <is>
          <t>maps_to</t>
        </is>
      </c>
      <c r="F58" s="3" t="n">
        <v>1</v>
      </c>
      <c r="G58" s="3" t="inlineStr">
        <is>
          <t>none</t>
        </is>
      </c>
      <c r="H58" s="3" t="inlineStr">
        <is>
          <t>alive</t>
        </is>
      </c>
      <c r="I58" s="3" t="inlineStr"/>
      <c r="J58" s="3" t="inlineStr">
        <is>
          <t>A3.1 IS Q3-B survivor</t>
        </is>
      </c>
      <c r="K58" s="3" t="inlineStr">
        <is>
          <t>2026-03</t>
        </is>
      </c>
    </row>
    <row r="59">
      <c r="A59" s="4" t="inlineStr">
        <is>
          <t>E104</t>
        </is>
      </c>
      <c r="B59" s="4" t="inlineStr">
        <is>
          <t>N054</t>
        </is>
      </c>
      <c r="C59" s="4" t="inlineStr">
        <is>
          <t>N032</t>
        </is>
      </c>
      <c r="D59" s="4" t="inlineStr">
        <is>
          <t>context</t>
        </is>
      </c>
      <c r="E59" s="4" t="inlineStr">
        <is>
          <t>maps_to</t>
        </is>
      </c>
      <c r="F59" s="4" t="n">
        <v>1</v>
      </c>
      <c r="G59" s="4" t="inlineStr">
        <is>
          <t>none</t>
        </is>
      </c>
      <c r="H59" s="4" t="inlineStr">
        <is>
          <t>alive</t>
        </is>
      </c>
      <c r="I59" s="4" t="inlineStr"/>
      <c r="J59" s="4" t="inlineStr">
        <is>
          <t>A2.2 IS Q4-C survivor</t>
        </is>
      </c>
      <c r="K59" s="4" t="inlineStr">
        <is>
          <t>2026-03</t>
        </is>
      </c>
    </row>
    <row r="60">
      <c r="A60" s="3" t="inlineStr">
        <is>
          <t>E105</t>
        </is>
      </c>
      <c r="B60" s="3" t="inlineStr">
        <is>
          <t>N055</t>
        </is>
      </c>
      <c r="C60" s="3" t="inlineStr">
        <is>
          <t>N036</t>
        </is>
      </c>
      <c r="D60" s="3" t="inlineStr">
        <is>
          <t>context</t>
        </is>
      </c>
      <c r="E60" s="3" t="inlineStr">
        <is>
          <t>maps_to</t>
        </is>
      </c>
      <c r="F60" s="3" t="n">
        <v>1</v>
      </c>
      <c r="G60" s="3" t="inlineStr">
        <is>
          <t>none</t>
        </is>
      </c>
      <c r="H60" s="3" t="inlineStr">
        <is>
          <t>alive</t>
        </is>
      </c>
      <c r="I60" s="3" t="inlineStr"/>
      <c r="J60" s="3" t="inlineStr">
        <is>
          <t>A5.1 IS Q6-B survivor</t>
        </is>
      </c>
      <c r="K60" s="3" t="inlineStr">
        <is>
          <t>2026-03</t>
        </is>
      </c>
    </row>
    <row r="61">
      <c r="A61" s="4" t="inlineStr">
        <is>
          <t>E110</t>
        </is>
      </c>
      <c r="B61" s="4" t="inlineStr">
        <is>
          <t>N050</t>
        </is>
      </c>
      <c r="C61" s="4" t="inlineStr">
        <is>
          <t>N051</t>
        </is>
      </c>
      <c r="D61" s="4" t="inlineStr">
        <is>
          <t>role</t>
        </is>
      </c>
      <c r="E61" s="4" t="inlineStr">
        <is>
          <t>forces</t>
        </is>
      </c>
      <c r="F61" s="4" t="n">
        <v>1</v>
      </c>
      <c r="G61" s="4" t="inlineStr">
        <is>
          <t>none</t>
        </is>
      </c>
      <c r="H61" s="4" t="inlineStr">
        <is>
          <t>alive</t>
        </is>
      </c>
      <c r="I61" s="4" t="inlineStr"/>
      <c r="J61" s="4" t="inlineStr">
        <is>
          <t>Existence enables distinction</t>
        </is>
      </c>
      <c r="K61" s="4" t="inlineStr">
        <is>
          <t>2026-03</t>
        </is>
      </c>
    </row>
    <row r="62">
      <c r="A62" s="3" t="inlineStr">
        <is>
          <t>E111</t>
        </is>
      </c>
      <c r="B62" s="3" t="inlineStr">
        <is>
          <t>N051</t>
        </is>
      </c>
      <c r="C62" s="3" t="inlineStr">
        <is>
          <t>N052</t>
        </is>
      </c>
      <c r="D62" s="3" t="inlineStr">
        <is>
          <t>role</t>
        </is>
      </c>
      <c r="E62" s="3" t="inlineStr">
        <is>
          <t>forces</t>
        </is>
      </c>
      <c r="F62" s="3" t="n">
        <v>1</v>
      </c>
      <c r="G62" s="3" t="inlineStr">
        <is>
          <t>none</t>
        </is>
      </c>
      <c r="H62" s="3" t="inlineStr">
        <is>
          <t>alive</t>
        </is>
      </c>
      <c r="I62" s="3" t="inlineStr"/>
      <c r="J62" s="3" t="inlineStr">
        <is>
          <t>Distinction IS information</t>
        </is>
      </c>
      <c r="K62" s="3" t="inlineStr">
        <is>
          <t>2026-03</t>
        </is>
      </c>
    </row>
    <row r="63">
      <c r="A63" s="4" t="inlineStr">
        <is>
          <t>E112</t>
        </is>
      </c>
      <c r="B63" s="4" t="inlineStr">
        <is>
          <t>N052</t>
        </is>
      </c>
      <c r="C63" s="4" t="inlineStr">
        <is>
          <t>N053</t>
        </is>
      </c>
      <c r="D63" s="4" t="inlineStr">
        <is>
          <t>role</t>
        </is>
      </c>
      <c r="E63" s="4" t="inlineStr">
        <is>
          <t>forces</t>
        </is>
      </c>
      <c r="F63" s="4" t="n">
        <v>1</v>
      </c>
      <c r="G63" s="4" t="inlineStr">
        <is>
          <t>none</t>
        </is>
      </c>
      <c r="H63" s="4" t="inlineStr">
        <is>
          <t>alive</t>
        </is>
      </c>
      <c r="I63" s="4" t="inlineStr"/>
      <c r="J63" s="4" t="inlineStr">
        <is>
          <t>Information requires structure</t>
        </is>
      </c>
      <c r="K63" s="4" t="inlineStr">
        <is>
          <t>2026-03</t>
        </is>
      </c>
    </row>
    <row r="64">
      <c r="A64" s="3" t="inlineStr">
        <is>
          <t>E113</t>
        </is>
      </c>
      <c r="B64" s="3" t="inlineStr">
        <is>
          <t>N053</t>
        </is>
      </c>
      <c r="C64" s="3" t="inlineStr">
        <is>
          <t>N054</t>
        </is>
      </c>
      <c r="D64" s="3" t="inlineStr">
        <is>
          <t>role</t>
        </is>
      </c>
      <c r="E64" s="3" t="inlineStr">
        <is>
          <t>forces</t>
        </is>
      </c>
      <c r="F64" s="3" t="n">
        <v>1</v>
      </c>
      <c r="G64" s="3" t="inlineStr">
        <is>
          <t>none</t>
        </is>
      </c>
      <c r="H64" s="3" t="inlineStr">
        <is>
          <t>alive</t>
        </is>
      </c>
      <c r="I64" s="3" t="inlineStr"/>
      <c r="J64" s="3" t="inlineStr">
        <is>
          <t>Structure requires grounding</t>
        </is>
      </c>
      <c r="K64" s="3" t="inlineStr">
        <is>
          <t>2026-03</t>
        </is>
      </c>
    </row>
    <row r="65">
      <c r="A65" s="4" t="inlineStr">
        <is>
          <t>E114</t>
        </is>
      </c>
      <c r="B65" s="4" t="inlineStr">
        <is>
          <t>N054</t>
        </is>
      </c>
      <c r="C65" s="4" t="inlineStr">
        <is>
          <t>N055</t>
        </is>
      </c>
      <c r="D65" s="4" t="inlineStr">
        <is>
          <t>role</t>
        </is>
      </c>
      <c r="E65" s="4" t="inlineStr">
        <is>
          <t>forces</t>
        </is>
      </c>
      <c r="F65" s="4" t="n">
        <v>1</v>
      </c>
      <c r="G65" s="4" t="inlineStr">
        <is>
          <t>none</t>
        </is>
      </c>
      <c r="H65" s="4" t="inlineStr">
        <is>
          <t>alive</t>
        </is>
      </c>
      <c r="I65" s="4" t="inlineStr"/>
      <c r="J65" s="4" t="inlineStr">
        <is>
          <t>Ground requires observer</t>
        </is>
      </c>
      <c r="K65" s="4" t="inlineStr">
        <is>
          <t>2026-03</t>
        </is>
      </c>
    </row>
    <row r="66">
      <c r="A66" s="3" t="inlineStr">
        <is>
          <t>E200</t>
        </is>
      </c>
      <c r="B66" s="3" t="inlineStr">
        <is>
          <t>N050</t>
        </is>
      </c>
      <c r="C66" s="3" t="inlineStr">
        <is>
          <t>N050</t>
        </is>
      </c>
      <c r="D66" s="3" t="inlineStr">
        <is>
          <t>evidence</t>
        </is>
      </c>
      <c r="E66" s="3" t="inlineStr">
        <is>
          <t>supports</t>
        </is>
      </c>
      <c r="F66" s="3" t="n">
        <v>1</v>
      </c>
      <c r="G66" s="3" t="inlineStr">
        <is>
          <t>none</t>
        </is>
      </c>
      <c r="H66" s="3" t="inlineStr">
        <is>
          <t>alive</t>
        </is>
      </c>
      <c r="I66" s="3" t="inlineStr">
        <is>
          <t>Self-refutation analysis</t>
        </is>
      </c>
      <c r="J66" s="3" t="inlineStr">
        <is>
          <t>Denial presupposes what it denies. 4/4 death tests survived.</t>
        </is>
      </c>
      <c r="K66" s="3" t="inlineStr">
        <is>
          <t>2026-03</t>
        </is>
      </c>
    </row>
    <row r="67">
      <c r="A67" s="4" t="inlineStr">
        <is>
          <t>E201</t>
        </is>
      </c>
      <c r="B67" s="4" t="inlineStr">
        <is>
          <t>N050</t>
        </is>
      </c>
      <c r="C67" s="4" t="inlineStr">
        <is>
          <t>N050</t>
        </is>
      </c>
      <c r="D67" s="4" t="inlineStr">
        <is>
          <t>evidence</t>
        </is>
      </c>
      <c r="E67" s="4" t="inlineStr">
        <is>
          <t>supports</t>
        </is>
      </c>
      <c r="F67" s="4" t="n">
        <v>0.95</v>
      </c>
      <c r="G67" s="4" t="inlineStr">
        <is>
          <t>none</t>
        </is>
      </c>
      <c r="H67" s="4" t="inlineStr">
        <is>
          <t>alive</t>
        </is>
      </c>
      <c r="I67" s="4" t="inlineStr">
        <is>
          <t>Descartes Cogito (1637)</t>
        </is>
      </c>
      <c r="J67" s="4" t="inlineStr">
        <is>
          <t>Doubting requires doubter</t>
        </is>
      </c>
      <c r="K67" s="4" t="inlineStr">
        <is>
          <t>2026-03</t>
        </is>
      </c>
    </row>
    <row r="68">
      <c r="A68" s="3" t="inlineStr">
        <is>
          <t>E202</t>
        </is>
      </c>
      <c r="B68" s="3" t="inlineStr">
        <is>
          <t>N050</t>
        </is>
      </c>
      <c r="C68" s="3" t="inlineStr">
        <is>
          <t>N050</t>
        </is>
      </c>
      <c r="D68" s="3" t="inlineStr">
        <is>
          <t>evidence</t>
        </is>
      </c>
      <c r="E68" s="3" t="inlineStr">
        <is>
          <t>supports</t>
        </is>
      </c>
      <c r="F68" s="3" t="n">
        <v>0.95</v>
      </c>
      <c r="G68" s="3" t="inlineStr">
        <is>
          <t>none</t>
        </is>
      </c>
      <c r="H68" s="3" t="inlineStr">
        <is>
          <t>alive</t>
        </is>
      </c>
      <c r="I68" s="3" t="inlineStr">
        <is>
          <t>QM Vacuum ρ≈10⁻⁹ J/m³</t>
        </is>
      </c>
      <c r="J68" s="3" t="inlineStr">
        <is>
          <t>Vacuum state is not nothing</t>
        </is>
      </c>
      <c r="K68" s="3" t="inlineStr">
        <is>
          <t>2026-03</t>
        </is>
      </c>
    </row>
    <row r="69">
      <c r="A69" s="4" t="inlineStr">
        <is>
          <t>E203</t>
        </is>
      </c>
      <c r="B69" s="4" t="inlineStr">
        <is>
          <t>N050</t>
        </is>
      </c>
      <c r="C69" s="4" t="inlineStr">
        <is>
          <t>N050</t>
        </is>
      </c>
      <c r="D69" s="4" t="inlineStr">
        <is>
          <t>evidence</t>
        </is>
      </c>
      <c r="E69" s="4" t="inlineStr">
        <is>
          <t>supports</t>
        </is>
      </c>
      <c r="F69" s="4" t="n">
        <v>0.99</v>
      </c>
      <c r="G69" s="4" t="inlineStr">
        <is>
          <t>none</t>
        </is>
      </c>
      <c r="H69" s="4" t="inlineStr">
        <is>
          <t>alive</t>
        </is>
      </c>
      <c r="I69" s="4" t="inlineStr">
        <is>
          <t>CMB T=2.725K (Planck)</t>
        </is>
      </c>
      <c r="J69" s="4" t="inlineStr">
        <is>
          <t>Existing structure observed. &gt;30σ</t>
        </is>
      </c>
      <c r="K69" s="4" t="inlineStr">
        <is>
          <t>2026-03</t>
        </is>
      </c>
    </row>
    <row r="70">
      <c r="A70" s="3" t="inlineStr">
        <is>
          <t>E204</t>
        </is>
      </c>
      <c r="B70" s="3" t="inlineStr">
        <is>
          <t>N050</t>
        </is>
      </c>
      <c r="C70" s="3" t="inlineStr">
        <is>
          <t>N050</t>
        </is>
      </c>
      <c r="D70" s="3" t="inlineStr">
        <is>
          <t>evidence</t>
        </is>
      </c>
      <c r="E70" s="3" t="inlineStr">
        <is>
          <t>supports</t>
        </is>
      </c>
      <c r="F70" s="3" t="n">
        <v>1</v>
      </c>
      <c r="G70" s="3" t="inlineStr">
        <is>
          <t>none</t>
        </is>
      </c>
      <c r="H70" s="3" t="inlineStr">
        <is>
          <t>alive</t>
        </is>
      </c>
      <c r="I70" s="3" t="inlineStr">
        <is>
          <t>ZFC Set Theory</t>
        </is>
      </c>
      <c r="J70" s="3" t="inlineStr">
        <is>
          <t>∅ ∈ V — empty set exists as object</t>
        </is>
      </c>
      <c r="K70" s="3" t="inlineStr">
        <is>
          <t>2026-03</t>
        </is>
      </c>
    </row>
    <row r="71">
      <c r="A71" s="4" t="inlineStr">
        <is>
          <t>E205</t>
        </is>
      </c>
      <c r="B71" s="4" t="inlineStr">
        <is>
          <t>N023</t>
        </is>
      </c>
      <c r="C71" s="4" t="inlineStr">
        <is>
          <t>N023</t>
        </is>
      </c>
      <c r="D71" s="4" t="inlineStr">
        <is>
          <t>evidence</t>
        </is>
      </c>
      <c r="E71" s="4" t="inlineStr">
        <is>
          <t>supports</t>
        </is>
      </c>
      <c r="F71" s="4" t="n">
        <v>1</v>
      </c>
      <c r="G71" s="4" t="inlineStr">
        <is>
          <t>none</t>
        </is>
      </c>
      <c r="H71" s="4" t="inlineStr">
        <is>
          <t>alive</t>
        </is>
      </c>
      <c r="I71" s="4" t="inlineStr">
        <is>
          <t>Shannon 1948</t>
        </is>
      </c>
      <c r="J71" s="4" t="inlineStr">
        <is>
          <t>Information = uncertainty reduction between distinguishable states</t>
        </is>
      </c>
      <c r="K71" s="4" t="inlineStr">
        <is>
          <t>2026-03</t>
        </is>
      </c>
    </row>
    <row r="72">
      <c r="A72" s="3" t="inlineStr">
        <is>
          <t>E206</t>
        </is>
      </c>
      <c r="B72" s="3" t="inlineStr">
        <is>
          <t>N027</t>
        </is>
      </c>
      <c r="C72" s="3" t="inlineStr">
        <is>
          <t>N027</t>
        </is>
      </c>
      <c r="D72" s="3" t="inlineStr">
        <is>
          <t>evidence</t>
        </is>
      </c>
      <c r="E72" s="3" t="inlineStr">
        <is>
          <t>attacks</t>
        </is>
      </c>
      <c r="F72" s="3" t="n">
        <v>0.99</v>
      </c>
      <c r="G72" s="3" t="inlineStr">
        <is>
          <t>none</t>
        </is>
      </c>
      <c r="H72" s="3" t="inlineStr">
        <is>
          <t>alive</t>
        </is>
      </c>
      <c r="I72" s="3" t="inlineStr">
        <is>
          <t>Observed physics</t>
        </is>
      </c>
      <c r="J72" s="3" t="inlineStr">
        <is>
          <t>Reality has laws — contradicts pure randomness</t>
        </is>
      </c>
      <c r="K72" s="3" t="inlineStr">
        <is>
          <t>2026-03</t>
        </is>
      </c>
    </row>
    <row r="73">
      <c r="A73" s="4" t="inlineStr">
        <is>
          <t>E207</t>
        </is>
      </c>
      <c r="B73" s="4" t="inlineStr">
        <is>
          <t>N038</t>
        </is>
      </c>
      <c r="C73" s="4" t="inlineStr">
        <is>
          <t>N038</t>
        </is>
      </c>
      <c r="D73" s="4" t="inlineStr">
        <is>
          <t>evidence</t>
        </is>
      </c>
      <c r="E73" s="4" t="inlineStr">
        <is>
          <t>attacks</t>
        </is>
      </c>
      <c r="F73" s="4" t="n">
        <v>0.99</v>
      </c>
      <c r="G73" s="4" t="inlineStr">
        <is>
          <t>none</t>
        </is>
      </c>
      <c r="H73" s="4" t="inlineStr">
        <is>
          <t>alive</t>
        </is>
      </c>
      <c r="I73" s="4" t="inlineStr">
        <is>
          <t>Double-slit (1927+)</t>
        </is>
      </c>
      <c r="J73" s="4" t="inlineStr">
        <is>
          <t>Superposition experimentally verified. &gt;100σ</t>
        </is>
      </c>
      <c r="K73" s="4" t="inlineStr">
        <is>
          <t>2026-03</t>
        </is>
      </c>
    </row>
    <row r="74">
      <c r="A74" s="3" t="inlineStr">
        <is>
          <t>E208</t>
        </is>
      </c>
      <c r="B74" s="3" t="inlineStr">
        <is>
          <t>N055</t>
        </is>
      </c>
      <c r="C74" s="3" t="inlineStr">
        <is>
          <t>N055</t>
        </is>
      </c>
      <c r="D74" s="3" t="inlineStr">
        <is>
          <t>evidence</t>
        </is>
      </c>
      <c r="E74" s="3" t="inlineStr">
        <is>
          <t>supports</t>
        </is>
      </c>
      <c r="F74" s="3" t="n">
        <v>0.85</v>
      </c>
      <c r="G74" s="3" t="inlineStr">
        <is>
          <t>none</t>
        </is>
      </c>
      <c r="H74" s="3" t="inlineStr">
        <is>
          <t>alive</t>
        </is>
      </c>
      <c r="I74" s="3" t="inlineStr">
        <is>
          <t>PEAR-LAB (Jahn/Dunne)</t>
        </is>
      </c>
      <c r="J74" s="3" t="inlineStr">
        <is>
          <t>2.5M trials. 6.35σ</t>
        </is>
      </c>
      <c r="K74" s="3" t="inlineStr">
        <is>
          <t>2026-03</t>
        </is>
      </c>
    </row>
    <row r="75">
      <c r="A75" s="4" t="inlineStr">
        <is>
          <t>E209</t>
        </is>
      </c>
      <c r="B75" s="4" t="inlineStr">
        <is>
          <t>N055</t>
        </is>
      </c>
      <c r="C75" s="4" t="inlineStr">
        <is>
          <t>N055</t>
        </is>
      </c>
      <c r="D75" s="4" t="inlineStr">
        <is>
          <t>evidence</t>
        </is>
      </c>
      <c r="E75" s="4" t="inlineStr">
        <is>
          <t>supports</t>
        </is>
      </c>
      <c r="F75" s="4" t="n">
        <v>0.8</v>
      </c>
      <c r="G75" s="4" t="inlineStr">
        <is>
          <t>none</t>
        </is>
      </c>
      <c r="H75" s="4" t="inlineStr">
        <is>
          <t>alive</t>
        </is>
      </c>
      <c r="I75" s="4" t="inlineStr">
        <is>
          <t>GCP (Nelson et al.)</t>
        </is>
      </c>
      <c r="J75" s="4" t="inlineStr">
        <is>
          <t>325+ replications. 6σ</t>
        </is>
      </c>
      <c r="K75" s="4" t="inlineStr">
        <is>
          <t>2026-03</t>
        </is>
      </c>
    </row>
    <row r="76">
      <c r="A76" s="3" t="inlineStr">
        <is>
          <t>E210</t>
        </is>
      </c>
      <c r="B76" s="3" t="inlineStr">
        <is>
          <t>N043</t>
        </is>
      </c>
      <c r="C76" s="3" t="inlineStr">
        <is>
          <t>N043</t>
        </is>
      </c>
      <c r="D76" s="3" t="inlineStr">
        <is>
          <t>evidence</t>
        </is>
      </c>
      <c r="E76" s="3" t="inlineStr">
        <is>
          <t>attacks</t>
        </is>
      </c>
      <c r="F76" s="3" t="n">
        <v>0.9</v>
      </c>
      <c r="G76" s="3" t="inlineStr">
        <is>
          <t>none</t>
        </is>
      </c>
      <c r="H76" s="3" t="inlineStr">
        <is>
          <t>alive</t>
        </is>
      </c>
      <c r="I76" s="3" t="inlineStr">
        <is>
          <t>Commutation proof T3.1</t>
        </is>
      </c>
      <c r="J76" s="3" t="inlineStr">
        <is>
          <t>[σ̂,Û]=0 — self-ops commute with sign</t>
        </is>
      </c>
      <c r="K76" s="3" t="inlineStr">
        <is>
          <t>2026-03</t>
        </is>
      </c>
    </row>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sheetData>
  <conditionalFormatting sqref="H2:H275">
    <cfRule type="cellIs" priority="1" operator="equal" dxfId="4">
      <formula>"alive"</formula>
    </cfRule>
    <cfRule type="cellIs" priority="2" operator="equal" dxfId="5">
      <formula>"dead"</formula>
    </cfRule>
    <cfRule type="cellIs" priority="3" operator="equal" dxfId="6">
      <formula>"partial"</formula>
    </cfRule>
  </conditionalFormatting>
  <conditionalFormatting sqref="F2:F275">
    <cfRule type="colorScale" priority="4">
      <colorScale>
        <cfvo type="num" val="0"/>
        <cfvo type="num" val="0.5"/>
        <cfvo type="num" val="1"/>
        <color rgb="00F8D7DA"/>
        <color rgb="00FFF3CD"/>
        <color rgb="00D4EDDA"/>
      </colorScale>
    </cfRule>
  </conditionalFormatting>
  <dataValidations count="4">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showDropDown="0" showInputMessage="0" showErrorMessage="0" allowBlank="0" type="list">
      <formula1>"role,evidence,time,context,provenance,ops"</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showDropDown="0" showInputMessage="0" showErrorMessage="0" allowBlank="0" type="list">
      <formula1>"forces,requires,enables,constrains,contradicts,collapses_to,grounds,propagates_to,supports,attacks,maps_to,describes,causes,precedes,references,derives_from"</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showDropDown="0" showInputMessage="0" showErrorMessage="0" allowBlank="0" type="list">
      <formula1>"none,self_refutation,infinite_regress,empirical_contradiction,logical_incoherence,explanatory_terminal"</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showDropDown="0" showInputMessage="0" showErrorMessage="0" allowBlank="0" type="list">
      <formula1>"alive,partial,dead,untested"</formula1>
    </dataValidation>
  </dataValidations>
  <pageMargins left="0.75" right="0.75" top="1" bottom="1" header="0.5" footer="0.5"/>
</worksheet>
</file>

<file path=xl/worksheets/sheet3.xml><?xml version="1.0" encoding="utf-8"?>
<worksheet xmlns="http://schemas.openxmlformats.org/spreadsheetml/2006/main">
  <sheetPr>
    <tabColor rgb="00D4A853"/>
    <outlinePr summaryBelow="1" summaryRight="1"/>
    <pageSetUpPr/>
  </sheetPr>
  <dimension ref="A1:A45"/>
  <sheetViews>
    <sheetView workbookViewId="0">
      <selection activeCell="A1" sqref="A1"/>
    </sheetView>
  </sheetViews>
  <sheetFormatPr baseColWidth="8" defaultRowHeight="15"/>
  <cols>
    <col width="80" customWidth="1" min="1" max="1"/>
  </cols>
  <sheetData>
    <row r="1">
      <c r="A1" s="5" t="inlineStr">
        <is>
          <t>UNIVERSAL TRUTH LAYER — v2.0</t>
        </is>
      </c>
    </row>
    <row r="2">
      <c r="A2" s="5" t="inlineStr">
        <is>
          <t>Two tables. Any domain. Truth is computed, not declared.</t>
        </is>
      </c>
    </row>
    <row r="3">
      <c r="A3" s="5" t="inlineStr"/>
    </row>
    <row r="4">
      <c r="A4" s="6" t="inlineStr">
        <is>
          <t>ARCHITECTURE</t>
        </is>
      </c>
    </row>
    <row r="5">
      <c r="A5" s="5" t="inlineStr">
        <is>
          <t>Tab 1: NODES — every claim, question, verse, equation, observation</t>
        </is>
      </c>
    </row>
    <row r="6">
      <c r="A6" s="5" t="inlineStr">
        <is>
          <t>Tab 2: RELATIONSHIPS — every edge between nodes, typed by facet</t>
        </is>
      </c>
    </row>
    <row r="7">
      <c r="A7" s="5" t="inlineStr">
        <is>
          <t>T-score and Tier are COMPUTED from relationships. More edges = more tested = higher score.</t>
        </is>
      </c>
    </row>
    <row r="8">
      <c r="A8" s="5" t="inlineStr"/>
    </row>
    <row r="9">
      <c r="A9" s="6" t="inlineStr">
        <is>
          <t>THE 8-QUESTION INTAKE</t>
        </is>
      </c>
    </row>
    <row r="10">
      <c r="A10" s="5" t="inlineStr">
        <is>
          <t>0. SCOPE — What level? → NODES.scope_level</t>
        </is>
      </c>
    </row>
    <row r="11">
      <c r="A11" s="5" t="inlineStr">
        <is>
          <t>1. ENTITY — What is it? → NODES.entity_class</t>
        </is>
      </c>
    </row>
    <row r="12">
      <c r="A12" s="5" t="inlineStr">
        <is>
          <t>2. ROLE — What function? → RELATIONSHIPS (facet=role)</t>
        </is>
      </c>
    </row>
    <row r="13">
      <c r="A13" s="5" t="inlineStr">
        <is>
          <t>3. EVIDENCE — What justifies it? → RELATIONSHIPS (facet=evidence)</t>
        </is>
      </c>
    </row>
    <row r="14">
      <c r="A14" s="5" t="inlineStr">
        <is>
          <t>4. TIME — Where in sequence? → RELATIONSHIPS (facet=time, type=forces/precedes)</t>
        </is>
      </c>
    </row>
    <row r="15">
      <c r="A15" s="5" t="inlineStr">
        <is>
          <t>5. OPS — Workflow state? → NODES.ops_status</t>
        </is>
      </c>
    </row>
    <row r="16">
      <c r="A16" s="5" t="inlineStr">
        <is>
          <t>6. CONTEXT — Which lens? → RELATIONSHIPS (facet=context, type=maps_to)</t>
        </is>
      </c>
    </row>
    <row r="17">
      <c r="A17" s="5" t="inlineStr">
        <is>
          <t>7. PROVENANCE — Where from? → RELATIONSHIPS (facet=provenance) + NODES.created_at</t>
        </is>
      </c>
    </row>
    <row r="18">
      <c r="A18" s="5" t="inlineStr"/>
    </row>
    <row r="19">
      <c r="A19" s="6" t="inlineStr">
        <is>
          <t>T-SCORE FORMULA</t>
        </is>
      </c>
    </row>
    <row r="20">
      <c r="A20" s="5" t="inlineStr">
        <is>
          <t>structure = SUM(weights where facet ≠ evidence)</t>
        </is>
      </c>
    </row>
    <row r="21">
      <c r="A21" s="5" t="inlineStr">
        <is>
          <t>support = SUM(weights where type=supports) × 2</t>
        </is>
      </c>
    </row>
    <row r="22">
      <c r="A22" s="5" t="inlineStr">
        <is>
          <t>attack = SUM(weights where type=attacks) × 3</t>
        </is>
      </c>
    </row>
    <row r="23">
      <c r="A23" s="5" t="inlineStr">
        <is>
          <t>death_penalty = COUNT(dead edges) × 2</t>
        </is>
      </c>
    </row>
    <row r="24">
      <c r="A24" s="5" t="inlineStr">
        <is>
          <t>T = structure + support - attack - death_penalty</t>
        </is>
      </c>
    </row>
    <row r="25">
      <c r="A25" s="5" t="inlineStr"/>
    </row>
    <row r="26">
      <c r="A26" s="6" t="inlineStr">
        <is>
          <t>TIER THRESHOLDS</t>
        </is>
      </c>
    </row>
    <row r="27">
      <c r="A27" s="5" t="inlineStr">
        <is>
          <t>≥90: NEAR-CANONICAL (framework truth)</t>
        </is>
      </c>
    </row>
    <row r="28">
      <c r="A28" s="5" t="inlineStr">
        <is>
          <t>75-89: STRONG (well-tested)</t>
        </is>
      </c>
    </row>
    <row r="29">
      <c r="A29" s="5" t="inlineStr">
        <is>
          <t>60-74: PROVISIONAL (needs more edges)</t>
        </is>
      </c>
    </row>
    <row r="30">
      <c r="A30" s="5" t="inlineStr">
        <is>
          <t>&lt;60: WEAK (orphan or undertested)</t>
        </is>
      </c>
    </row>
    <row r="31">
      <c r="A31" s="5" t="inlineStr"/>
    </row>
    <row r="32">
      <c r="A32" s="6" t="inlineStr">
        <is>
          <t>FALSIFICATION TEST</t>
        </is>
      </c>
    </row>
    <row r="33">
      <c r="A33" s="5" t="inlineStr">
        <is>
          <t>Isolate any single column and read top-to-bottom.</t>
        </is>
      </c>
    </row>
    <row r="34">
      <c r="A34" s="5" t="inlineStr">
        <is>
          <t>If chain is real, each column reads as coherent sentence.</t>
        </is>
      </c>
    </row>
    <row r="35">
      <c r="A35" s="5" t="inlineStr">
        <is>
          <t>Non-sequitur = hidden assumption. Fix there.</t>
        </is>
      </c>
    </row>
    <row r="36">
      <c r="A36" s="5" t="inlineStr"/>
    </row>
    <row r="37">
      <c r="A37" s="6" t="inlineStr">
        <is>
          <t>DEATH CONDITIONS</t>
        </is>
      </c>
    </row>
    <row r="38">
      <c r="A38" s="5" t="inlineStr">
        <is>
          <t>1. Self-Refutation — destroys itself when stated</t>
        </is>
      </c>
    </row>
    <row r="39">
      <c r="A39" s="5" t="inlineStr">
        <is>
          <t>2. Infinite Regress — pushes question back forever</t>
        </is>
      </c>
    </row>
    <row r="40">
      <c r="A40" s="5" t="inlineStr">
        <is>
          <t>3. Empirical Contradiction — contradicts observation</t>
        </is>
      </c>
    </row>
    <row r="41">
      <c r="A41" s="5" t="inlineStr">
        <is>
          <t>4. Logical Incoherence — contradicts established node</t>
        </is>
      </c>
    </row>
    <row r="42">
      <c r="A42" s="5" t="inlineStr">
        <is>
          <t>5. Explanatory Terminal — coherent but done (not dead)</t>
        </is>
      </c>
    </row>
    <row r="43">
      <c r="A43" s="5" t="inlineStr"/>
    </row>
    <row r="44">
      <c r="A44" s="5" t="inlineStr">
        <is>
          <t>WORKS FOR: Bible, physics, law, stock analysis, seminary, compliance, axiom chains.</t>
        </is>
      </c>
    </row>
    <row r="45">
      <c r="A45" s="5" t="inlineStr">
        <is>
          <t>Same two tables. Same 8 questions. Any domain.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2026-03-09T22:55:30Z</dcterms:created>
  <dcterms:modified xmlns:dcterms="http://purl.org/dc/terms/" xmlns:xsi="http://www.w3.org/2001/XMLSchema-instance" xsi:type="dcterms:W3CDTF">2026-03-09T22:55:30Z</dcterms:modified>
</cp:coreProperties>
</file>