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15_TEMPLATES\"/>
    </mc:Choice>
  </mc:AlternateContent>
  <xr:revisionPtr revIDLastSave="0" documentId="8_{8E35445C-F573-4015-B83A-C8E836D31EC8}" xr6:coauthVersionLast="47" xr6:coauthVersionMax="47" xr10:uidLastSave="{00000000-0000-0000-0000-000000000000}"/>
  <bookViews>
    <workbookView xWindow="-108" yWindow="492" windowWidth="46296" windowHeight="24816" tabRatio="500" firstSheet="10" activeTab="16" xr2:uid="{00000000-000D-0000-FFFF-FFFF00000000}"/>
  </bookViews>
  <sheets>
    <sheet name="Dashboard" sheetId="1" r:id="rId1"/>
    <sheet name="Constraint_Matrix" sheetId="2" r:id="rId2"/>
    <sheet name="Theory_Mapping" sheetId="3" r:id="rId3"/>
    <sheet name="Advanced_Metrics" sheetId="4" r:id="rId4"/>
    <sheet name="Global_Metrics" sheetId="5" r:id="rId5"/>
    <sheet name="Constraint_Diagnostics" sheetId="6" r:id="rId6"/>
    <sheet name="Axiom_Diagnostics" sheetId="7" r:id="rId7"/>
    <sheet name="Coverage_Analysis" sheetId="8" r:id="rId8"/>
    <sheet name="Framework_Metadata" sheetId="9" r:id="rId9"/>
    <sheet name="Claim_Index" sheetId="10" r:id="rId10"/>
    <sheet name="Domain_Mapping" sheetId="11" r:id="rId11"/>
    <sheet name="XDTI_Score" sheetId="12" r:id="rId12"/>
    <sheet name="Constraint_Density" sheetId="13" r:id="rId13"/>
    <sheet name="Directional_Asymmetry" sheetId="14" r:id="rId14"/>
    <sheet name="Claim_Total_Score" sheetId="15" r:id="rId15"/>
    <sheet name="Framework_Summary" sheetId="16" r:id="rId16"/>
    <sheet name="Comparative_Analysis" sheetId="17" r:id="rId17"/>
    <sheet name="Paper_Positioning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6" l="1"/>
  <c r="D2" i="17" s="1"/>
  <c r="D4" i="15"/>
  <c r="D3" i="15"/>
  <c r="D2" i="15"/>
  <c r="C2" i="15"/>
  <c r="F4" i="13"/>
  <c r="G4" i="13" s="1"/>
  <c r="C4" i="15" s="1"/>
  <c r="F3" i="13"/>
  <c r="G3" i="13" s="1"/>
  <c r="C3" i="15" s="1"/>
  <c r="G2" i="13"/>
  <c r="F2" i="13"/>
  <c r="C4" i="12"/>
  <c r="B4" i="12"/>
  <c r="D4" i="12" s="1"/>
  <c r="E4" i="12" s="1"/>
  <c r="B4" i="15" s="1"/>
  <c r="D3" i="12"/>
  <c r="E3" i="12" s="1"/>
  <c r="B3" i="15" s="1"/>
  <c r="E3" i="15" s="1"/>
  <c r="F3" i="15" s="1"/>
  <c r="C3" i="12"/>
  <c r="B3" i="12"/>
  <c r="E2" i="12"/>
  <c r="B2" i="15" s="1"/>
  <c r="E2" i="15" s="1"/>
  <c r="D2" i="12"/>
  <c r="C2" i="12"/>
  <c r="B2" i="12"/>
  <c r="D6" i="8"/>
  <c r="C6" i="8"/>
  <c r="B6" i="8"/>
  <c r="E6" i="8" s="1"/>
  <c r="D5" i="8"/>
  <c r="C5" i="8"/>
  <c r="B5" i="8"/>
  <c r="E5" i="8" s="1"/>
  <c r="D4" i="8"/>
  <c r="C4" i="8"/>
  <c r="B4" i="8"/>
  <c r="E4" i="8" s="1"/>
  <c r="D3" i="8"/>
  <c r="C3" i="8"/>
  <c r="B3" i="8"/>
  <c r="E3" i="8" s="1"/>
  <c r="G6" i="7"/>
  <c r="F6" i="7"/>
  <c r="E6" i="7"/>
  <c r="D6" i="7"/>
  <c r="C6" i="7"/>
  <c r="B6" i="7"/>
  <c r="H6" i="7" s="1"/>
  <c r="F9" i="1" s="1"/>
  <c r="A6" i="7"/>
  <c r="G5" i="7"/>
  <c r="F5" i="7"/>
  <c r="E5" i="7"/>
  <c r="D5" i="7"/>
  <c r="C5" i="7"/>
  <c r="B5" i="7"/>
  <c r="H5" i="7" s="1"/>
  <c r="F8" i="1" s="1"/>
  <c r="A5" i="7"/>
  <c r="G4" i="7"/>
  <c r="E4" i="7"/>
  <c r="D4" i="7"/>
  <c r="C4" i="7"/>
  <c r="B4" i="7"/>
  <c r="A4" i="7"/>
  <c r="G3" i="7"/>
  <c r="E3" i="7"/>
  <c r="D3" i="7"/>
  <c r="C3" i="7"/>
  <c r="B3" i="7"/>
  <c r="A3" i="7"/>
  <c r="F11" i="6"/>
  <c r="E11" i="6"/>
  <c r="D11" i="6"/>
  <c r="G11" i="6" s="1"/>
  <c r="C11" i="6"/>
  <c r="B11" i="6"/>
  <c r="F10" i="6"/>
  <c r="E10" i="6"/>
  <c r="C10" i="6"/>
  <c r="B10" i="6"/>
  <c r="D10" i="6" s="1"/>
  <c r="G10" i="6" s="1"/>
  <c r="F9" i="6"/>
  <c r="E9" i="6"/>
  <c r="C9" i="6"/>
  <c r="B9" i="6"/>
  <c r="D9" i="6" s="1"/>
  <c r="G9" i="6" s="1"/>
  <c r="F8" i="6"/>
  <c r="E8" i="6"/>
  <c r="C8" i="6"/>
  <c r="B8" i="6"/>
  <c r="D8" i="6" s="1"/>
  <c r="G8" i="6" s="1"/>
  <c r="F7" i="6"/>
  <c r="E7" i="6"/>
  <c r="D7" i="6"/>
  <c r="G7" i="6" s="1"/>
  <c r="C7" i="6"/>
  <c r="B7" i="6"/>
  <c r="F6" i="6"/>
  <c r="E6" i="6"/>
  <c r="C6" i="6"/>
  <c r="B6" i="6"/>
  <c r="D6" i="6" s="1"/>
  <c r="G6" i="6" s="1"/>
  <c r="F5" i="6"/>
  <c r="E5" i="6"/>
  <c r="C5" i="6"/>
  <c r="B5" i="6"/>
  <c r="D5" i="6" s="1"/>
  <c r="F4" i="6"/>
  <c r="E4" i="6"/>
  <c r="C4" i="6"/>
  <c r="B4" i="6"/>
  <c r="D4" i="6" s="1"/>
  <c r="F3" i="6"/>
  <c r="E3" i="6"/>
  <c r="D3" i="6"/>
  <c r="F21" i="1" s="1"/>
  <c r="C3" i="6"/>
  <c r="B3" i="6"/>
  <c r="B12" i="5"/>
  <c r="B10" i="5"/>
  <c r="B20" i="1" s="1"/>
  <c r="B9" i="5"/>
  <c r="B19" i="1" s="1"/>
  <c r="B8" i="5"/>
  <c r="B18" i="1" s="1"/>
  <c r="B7" i="5"/>
  <c r="B15" i="1" s="1"/>
  <c r="B41" i="4"/>
  <c r="B40" i="4"/>
  <c r="B39" i="4"/>
  <c r="B35" i="4"/>
  <c r="B34" i="4"/>
  <c r="B33" i="4"/>
  <c r="B31" i="4"/>
  <c r="B27" i="4"/>
  <c r="B26" i="4"/>
  <c r="B25" i="4"/>
  <c r="B46" i="1" s="1"/>
  <c r="B24" i="4"/>
  <c r="B23" i="4"/>
  <c r="B19" i="4"/>
  <c r="B18" i="4"/>
  <c r="B17" i="4"/>
  <c r="B16" i="4"/>
  <c r="B11" i="4"/>
  <c r="B6" i="4"/>
  <c r="B5" i="4"/>
  <c r="B42" i="1" s="1"/>
  <c r="G17" i="3"/>
  <c r="G16" i="3"/>
  <c r="G6" i="3"/>
  <c r="G5" i="3"/>
  <c r="G4" i="3"/>
  <c r="G3" i="3"/>
  <c r="K6" i="2"/>
  <c r="K5" i="2"/>
  <c r="K4" i="2"/>
  <c r="F4" i="7" s="1"/>
  <c r="K3" i="2"/>
  <c r="B6" i="5" s="1"/>
  <c r="B14" i="1" s="1"/>
  <c r="B45" i="1"/>
  <c r="E23" i="1"/>
  <c r="E22" i="1"/>
  <c r="E21" i="1"/>
  <c r="E9" i="1"/>
  <c r="E8" i="1"/>
  <c r="B8" i="1"/>
  <c r="E7" i="1"/>
  <c r="B7" i="1"/>
  <c r="E6" i="1"/>
  <c r="B6" i="1"/>
  <c r="B5" i="1"/>
  <c r="F2" i="15" l="1"/>
  <c r="B2" i="16"/>
  <c r="B2" i="17" s="1"/>
  <c r="G4" i="6"/>
  <c r="F22" i="1"/>
  <c r="G5" i="6"/>
  <c r="F23" i="1"/>
  <c r="E4" i="15"/>
  <c r="F4" i="15" s="1"/>
  <c r="H4" i="7"/>
  <c r="F7" i="1" s="1"/>
  <c r="F3" i="7"/>
  <c r="H3" i="7" s="1"/>
  <c r="F6" i="1" s="1"/>
  <c r="B7" i="4"/>
  <c r="B43" i="1" s="1"/>
  <c r="B32" i="4"/>
  <c r="B11" i="5"/>
  <c r="B21" i="1" s="1"/>
  <c r="B8" i="4"/>
  <c r="B44" i="1" s="1"/>
  <c r="B9" i="4"/>
  <c r="B10" i="4"/>
  <c r="B15" i="4"/>
  <c r="B42" i="4"/>
  <c r="G3" i="6"/>
  <c r="B3" i="5"/>
  <c r="B11" i="1" s="1"/>
  <c r="B4" i="5"/>
  <c r="B12" i="1" s="1"/>
  <c r="B5" i="5"/>
  <c r="B13" i="1" s="1"/>
  <c r="B5" i="16" l="1"/>
  <c r="B6" i="16"/>
  <c r="B7" i="16"/>
  <c r="B3" i="16"/>
  <c r="C2" i="17" s="1"/>
</calcChain>
</file>

<file path=xl/sharedStrings.xml><?xml version="1.0" encoding="utf-8"?>
<sst xmlns="http://schemas.openxmlformats.org/spreadsheetml/2006/main" count="512" uniqueCount="411">
  <si>
    <t>This dashboard auto-updates from all metric sheets. Change constraint scores to see impact in real-time.</t>
  </si>
  <si>
    <t>FRAMEWORK OVERVIEW</t>
  </si>
  <si>
    <t>TOP VULNERABILITIES</t>
  </si>
  <si>
    <t>Framework ID</t>
  </si>
  <si>
    <t>Axiom</t>
  </si>
  <si>
    <t>Risk Level</t>
  </si>
  <si>
    <t>Total Axioms</t>
  </si>
  <si>
    <t>Total Constraints</t>
  </si>
  <si>
    <t>Evaluation Date</t>
  </si>
  <si>
    <t>KEY PERFORMANCE METRICS</t>
  </si>
  <si>
    <t>Mean Net Score</t>
  </si>
  <si>
    <t>≥ 5.0 = Good</t>
  </si>
  <si>
    <t>Median Net Score</t>
  </si>
  <si>
    <t>Robust measure</t>
  </si>
  <si>
    <t>Std Dev</t>
  </si>
  <si>
    <t>&lt; 2.0 = Even</t>
  </si>
  <si>
    <t>Fracture Rate</t>
  </si>
  <si>
    <t>&lt; 20% = Good</t>
  </si>
  <si>
    <t>High-Coherence Rate</t>
  </si>
  <si>
    <t>&gt; 50% = Good</t>
  </si>
  <si>
    <t>HEALTH INDICATORS</t>
  </si>
  <si>
    <t>Violation Density</t>
  </si>
  <si>
    <t>&lt; 15% = Healthy</t>
  </si>
  <si>
    <t>Neutrality Density</t>
  </si>
  <si>
    <t>Track ambiguity</t>
  </si>
  <si>
    <t>CONSTRAINT STRENGTHS</t>
  </si>
  <si>
    <t>Constraint Coverage</t>
  </si>
  <si>
    <t>9/9 = Complete</t>
  </si>
  <si>
    <t>Constraint</t>
  </si>
  <si>
    <t>Polarity</t>
  </si>
  <si>
    <t>Constraint Neglect</t>
  </si>
  <si>
    <t>0 = Ideal</t>
  </si>
  <si>
    <t>QUICK NAVIGATION</t>
  </si>
  <si>
    <t>→ View detailed axiom scores</t>
  </si>
  <si>
    <t>Constraint_Matrix sheet</t>
  </si>
  <si>
    <t>→ Map theories to axioms</t>
  </si>
  <si>
    <t>Theory_Mapping sheet</t>
  </si>
  <si>
    <t>→ Analyze constraints</t>
  </si>
  <si>
    <t>Constraint_Diagnostics sheet</t>
  </si>
  <si>
    <t>→ Check axiom health</t>
  </si>
  <si>
    <t>Axiom_Diagnostics sheet</t>
  </si>
  <si>
    <t>→ Compare frameworks</t>
  </si>
  <si>
    <t>Coverage_Analysis sheet</t>
  </si>
  <si>
    <t>→ Paper positioning language</t>
  </si>
  <si>
    <t>Paper_Positioning sheet</t>
  </si>
  <si>
    <t>SYSTEM STATUS</t>
  </si>
  <si>
    <t>✓ Constraint Matrix</t>
  </si>
  <si>
    <t>9 constraints × N axioms</t>
  </si>
  <si>
    <t>✓ Theory Mapping</t>
  </si>
  <si>
    <t>S/C/U status tracking</t>
  </si>
  <si>
    <t>✓ Global Metrics</t>
  </si>
  <si>
    <t>13 framework-level indicators</t>
  </si>
  <si>
    <t>✓ Diagnostics</t>
  </si>
  <si>
    <t>Constraint + Axiom analysis</t>
  </si>
  <si>
    <t>✓ Coverage Analysis</t>
  </si>
  <si>
    <t>Cross-theory comparison</t>
  </si>
  <si>
    <t>✓ Paper Framework</t>
  </si>
  <si>
    <t>Academic positioning ready</t>
  </si>
  <si>
    <t>ADVANCED STATISTICS</t>
  </si>
  <si>
    <t>Constraint Coverage Ratio</t>
  </si>
  <si>
    <t>1.0 = Complete</t>
  </si>
  <si>
    <t>Axiom Variance</t>
  </si>
  <si>
    <t>Low = Even</t>
  </si>
  <si>
    <t>Minimum Axiom Score</t>
  </si>
  <si>
    <t>Foundational Risk</t>
  </si>
  <si>
    <t>Positive Directionality</t>
  </si>
  <si>
    <t>&gt;0.8 = Good</t>
  </si>
  <si>
    <t>Constraint Efficiency</t>
  </si>
  <si>
    <t>Net/Axiom</t>
  </si>
  <si>
    <t>→ View advanced statistics</t>
  </si>
  <si>
    <t>Advanced_Metrics sheet (26 measures)</t>
  </si>
  <si>
    <t>CONSTRAINT SCORING MATRIX (-1/0/+1)</t>
  </si>
  <si>
    <t>axiom_id</t>
  </si>
  <si>
    <t>C1_Empirical</t>
  </si>
  <si>
    <t>C2_Internal</t>
  </si>
  <si>
    <t>C3_Parsimony</t>
  </si>
  <si>
    <t>C4_Predictive</t>
  </si>
  <si>
    <t>C5_Falsifiable</t>
  </si>
  <si>
    <t>C6_Causal</t>
  </si>
  <si>
    <t>C7_Integration</t>
  </si>
  <si>
    <t>C8_Epistemic</t>
  </si>
  <si>
    <t>C9_Pragmatic</t>
  </si>
  <si>
    <t>net_score</t>
  </si>
  <si>
    <t>A1.1</t>
  </si>
  <si>
    <t>A1.2</t>
  </si>
  <si>
    <t>A2.1</t>
  </si>
  <si>
    <t>T1.1</t>
  </si>
  <si>
    <t>CONSTRAINT DEFINITIONS:</t>
  </si>
  <si>
    <t>C1: Empirical Adequacy</t>
  </si>
  <si>
    <t>C2: Internal Consistency</t>
  </si>
  <si>
    <t>C3: Parsimony</t>
  </si>
  <si>
    <t>C4: Predictive Power</t>
  </si>
  <si>
    <t>C5: Falsifiability</t>
  </si>
  <si>
    <t>C6: Causal Coherence</t>
  </si>
  <si>
    <t>C7: Cross-Domain Integration</t>
  </si>
  <si>
    <t>C8: Epistemic Accessibility</t>
  </si>
  <si>
    <t>C9: Pragmatic Utility</t>
  </si>
  <si>
    <t>THEORY-TO-AXIOM MAPPING (S/C/U)</t>
  </si>
  <si>
    <t>theory_name</t>
  </si>
  <si>
    <t>status</t>
  </si>
  <si>
    <t>evidence_excerpt</t>
  </si>
  <si>
    <t>locator</t>
  </si>
  <si>
    <t>rationale</t>
  </si>
  <si>
    <t>character_count</t>
  </si>
  <si>
    <t>Theophysics</t>
  </si>
  <si>
    <t>S</t>
  </si>
  <si>
    <t>Consciousness collapses wavefunction</t>
  </si>
  <si>
    <t>Paper 2, p.15</t>
  </si>
  <si>
    <t>Direct support via observer effect</t>
  </si>
  <si>
    <t>Church as error correction system</t>
  </si>
  <si>
    <t>Paper 5, p.8</t>
  </si>
  <si>
    <t>Explicit claim in framework</t>
  </si>
  <si>
    <t>Materialism</t>
  </si>
  <si>
    <t>C</t>
  </si>
  <si>
    <t>Consciousness is emergent from matter</t>
  </si>
  <si>
    <t>Dennett 1991</t>
  </si>
  <si>
    <t>Contradicts consciousness-as-primitive</t>
  </si>
  <si>
    <t>Panpsychism</t>
  </si>
  <si>
    <t>All matter has consciousness</t>
  </si>
  <si>
    <t>Chalmers 2015</t>
  </si>
  <si>
    <t>Supports fundamental consciousness</t>
  </si>
  <si>
    <t>MAPPING RULES:</t>
  </si>
  <si>
    <t>S = Supported (theory affirms axiom)</t>
  </si>
  <si>
    <t>C = Contradicted (theory denies axiom)</t>
  </si>
  <si>
    <t>U = Undefined (theory does not address)</t>
  </si>
  <si>
    <t>Evidence: max 300 chars (2 sentences)</t>
  </si>
  <si>
    <t>Rationale: max 200 chars (1 sentence)</t>
  </si>
  <si>
    <t>Standard Model</t>
  </si>
  <si>
    <t>U</t>
  </si>
  <si>
    <t>Not addressed in physics-only framework</t>
  </si>
  <si>
    <t>Not addressed</t>
  </si>
  <si>
    <t>A. DISTRIBUTION &amp; STABILITY METRICS</t>
  </si>
  <si>
    <t>Metric</t>
  </si>
  <si>
    <t>Formula</t>
  </si>
  <si>
    <t>Interpretation</t>
  </si>
  <si>
    <t>1. Constraint Coverage Ratio</t>
  </si>
  <si>
    <t>Fraction of 9 constraints ever satisfied (1.0 = complete coverage)</t>
  </si>
  <si>
    <t>2. Constraint Violation Density</t>
  </si>
  <si>
    <t>Violations per axiom (lower = better)</t>
  </si>
  <si>
    <t>3. Axiom Variance</t>
  </si>
  <si>
    <t>Variance of net scores (low = even, high = brittle)</t>
  </si>
  <si>
    <t>4. Minimum Axiom Score</t>
  </si>
  <si>
    <t>Worst-case axiom (important for foundational collapse)</t>
  </si>
  <si>
    <t>5. Lower Quartile Mean</t>
  </si>
  <si>
    <t>Average of bottom 25% axioms (robustness metric)</t>
  </si>
  <si>
    <t>6. Failure Count</t>
  </si>
  <si>
    <t>Number of axioms with net ≤ 0</t>
  </si>
  <si>
    <t>7. Failure Clustering Index</t>
  </si>
  <si>
    <t>Std dev of violations across constraints (high = clustered failures)</t>
  </si>
  <si>
    <t>B. DIRECTIONALITY &amp; ASYMMETRY METRICS</t>
  </si>
  <si>
    <t>8. Positive Directionality Ratio</t>
  </si>
  <si>
    <t>Fraction of axioms with positive net score</t>
  </si>
  <si>
    <t>9. Asymmetry Gradient</t>
  </si>
  <si>
    <t>Mean CDir score (&gt;0 = coherence-increasing framework)</t>
  </si>
  <si>
    <t>10. Shortcut Sensitivity Index</t>
  </si>
  <si>
    <t>Violations in boundary regulation + temporal persistence</t>
  </si>
  <si>
    <t>11. Entropy Drift Score</t>
  </si>
  <si>
    <t>Net violations in epistemic + pragmatic (negative = entropy drift)</t>
  </si>
  <si>
    <t>12. Stability Under Relaxation</t>
  </si>
  <si>
    <t>Phase-transition test (if score drops &gt;50%, that constraint is critical)</t>
  </si>
  <si>
    <t>C. CROSS-DOMAIN TRANSFER METRICS</t>
  </si>
  <si>
    <t>13. Domain Span</t>
  </si>
  <si>
    <t>Average domains touched per axiom (requires Domain_Mapping data)</t>
  </si>
  <si>
    <t>14. Cross-Domain Consistency</t>
  </si>
  <si>
    <t>Measures generalization without contradiction</t>
  </si>
  <si>
    <t>15. Translation Loss</t>
  </si>
  <si>
    <t>Catches metaphor abuse across domains</t>
  </si>
  <si>
    <t>16. Invariant Reuse Count</t>
  </si>
  <si>
    <t>Structural stability indicator</t>
  </si>
  <si>
    <t>17. Semantic Drift Resistance</t>
  </si>
  <si>
    <t>Low drift = robust constraint definitions</t>
  </si>
  <si>
    <t>D. STRUCTURAL ECONOMY METRICS (Anti-Verbosity Guard)</t>
  </si>
  <si>
    <t>18. Axiom Density</t>
  </si>
  <si>
    <t>Axioms / total claims (efficiency measure)</t>
  </si>
  <si>
    <t>19. Constraint Efficiency</t>
  </si>
  <si>
    <t>Net coherence per axiom (higher = more efficient)</t>
  </si>
  <si>
    <t>20. Redundancy Index</t>
  </si>
  <si>
    <t>High redundancy = framework could be compressed</t>
  </si>
  <si>
    <t>21. Compression Ratio</t>
  </si>
  <si>
    <t>How many axioms are non-essential</t>
  </si>
  <si>
    <t>22. Dependency Depth</t>
  </si>
  <si>
    <t>Low depth = flat hierarchy, high depth = layered structure</t>
  </si>
  <si>
    <t>E. COMPARATIVE &amp; RANKING METRICS (Across Theories)</t>
  </si>
  <si>
    <t>23. Percentile Rank (Per Constraint)</t>
  </si>
  <si>
    <t>Where theory ranks vs all others on each constraint</t>
  </si>
  <si>
    <t>24. Pareto Dominance Count</t>
  </si>
  <si>
    <t>How many theories this framework dominates</t>
  </si>
  <si>
    <t>25. Constraint Signature Vector</t>
  </si>
  <si>
    <t>Enables clustering and pattern recognition</t>
  </si>
  <si>
    <t>26. Phase-Transition Proximity</t>
  </si>
  <si>
    <t>Distance from net=0 collapse (higher = more stable)</t>
  </si>
  <si>
    <t>IMPLEMENTATION NOTES:</t>
  </si>
  <si>
    <t>• Metrics 1-12, 18-19, 26: Fully automated with formulas</t>
  </si>
  <si>
    <t>• Metrics 13-17, 20-25: Require additional data or simulation</t>
  </si>
  <si>
    <t>• All metrics are non-theological, structure-based, and auditable</t>
  </si>
  <si>
    <t>• These prevent "longer theory wins" bias by measuring efficiency, not volume</t>
  </si>
  <si>
    <t>GLOBAL FRAMEWORK METRICS</t>
  </si>
  <si>
    <t>metric_name</t>
  </si>
  <si>
    <t>formula</t>
  </si>
  <si>
    <t>interpretation</t>
  </si>
  <si>
    <t>Average coherence across all axioms</t>
  </si>
  <si>
    <t>Robust central tendency (outlier-resistant)</t>
  </si>
  <si>
    <t>Score Std Dev</t>
  </si>
  <si>
    <t>Variation in axiom coherence (evenness)</t>
  </si>
  <si>
    <t>Percentage of axioms with net ≤ 0</t>
  </si>
  <si>
    <t>Percentage of axioms with net ≥ 6</t>
  </si>
  <si>
    <t>Total violations / (axioms × 9)</t>
  </si>
  <si>
    <t>Total neutrals / (axioms × 9)</t>
  </si>
  <si>
    <t>Number of constraints with at least one +1</t>
  </si>
  <si>
    <t>Constraints never scored +1 (blind spots)</t>
  </si>
  <si>
    <t>Total number of axioms evaluated</t>
  </si>
  <si>
    <t>CONSTRAINT-LEVEL DIAGNOSTICS</t>
  </si>
  <si>
    <t>constraint_id</t>
  </si>
  <si>
    <t>satisfaction_rate</t>
  </si>
  <si>
    <t>violation_rate</t>
  </si>
  <si>
    <t>polarity_index</t>
  </si>
  <si>
    <t>mean_score</t>
  </si>
  <si>
    <t>discriminatory_power</t>
  </si>
  <si>
    <t>AXIOM-LEVEL STRUCTURE METRICS</t>
  </si>
  <si>
    <t>fragility</t>
  </si>
  <si>
    <t>clarity</t>
  </si>
  <si>
    <t>ambiguity</t>
  </si>
  <si>
    <t>polarization</t>
  </si>
  <si>
    <t>vulnerability_rank</t>
  </si>
  <si>
    <t>THEORY COVERAGE &amp; COMPLETENESS</t>
  </si>
  <si>
    <t>coverage_rate</t>
  </si>
  <si>
    <t>contradiction_rate</t>
  </si>
  <si>
    <t>support_rate</t>
  </si>
  <si>
    <t>framework_id</t>
  </si>
  <si>
    <t>framework_name</t>
  </si>
  <si>
    <t>version</t>
  </si>
  <si>
    <t>author</t>
  </si>
  <si>
    <t>date</t>
  </si>
  <si>
    <t>domains_declared</t>
  </si>
  <si>
    <t>weights_XDTI</t>
  </si>
  <si>
    <t>weights_CD</t>
  </si>
  <si>
    <t>weights_CDir</t>
  </si>
  <si>
    <t>score_threshold</t>
  </si>
  <si>
    <t>notes</t>
  </si>
  <si>
    <t>THEOPHYSICS_v1</t>
  </si>
  <si>
    <t>Theophysics Framework</t>
  </si>
  <si>
    <t>1.0</t>
  </si>
  <si>
    <t>David Lowe</t>
  </si>
  <si>
    <t>2025-12-26</t>
  </si>
  <si>
    <t>physics,info,biology,cognition,social,theology</t>
  </si>
  <si>
    <t>Initial evaluation of core framework claims</t>
  </si>
  <si>
    <t>claim_id</t>
  </si>
  <si>
    <t>claim_name</t>
  </si>
  <si>
    <t>claim_statement</t>
  </si>
  <si>
    <t>claim_type</t>
  </si>
  <si>
    <t>source_file</t>
  </si>
  <si>
    <t>dependency_count</t>
  </si>
  <si>
    <t>Consciousness Primitive</t>
  </si>
  <si>
    <t>Consciousness is fundamental, not emergent</t>
  </si>
  <si>
    <t>primitive</t>
  </si>
  <si>
    <t>paper_01.md</t>
  </si>
  <si>
    <t>active</t>
  </si>
  <si>
    <t>Observer Effect</t>
  </si>
  <si>
    <t>Observation collapses quantum wavefunction</t>
  </si>
  <si>
    <t>paper_02.md</t>
  </si>
  <si>
    <t>Church QEC</t>
  </si>
  <si>
    <t>Church functions as quantum error correction</t>
  </si>
  <si>
    <t>derived</t>
  </si>
  <si>
    <t>paper_05.md</t>
  </si>
  <si>
    <t>domain</t>
  </si>
  <si>
    <t>operational_definition</t>
  </si>
  <si>
    <t>measurable_proxy</t>
  </si>
  <si>
    <t>invariant_preserved</t>
  </si>
  <si>
    <t>physics</t>
  </si>
  <si>
    <t>Observer effect in QM</t>
  </si>
  <si>
    <t>Wavefunction collapse measurements</t>
  </si>
  <si>
    <t>yes</t>
  </si>
  <si>
    <t>cognition</t>
  </si>
  <si>
    <t>Subjective experience</t>
  </si>
  <si>
    <t>Neural correlates of consciousness</t>
  </si>
  <si>
    <t>theology</t>
  </si>
  <si>
    <t>Soul/spirit existence</t>
  </si>
  <si>
    <t>Pneumatological actualization</t>
  </si>
  <si>
    <t>Copenhagen interpretation</t>
  </si>
  <si>
    <t>Double-slit experiments</t>
  </si>
  <si>
    <t>info</t>
  </si>
  <si>
    <t>Information collapse</t>
  </si>
  <si>
    <t>Quantum decoherence</t>
  </si>
  <si>
    <t>domain_count</t>
  </si>
  <si>
    <t>invariant_count</t>
  </si>
  <si>
    <t>xdti_raw</t>
  </si>
  <si>
    <t>xdti_norm</t>
  </si>
  <si>
    <t>xdti_explanation</t>
  </si>
  <si>
    <t>Invariant across physics, cognition, and theology domains</t>
  </si>
  <si>
    <t>Strong physical and information domain mapping</t>
  </si>
  <si>
    <t>Derived claim with theological emphasis</t>
  </si>
  <si>
    <t>falsifiers_defined</t>
  </si>
  <si>
    <t>boundary_conditions</t>
  </si>
  <si>
    <t>non_applicability_zones</t>
  </si>
  <si>
    <t>free_parameters</t>
  </si>
  <si>
    <t>cd_raw</t>
  </si>
  <si>
    <t>cd_norm</t>
  </si>
  <si>
    <t>cd_explanation</t>
  </si>
  <si>
    <t>Multiple falsifiers, clear boundaries, minimal free parameters</t>
  </si>
  <si>
    <t>Standard QM falsifiers, bounded applicability</t>
  </si>
  <si>
    <t>no</t>
  </si>
  <si>
    <t>Fewer constraints, derived claim</t>
  </si>
  <si>
    <t>default_drift</t>
  </si>
  <si>
    <t>irreversibility</t>
  </si>
  <si>
    <t>intervention_cost</t>
  </si>
  <si>
    <t>phase_threshold</t>
  </si>
  <si>
    <t>cdir_raw</t>
  </si>
  <si>
    <t>cdir_norm</t>
  </si>
  <si>
    <t>cdir_explanation</t>
  </si>
  <si>
    <t>SCORING KEY</t>
  </si>
  <si>
    <t>default_drift: ↑entropy=-1, neutral=0, ↑coherence=+2</t>
  </si>
  <si>
    <t>irreversibility: none=0, weak=+1, strong=+2</t>
  </si>
  <si>
    <t>intervention_cost: low=0, medium=-1, high=-2</t>
  </si>
  <si>
    <t>phase_threshold: no=0, yes=+1</t>
  </si>
  <si>
    <t>↑coherence</t>
  </si>
  <si>
    <t>strong</t>
  </si>
  <si>
    <t>high</t>
  </si>
  <si>
    <t>System tends toward coherence; irreversible collapse; requires high intervention</t>
  </si>
  <si>
    <t>↑entropy</t>
  </si>
  <si>
    <t>weak</t>
  </si>
  <si>
    <t>low</t>
  </si>
  <si>
    <t>Natural decoherence; reversible in principle; low intervention cost</t>
  </si>
  <si>
    <t>medium</t>
  </si>
  <si>
    <t>Error correction preserves coherence; strong directionality</t>
  </si>
  <si>
    <t>xdti</t>
  </si>
  <si>
    <t>cd</t>
  </si>
  <si>
    <t>cdir</t>
  </si>
  <si>
    <t>total_score</t>
  </si>
  <si>
    <t>pass_fail</t>
  </si>
  <si>
    <t>reviewer_notes</t>
  </si>
  <si>
    <t>Strong cross-domain coherence</t>
  </si>
  <si>
    <t>Standard QM claim</t>
  </si>
  <si>
    <t>Derived theological claim</t>
  </si>
  <si>
    <t>metric</t>
  </si>
  <si>
    <t>value</t>
  </si>
  <si>
    <t>Mean Coherence (μ)</t>
  </si>
  <si>
    <t>Average total score across all claims</t>
  </si>
  <si>
    <t>Fracture Count (F)</t>
  </si>
  <si>
    <t>Number of claims below threshold</t>
  </si>
  <si>
    <t>Asymmetry Ratio (A)</t>
  </si>
  <si>
    <t>Ratio of coherence-increasing claims</t>
  </si>
  <si>
    <t>Lowest-Scoring Claim</t>
  </si>
  <si>
    <t>Claim with minimum total score</t>
  </si>
  <si>
    <t>Highest-Impact Claim</t>
  </si>
  <si>
    <t>Claim with maximum total score</t>
  </si>
  <si>
    <t>Pass Rate</t>
  </si>
  <si>
    <t>Percentage of claims passing threshold</t>
  </si>
  <si>
    <t>framework</t>
  </si>
  <si>
    <t>fracture_count</t>
  </si>
  <si>
    <t>asymmetry_ratio</t>
  </si>
  <si>
    <t>Integrates physics, consciousness, theology</t>
  </si>
  <si>
    <t>High fracture in consciousness domain; entropy-dominated</t>
  </si>
  <si>
    <t>Better consciousness mapping; weak constraint density</t>
  </si>
  <si>
    <t>Excellent physics; no spiritual/consciousness domain</t>
  </si>
  <si>
    <t>FORMAL PAPER POSITIONING FRAMEWORK</t>
  </si>
  <si>
    <t>PAPER TITLE</t>
  </si>
  <si>
    <t>A Cross-Domain Coherence Metric for Evaluating Foundational Frameworks</t>
  </si>
  <si>
    <t>Core Thesis (One Sentence)</t>
  </si>
  <si>
    <t>This paper introduces a domain-agnostic scoring method for evaluating foundational frameworks based on universally necessary system constraints, independent of ontological commitments.</t>
  </si>
  <si>
    <t>CRITICAL POSITIONING</t>
  </si>
  <si>
    <t>Measurement, Not Truth</t>
  </si>
  <si>
    <t>This metric does not determine truth. It evaluates structural coherence and survivability.</t>
  </si>
  <si>
    <t>Universal Applicability</t>
  </si>
  <si>
    <t>Can be applied to ANY framework: materialism, functionalism, panpsychism, legal theory, economic models.</t>
  </si>
  <si>
    <t>Ontology-Neutral</t>
  </si>
  <si>
    <t>Scores are assigned based on structural requirements, not metaphysical commitments.</t>
  </si>
  <si>
    <t>Disarms Resistance</t>
  </si>
  <si>
    <t>Explicitly separates structure from belief, making evaluation non-threatening.</t>
  </si>
  <si>
    <t>PAPER STRUCTURE</t>
  </si>
  <si>
    <t>1. Introduction</t>
  </si>
  <si>
    <t>Why foundational theories are hard to evaluate. Limitations of empirical-only or domain-isolated criteria.</t>
  </si>
  <si>
    <t>2. Prior Approaches</t>
  </si>
  <si>
    <t>Internal consistency, empirical adequacy, explanatory breadth. Why none suffice alone.</t>
  </si>
  <si>
    <t>3. Evaluation Philosophy</t>
  </si>
  <si>
    <t>Claims as atomic units. Fixed domain sets. No truth-claims implied by score. Separation of structure from belief.</t>
  </si>
  <si>
    <t>4. The CDCM</t>
  </si>
  <si>
    <t>Formal definition of XDTI, Constraint Density, Directional Asymmetry. Scoring ranges. Weighting policy.</t>
  </si>
  <si>
    <t>5. Implementation</t>
  </si>
  <si>
    <t>Spreadsheet-based instantiation. Auditability. Reproducibility. AI-readability.</t>
  </si>
  <si>
    <t>6. Framework-Level Aggregation</t>
  </si>
  <si>
    <t>Mean coherence. Fracture analysis. Asymmetry profiling.</t>
  </si>
  <si>
    <t>7. Comparative Use</t>
  </si>
  <si>
    <t>How different frameworks may be evaluated without privileging ontology. Example comparisons.</t>
  </si>
  <si>
    <t>8. Limitations</t>
  </si>
  <si>
    <t>Early-stage claims. Dependence on declared domains. Not a truth oracle.</t>
  </si>
  <si>
    <t>9. Conclusion</t>
  </si>
  <si>
    <t>What this enables. Why it raises the standard of discourse.</t>
  </si>
  <si>
    <t>Appendix A</t>
  </si>
  <si>
    <t>Excel schema (tables). Scoring rubric.</t>
  </si>
  <si>
    <t>FAIRNESS CONTRACT</t>
  </si>
  <si>
    <t>Bounded Evidence Rule</t>
  </si>
  <si>
    <t>To prevent verbosity bias, each axiom-mapping decision is supported by a bounded evidence packet (≤2 sentences) and scored independently of exposition length; completeness (coverage) is reported as an orthogonal dimension rather than folded into coherence.</t>
  </si>
  <si>
    <t>S/C/U System</t>
  </si>
  <si>
    <t>For each theory T and axiom Ai: ONE excerpt (max 300 chars), ONE locator (page/section/line), ONE label (S/C/U), ONE rationale (max 200 chars).</t>
  </si>
  <si>
    <t>ACADEMIC DEFENSE PHRASES</t>
  </si>
  <si>
    <t>No Metaphysical Privilege</t>
  </si>
  <si>
    <t>This instrument evaluates structural coherence without asserting metaphysical superiority of any framework.</t>
  </si>
  <si>
    <t>Measurement Instrument</t>
  </si>
  <si>
    <t>We present this as a measurement instrument, not as a worldview or advocacy position.</t>
  </si>
  <si>
    <t>Worked Example Framing</t>
  </si>
  <si>
    <t>The following table illustrates application of the metric to a representative axiomatic framework.</t>
  </si>
  <si>
    <t>Coverage ≠ Coherence</t>
  </si>
  <si>
    <t>Coverage (% axioms addressed) and Coherence (constraint satisfaction) are orthogonal dimensions, both reported separately.</t>
  </si>
  <si>
    <t>Verbosity Protection</t>
  </si>
  <si>
    <t>Standardized evidence packets prevent longer expositions from gaining unfair advantage in scoring.</t>
  </si>
  <si>
    <t>THEOPHYSICS PLACEMENT</t>
  </si>
  <si>
    <t>Section 5: Worked Example</t>
  </si>
  <si>
    <t>Your complete Theophysics constraint table goes here as demonstration of methodology. NO claims of superiority. Language: "illustrates application of the metric" not "proves the framework."</t>
  </si>
  <si>
    <t>Section 7: Comparative Analysis</t>
  </si>
  <si>
    <t>Comparative table showing Theophysics alongside materialism, panpsychism, etc. Present as neutral structural comparison, not judgment.</t>
  </si>
  <si>
    <t xml:space="preserve">You've always came Oh yeah and I haven't been this delayed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</si>
</sst>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4"/>
      <name val="Cambria"/>
      <charset val="1"/>
    </font>
    <font>
      <b/>
      <sz val="11"/>
      <color rgb="FFFFFFFF"/>
      <name val="Cambria"/>
      <charset val="1"/>
    </font>
    <font>
      <b/>
      <sz val="16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8EA9DB"/>
        <bgColor rgb="FF969696"/>
      </patternFill>
    </fill>
    <fill>
      <patternFill patternType="solid">
        <fgColor rgb="FFD9E1F2"/>
        <bgColor rgb="FFCCFFFF"/>
      </patternFill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Font="1" applyFill="1"/>
    <xf numFmtId="0" fontId="3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2" fontId="0" fillId="0" borderId="0" xfId="0" applyNumberForma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2" fillId="2" borderId="0" xfId="0" applyFont="1" applyFill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15" zoomScaleNormal="100" workbookViewId="0">
      <selection activeCell="H16" sqref="H16"/>
    </sheetView>
  </sheetViews>
  <sheetFormatPr defaultColWidth="8.6640625" defaultRowHeight="14.4" x14ac:dyDescent="0.3"/>
  <cols>
    <col min="1" max="6" width="22" customWidth="1"/>
  </cols>
  <sheetData>
    <row r="1" spans="1:6" ht="30" customHeight="1" x14ac:dyDescent="0.3">
      <c r="A1" s="8"/>
      <c r="B1" s="8"/>
      <c r="C1" s="8"/>
      <c r="D1" s="8"/>
      <c r="E1" s="8"/>
      <c r="F1" s="8"/>
    </row>
    <row r="2" spans="1:6" ht="24.75" customHeight="1" x14ac:dyDescent="0.3">
      <c r="A2" s="9" t="s">
        <v>0</v>
      </c>
      <c r="B2" s="9"/>
      <c r="C2" s="9"/>
      <c r="D2" s="9"/>
      <c r="E2" s="9"/>
      <c r="F2" s="9"/>
    </row>
    <row r="4" spans="1:6" ht="15" customHeight="1" x14ac:dyDescent="0.3">
      <c r="A4" s="7" t="s">
        <v>1</v>
      </c>
      <c r="B4" s="7"/>
      <c r="C4" s="7"/>
      <c r="E4" s="7" t="s">
        <v>2</v>
      </c>
      <c r="F4" s="7"/>
    </row>
    <row r="5" spans="1:6" ht="15" customHeight="1" x14ac:dyDescent="0.3">
      <c r="A5" s="1" t="s">
        <v>3</v>
      </c>
      <c r="B5" t="str">
        <f>Framework_Metadata!A2</f>
        <v>THEOPHYSICS_v1</v>
      </c>
      <c r="E5" s="2" t="s">
        <v>4</v>
      </c>
      <c r="F5" s="2" t="s">
        <v>5</v>
      </c>
    </row>
    <row r="6" spans="1:6" ht="15" customHeight="1" x14ac:dyDescent="0.3">
      <c r="A6" s="1" t="s">
        <v>6</v>
      </c>
      <c r="B6">
        <f>Global_Metrics!B12</f>
        <v>4</v>
      </c>
      <c r="E6" t="str">
        <f>Axiom_Diagnostics!A3</f>
        <v>A1.1</v>
      </c>
      <c r="F6" t="str">
        <f>Axiom_Diagnostics!H3</f>
        <v>PILLAR</v>
      </c>
    </row>
    <row r="7" spans="1:6" ht="15" customHeight="1" x14ac:dyDescent="0.3">
      <c r="A7" s="1" t="s">
        <v>7</v>
      </c>
      <c r="B7">
        <f>Global_Metrics!B13</f>
        <v>0</v>
      </c>
      <c r="E7" t="str">
        <f>Axiom_Diagnostics!A4</f>
        <v>A1.2</v>
      </c>
      <c r="F7" t="str">
        <f>Axiom_Diagnostics!H4</f>
        <v>PILLAR</v>
      </c>
    </row>
    <row r="8" spans="1:6" ht="15" customHeight="1" x14ac:dyDescent="0.3">
      <c r="A8" s="1" t="s">
        <v>8</v>
      </c>
      <c r="B8" t="str">
        <f>Framework_Metadata!E2</f>
        <v>2025-12-26</v>
      </c>
      <c r="E8" t="str">
        <f>Axiom_Diagnostics!A5</f>
        <v>A2.1</v>
      </c>
      <c r="F8" t="str">
        <f>Axiom_Diagnostics!H5</f>
        <v>STABLE</v>
      </c>
    </row>
    <row r="9" spans="1:6" ht="15" customHeight="1" x14ac:dyDescent="0.3">
      <c r="E9" t="str">
        <f>Axiom_Diagnostics!A6</f>
        <v>T1.1</v>
      </c>
      <c r="F9" t="str">
        <f>Axiom_Diagnostics!H6</f>
        <v>PILLAR</v>
      </c>
    </row>
    <row r="10" spans="1:6" ht="15" customHeight="1" x14ac:dyDescent="0.3">
      <c r="A10" s="7" t="s">
        <v>9</v>
      </c>
      <c r="B10" s="7"/>
      <c r="C10" s="7"/>
    </row>
    <row r="11" spans="1:6" ht="15" customHeight="1" x14ac:dyDescent="0.3">
      <c r="A11" s="1" t="s">
        <v>10</v>
      </c>
      <c r="B11">
        <f>Global_Metrics!B3</f>
        <v>6</v>
      </c>
      <c r="C11" t="s">
        <v>11</v>
      </c>
    </row>
    <row r="12" spans="1:6" ht="15" customHeight="1" x14ac:dyDescent="0.3">
      <c r="A12" s="1" t="s">
        <v>12</v>
      </c>
      <c r="B12">
        <f>Global_Metrics!B4</f>
        <v>6</v>
      </c>
      <c r="C12" t="s">
        <v>13</v>
      </c>
    </row>
    <row r="13" spans="1:6" ht="15" customHeight="1" x14ac:dyDescent="0.3">
      <c r="A13" s="1" t="s">
        <v>14</v>
      </c>
      <c r="B13">
        <f>Global_Metrics!B5</f>
        <v>1.6329931618554521</v>
      </c>
      <c r="C13" t="s">
        <v>15</v>
      </c>
    </row>
    <row r="14" spans="1:6" ht="15" customHeight="1" x14ac:dyDescent="0.3">
      <c r="A14" s="1" t="s">
        <v>16</v>
      </c>
      <c r="B14">
        <f>Global_Metrics!B6</f>
        <v>0</v>
      </c>
      <c r="C14" t="s">
        <v>17</v>
      </c>
    </row>
    <row r="15" spans="1:6" ht="15" customHeight="1" x14ac:dyDescent="0.3">
      <c r="A15" s="1" t="s">
        <v>18</v>
      </c>
      <c r="B15">
        <f>Global_Metrics!B7</f>
        <v>0.75</v>
      </c>
      <c r="C15" t="s">
        <v>19</v>
      </c>
    </row>
    <row r="17" spans="1:6" ht="15" customHeight="1" x14ac:dyDescent="0.3">
      <c r="A17" s="7" t="s">
        <v>20</v>
      </c>
      <c r="B17" s="7"/>
      <c r="C17" s="7"/>
    </row>
    <row r="18" spans="1:6" ht="15" customHeight="1" x14ac:dyDescent="0.3">
      <c r="A18" s="1" t="s">
        <v>21</v>
      </c>
      <c r="B18">
        <f>Global_Metrics!B8</f>
        <v>2.7777777777777776E-2</v>
      </c>
      <c r="C18" t="s">
        <v>22</v>
      </c>
    </row>
    <row r="19" spans="1:6" ht="15" customHeight="1" x14ac:dyDescent="0.3">
      <c r="A19" s="1" t="s">
        <v>23</v>
      </c>
      <c r="B19">
        <f>Global_Metrics!B9</f>
        <v>0.27777777777777779</v>
      </c>
      <c r="C19" t="s">
        <v>24</v>
      </c>
      <c r="E19" s="7" t="s">
        <v>25</v>
      </c>
      <c r="F19" s="7"/>
    </row>
    <row r="20" spans="1:6" ht="15" customHeight="1" x14ac:dyDescent="0.3">
      <c r="A20" s="1" t="s">
        <v>26</v>
      </c>
      <c r="B20">
        <f>Global_Metrics!B10</f>
        <v>1</v>
      </c>
      <c r="C20" t="s">
        <v>27</v>
      </c>
      <c r="E20" s="2" t="s">
        <v>28</v>
      </c>
      <c r="F20" s="2" t="s">
        <v>29</v>
      </c>
    </row>
    <row r="21" spans="1:6" ht="15" customHeight="1" x14ac:dyDescent="0.3">
      <c r="A21" s="1" t="s">
        <v>30</v>
      </c>
      <c r="B21">
        <f>Global_Metrics!B11</f>
        <v>8</v>
      </c>
      <c r="C21" t="s">
        <v>31</v>
      </c>
      <c r="E21" t="str">
        <f>Constraint_Diagnostics!A3</f>
        <v>C1_Empirical</v>
      </c>
      <c r="F21">
        <f>Constraint_Diagnostics!D3</f>
        <v>0.75</v>
      </c>
    </row>
    <row r="22" spans="1:6" ht="15" customHeight="1" x14ac:dyDescent="0.3">
      <c r="E22" t="str">
        <f>Constraint_Diagnostics!A4</f>
        <v>C2_Internal</v>
      </c>
      <c r="F22">
        <f>Constraint_Diagnostics!D4</f>
        <v>0.75</v>
      </c>
    </row>
    <row r="23" spans="1:6" ht="15" customHeight="1" x14ac:dyDescent="0.3">
      <c r="E23" t="str">
        <f>Constraint_Diagnostics!A5</f>
        <v>C3_Parsimony</v>
      </c>
      <c r="F23">
        <f>Constraint_Diagnostics!D5</f>
        <v>0.75</v>
      </c>
    </row>
    <row r="24" spans="1:6" ht="15" customHeight="1" x14ac:dyDescent="0.3">
      <c r="A24" s="7" t="s">
        <v>32</v>
      </c>
      <c r="B24" s="7"/>
      <c r="C24" s="7"/>
      <c r="D24" s="7"/>
      <c r="E24" s="7"/>
      <c r="F24" s="7"/>
    </row>
    <row r="25" spans="1:6" ht="15" customHeight="1" x14ac:dyDescent="0.3">
      <c r="A25" t="s">
        <v>33</v>
      </c>
      <c r="B25" t="s">
        <v>34</v>
      </c>
    </row>
    <row r="26" spans="1:6" ht="15" customHeight="1" x14ac:dyDescent="0.3">
      <c r="A26" t="s">
        <v>35</v>
      </c>
      <c r="B26" t="s">
        <v>36</v>
      </c>
    </row>
    <row r="27" spans="1:6" ht="15" customHeight="1" x14ac:dyDescent="0.3">
      <c r="A27" t="s">
        <v>37</v>
      </c>
      <c r="B27" t="s">
        <v>38</v>
      </c>
    </row>
    <row r="28" spans="1:6" ht="15" customHeight="1" x14ac:dyDescent="0.3">
      <c r="A28" t="s">
        <v>39</v>
      </c>
      <c r="B28" t="s">
        <v>40</v>
      </c>
    </row>
    <row r="29" spans="1:6" ht="15" customHeight="1" x14ac:dyDescent="0.3">
      <c r="A29" t="s">
        <v>41</v>
      </c>
      <c r="B29" t="s">
        <v>42</v>
      </c>
    </row>
    <row r="30" spans="1:6" ht="15" customHeight="1" x14ac:dyDescent="0.3">
      <c r="A30" t="s">
        <v>43</v>
      </c>
      <c r="B30" t="s">
        <v>44</v>
      </c>
    </row>
    <row r="32" spans="1:6" ht="15" customHeight="1" x14ac:dyDescent="0.3">
      <c r="A32" s="7" t="s">
        <v>45</v>
      </c>
      <c r="B32" s="7"/>
      <c r="C32" s="7"/>
      <c r="D32" s="7"/>
      <c r="E32" s="7"/>
      <c r="F32" s="7"/>
    </row>
    <row r="33" spans="1:3" ht="15" customHeight="1" x14ac:dyDescent="0.3">
      <c r="A33" t="s">
        <v>46</v>
      </c>
      <c r="B33" t="s">
        <v>47</v>
      </c>
    </row>
    <row r="34" spans="1:3" ht="15" customHeight="1" x14ac:dyDescent="0.3">
      <c r="A34" t="s">
        <v>48</v>
      </c>
      <c r="B34" t="s">
        <v>49</v>
      </c>
    </row>
    <row r="35" spans="1:3" ht="15" customHeight="1" x14ac:dyDescent="0.3">
      <c r="A35" t="s">
        <v>50</v>
      </c>
      <c r="B35" t="s">
        <v>51</v>
      </c>
    </row>
    <row r="36" spans="1:3" ht="15" customHeight="1" x14ac:dyDescent="0.3">
      <c r="A36" t="s">
        <v>52</v>
      </c>
      <c r="B36" t="s">
        <v>53</v>
      </c>
    </row>
    <row r="37" spans="1:3" ht="15" customHeight="1" x14ac:dyDescent="0.3">
      <c r="A37" t="s">
        <v>54</v>
      </c>
      <c r="B37" t="s">
        <v>55</v>
      </c>
    </row>
    <row r="38" spans="1:3" ht="15" customHeight="1" x14ac:dyDescent="0.3">
      <c r="A38" t="s">
        <v>56</v>
      </c>
      <c r="B38" t="s">
        <v>57</v>
      </c>
    </row>
    <row r="41" spans="1:3" ht="15" customHeight="1" x14ac:dyDescent="0.3">
      <c r="A41" s="7" t="s">
        <v>58</v>
      </c>
      <c r="B41" s="7"/>
      <c r="C41" s="7"/>
    </row>
    <row r="42" spans="1:3" ht="15" customHeight="1" x14ac:dyDescent="0.3">
      <c r="A42" s="1" t="s">
        <v>59</v>
      </c>
      <c r="B42">
        <f>Advanced_Metrics!B5</f>
        <v>0.1111111111111111</v>
      </c>
      <c r="C42" t="s">
        <v>60</v>
      </c>
    </row>
    <row r="43" spans="1:3" ht="15" customHeight="1" x14ac:dyDescent="0.3">
      <c r="A43" s="1" t="s">
        <v>61</v>
      </c>
      <c r="B43">
        <f>Advanced_Metrics!B7</f>
        <v>2.6666666666666665</v>
      </c>
      <c r="C43" t="s">
        <v>62</v>
      </c>
    </row>
    <row r="44" spans="1:3" ht="15" customHeight="1" x14ac:dyDescent="0.3">
      <c r="A44" s="1" t="s">
        <v>63</v>
      </c>
      <c r="B44">
        <f>Advanced_Metrics!B8</f>
        <v>4</v>
      </c>
      <c r="C44" t="s">
        <v>64</v>
      </c>
    </row>
    <row r="45" spans="1:3" ht="15" customHeight="1" x14ac:dyDescent="0.3">
      <c r="A45" s="1" t="s">
        <v>65</v>
      </c>
      <c r="B45">
        <f>Advanced_Metrics!B13</f>
        <v>0</v>
      </c>
      <c r="C45" t="s">
        <v>66</v>
      </c>
    </row>
    <row r="46" spans="1:3" ht="15" customHeight="1" x14ac:dyDescent="0.3">
      <c r="A46" s="1" t="s">
        <v>67</v>
      </c>
      <c r="B46" t="str">
        <f>Advanced_Metrics!B25</f>
        <v>Count: constraint +1 in domain A, -1 in domain B (manual)</v>
      </c>
      <c r="C46" t="s">
        <v>68</v>
      </c>
    </row>
    <row r="51" spans="1:2" ht="15" customHeight="1" x14ac:dyDescent="0.3">
      <c r="A51" t="s">
        <v>69</v>
      </c>
      <c r="B51" t="s">
        <v>70</v>
      </c>
    </row>
  </sheetData>
  <mergeCells count="10">
    <mergeCell ref="A1:F1"/>
    <mergeCell ref="A2:F2"/>
    <mergeCell ref="A4:C4"/>
    <mergeCell ref="E4:F4"/>
    <mergeCell ref="A10:C10"/>
    <mergeCell ref="A17:C17"/>
    <mergeCell ref="E19:F19"/>
    <mergeCell ref="A24:F24"/>
    <mergeCell ref="A32:F32"/>
    <mergeCell ref="A41:C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zoomScaleNormal="100" workbookViewId="0">
      <selection sqref="A1:K1"/>
    </sheetView>
  </sheetViews>
  <sheetFormatPr defaultColWidth="8.6640625" defaultRowHeight="14.4" x14ac:dyDescent="0.3"/>
  <cols>
    <col min="1" max="11" width="14" customWidth="1"/>
  </cols>
  <sheetData>
    <row r="1" spans="1:11" ht="17.25" customHeight="1" x14ac:dyDescent="0.3">
      <c r="A1" s="10" t="s">
        <v>71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5" customHeight="1" x14ac:dyDescent="0.3">
      <c r="A2" s="3" t="s">
        <v>72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82</v>
      </c>
    </row>
    <row r="3" spans="1:11" ht="15" customHeight="1" x14ac:dyDescent="0.3">
      <c r="A3" t="s">
        <v>83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f>SUM(B3:J3)</f>
        <v>8</v>
      </c>
    </row>
    <row r="4" spans="1:11" ht="15" customHeight="1" x14ac:dyDescent="0.3">
      <c r="A4" t="s">
        <v>84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f>SUM(B4:J4)</f>
        <v>6</v>
      </c>
    </row>
    <row r="5" spans="1:11" ht="15" customHeight="1" x14ac:dyDescent="0.3">
      <c r="A5" t="s">
        <v>85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-1</v>
      </c>
      <c r="J5">
        <v>0</v>
      </c>
      <c r="K5">
        <f>SUM(B5:J5)</f>
        <v>4</v>
      </c>
    </row>
    <row r="6" spans="1:11" ht="15" customHeight="1" x14ac:dyDescent="0.3">
      <c r="A6" t="s">
        <v>86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f>SUM(B6:J6)</f>
        <v>6</v>
      </c>
    </row>
    <row r="10" spans="1:11" ht="15" customHeight="1" x14ac:dyDescent="0.3">
      <c r="A10" s="2" t="s">
        <v>87</v>
      </c>
    </row>
    <row r="11" spans="1:11" ht="15" customHeight="1" x14ac:dyDescent="0.3">
      <c r="A11" t="s">
        <v>88</v>
      </c>
    </row>
    <row r="12" spans="1:11" ht="15" customHeight="1" x14ac:dyDescent="0.3">
      <c r="A12" t="s">
        <v>89</v>
      </c>
    </row>
    <row r="13" spans="1:11" ht="15" customHeight="1" x14ac:dyDescent="0.3">
      <c r="A13" t="s">
        <v>90</v>
      </c>
    </row>
    <row r="14" spans="1:11" ht="15" customHeight="1" x14ac:dyDescent="0.3">
      <c r="A14" t="s">
        <v>91</v>
      </c>
    </row>
    <row r="15" spans="1:11" ht="15" customHeight="1" x14ac:dyDescent="0.3">
      <c r="A15" t="s">
        <v>92</v>
      </c>
    </row>
    <row r="16" spans="1:11" ht="15" customHeight="1" x14ac:dyDescent="0.3">
      <c r="A16" t="s">
        <v>93</v>
      </c>
    </row>
    <row r="17" spans="1:1" ht="15" customHeight="1" x14ac:dyDescent="0.3">
      <c r="A17" t="s">
        <v>94</v>
      </c>
    </row>
    <row r="18" spans="1:1" ht="15" customHeight="1" x14ac:dyDescent="0.3">
      <c r="A18" t="s">
        <v>95</v>
      </c>
    </row>
    <row r="19" spans="1:1" ht="15" customHeight="1" x14ac:dyDescent="0.3">
      <c r="A19" t="s">
        <v>96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selection sqref="A1:G1"/>
    </sheetView>
  </sheetViews>
  <sheetFormatPr defaultColWidth="8.6640625" defaultRowHeight="14.4" x14ac:dyDescent="0.3"/>
  <cols>
    <col min="1" max="3" width="18" customWidth="1"/>
    <col min="4" max="7" width="30" customWidth="1"/>
  </cols>
  <sheetData>
    <row r="1" spans="1:7" ht="17.25" customHeight="1" x14ac:dyDescent="0.3">
      <c r="A1" s="10" t="s">
        <v>97</v>
      </c>
      <c r="B1" s="10"/>
      <c r="C1" s="10"/>
      <c r="D1" s="10"/>
      <c r="E1" s="10"/>
      <c r="F1" s="10"/>
      <c r="G1" s="10"/>
    </row>
    <row r="2" spans="1:7" ht="15" customHeight="1" x14ac:dyDescent="0.3">
      <c r="A2" s="3" t="s">
        <v>98</v>
      </c>
      <c r="B2" s="3" t="s">
        <v>72</v>
      </c>
      <c r="C2" s="3" t="s">
        <v>99</v>
      </c>
      <c r="D2" s="3" t="s">
        <v>100</v>
      </c>
      <c r="E2" s="3" t="s">
        <v>101</v>
      </c>
      <c r="F2" s="3" t="s">
        <v>102</v>
      </c>
      <c r="G2" s="3" t="s">
        <v>103</v>
      </c>
    </row>
    <row r="3" spans="1:7" ht="15" customHeight="1" x14ac:dyDescent="0.3">
      <c r="A3" t="s">
        <v>104</v>
      </c>
      <c r="B3" t="s">
        <v>83</v>
      </c>
      <c r="C3" t="s">
        <v>105</v>
      </c>
      <c r="D3" t="s">
        <v>106</v>
      </c>
      <c r="E3" t="s">
        <v>107</v>
      </c>
      <c r="F3" t="s">
        <v>108</v>
      </c>
      <c r="G3">
        <f>LEN(D3)</f>
        <v>36</v>
      </c>
    </row>
    <row r="4" spans="1:7" ht="15" customHeight="1" x14ac:dyDescent="0.3">
      <c r="A4" t="s">
        <v>104</v>
      </c>
      <c r="B4" t="s">
        <v>84</v>
      </c>
      <c r="C4" t="s">
        <v>105</v>
      </c>
      <c r="D4" t="s">
        <v>109</v>
      </c>
      <c r="E4" t="s">
        <v>110</v>
      </c>
      <c r="F4" t="s">
        <v>111</v>
      </c>
      <c r="G4">
        <f>LEN(D4)</f>
        <v>33</v>
      </c>
    </row>
    <row r="5" spans="1:7" ht="15" customHeight="1" x14ac:dyDescent="0.3">
      <c r="A5" t="s">
        <v>112</v>
      </c>
      <c r="B5" t="s">
        <v>83</v>
      </c>
      <c r="C5" t="s">
        <v>113</v>
      </c>
      <c r="D5" t="s">
        <v>114</v>
      </c>
      <c r="E5" t="s">
        <v>115</v>
      </c>
      <c r="F5" t="s">
        <v>116</v>
      </c>
      <c r="G5">
        <f>LEN(D5)</f>
        <v>37</v>
      </c>
    </row>
    <row r="6" spans="1:7" ht="15" customHeight="1" x14ac:dyDescent="0.3">
      <c r="A6" t="s">
        <v>117</v>
      </c>
      <c r="B6" t="s">
        <v>83</v>
      </c>
      <c r="C6" t="s">
        <v>105</v>
      </c>
      <c r="D6" t="s">
        <v>118</v>
      </c>
      <c r="E6" t="s">
        <v>119</v>
      </c>
      <c r="F6" t="s">
        <v>120</v>
      </c>
      <c r="G6">
        <f>LEN(D6)</f>
        <v>28</v>
      </c>
    </row>
    <row r="10" spans="1:7" ht="15" customHeight="1" x14ac:dyDescent="0.3">
      <c r="A10" s="2" t="s">
        <v>121</v>
      </c>
    </row>
    <row r="11" spans="1:7" ht="15" customHeight="1" x14ac:dyDescent="0.3">
      <c r="A11" t="s">
        <v>122</v>
      </c>
    </row>
    <row r="12" spans="1:7" ht="15" customHeight="1" x14ac:dyDescent="0.3">
      <c r="A12" t="s">
        <v>123</v>
      </c>
    </row>
    <row r="13" spans="1:7" ht="15" customHeight="1" x14ac:dyDescent="0.3">
      <c r="A13" t="s">
        <v>124</v>
      </c>
    </row>
    <row r="14" spans="1:7" ht="15" customHeight="1" x14ac:dyDescent="0.3">
      <c r="A14" t="s">
        <v>125</v>
      </c>
    </row>
    <row r="15" spans="1:7" ht="15" customHeight="1" x14ac:dyDescent="0.3">
      <c r="A15" t="s">
        <v>126</v>
      </c>
    </row>
    <row r="16" spans="1:7" ht="15" customHeight="1" x14ac:dyDescent="0.3">
      <c r="A16" t="s">
        <v>127</v>
      </c>
      <c r="B16" t="s">
        <v>83</v>
      </c>
      <c r="C16" t="s">
        <v>128</v>
      </c>
      <c r="F16" t="s">
        <v>129</v>
      </c>
      <c r="G16">
        <f>LEN(D7)</f>
        <v>0</v>
      </c>
    </row>
    <row r="17" spans="1:7" ht="15" customHeight="1" x14ac:dyDescent="0.3">
      <c r="A17" t="s">
        <v>127</v>
      </c>
      <c r="B17" t="s">
        <v>84</v>
      </c>
      <c r="C17" t="s">
        <v>128</v>
      </c>
      <c r="F17" t="s">
        <v>130</v>
      </c>
      <c r="G17">
        <f>LEN(D8)</f>
        <v>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zoomScaleNormal="100" workbookViewId="0">
      <selection sqref="A1:C1"/>
    </sheetView>
  </sheetViews>
  <sheetFormatPr defaultColWidth="8.6640625" defaultRowHeight="14.4" x14ac:dyDescent="0.3"/>
  <cols>
    <col min="1" max="1" width="30" customWidth="1"/>
    <col min="2" max="3" width="50" customWidth="1"/>
  </cols>
  <sheetData>
    <row r="1" spans="1:3" ht="17.25" customHeight="1" x14ac:dyDescent="0.3">
      <c r="A1" s="10" t="s">
        <v>410</v>
      </c>
      <c r="B1" s="10"/>
      <c r="C1" s="10"/>
    </row>
    <row r="3" spans="1:3" ht="15" customHeight="1" x14ac:dyDescent="0.3">
      <c r="A3" s="7" t="s">
        <v>131</v>
      </c>
      <c r="B3" s="7"/>
      <c r="C3" s="7"/>
    </row>
    <row r="4" spans="1:3" ht="15" customHeight="1" x14ac:dyDescent="0.3">
      <c r="A4" s="2" t="s">
        <v>132</v>
      </c>
      <c r="B4" s="2" t="s">
        <v>133</v>
      </c>
      <c r="C4" s="2" t="s">
        <v>134</v>
      </c>
    </row>
    <row r="5" spans="1:3" ht="15" customHeight="1" x14ac:dyDescent="0.3">
      <c r="A5" s="2" t="s">
        <v>135</v>
      </c>
      <c r="B5">
        <f>SUMPRODUCT((COUNTIF(Constraint_Matrix!B3:B6,1)&gt;0)*1,(COUNTIF(Constraint_Matrix!C3:C6,1)&gt;0)*1,(COUNTIF(Constraint_Matrix!D3:D6,1)&gt;0)*1,(COUNTIF(Constraint_Matrix!E3:E6,1)&gt;0)*1,(COUNTIF(Constraint_Matrix!F3:F6,1)&gt;0)*1,(COUNTIF(Constraint_Matrix!G3:G6,1)&gt;0)*1,(COUNTIF(Constraint_Matrix!H3:H6,1)&gt;0)*1,(COUNTIF(Constraint_Matrix!I3:I6,1)&gt;0)*1,(COUNTIF(Constraint_Matrix!J3:J6,1)&gt;0)*1)/9</f>
        <v>0.1111111111111111</v>
      </c>
      <c r="C5" t="s">
        <v>136</v>
      </c>
    </row>
    <row r="6" spans="1:3" ht="15" customHeight="1" x14ac:dyDescent="0.3">
      <c r="A6" s="2" t="s">
        <v>137</v>
      </c>
      <c r="B6">
        <f>COUNTIF(Constraint_Matrix!B3:J6,-1)/COUNTA(Constraint_Matrix!A3:A6)</f>
        <v>0.25</v>
      </c>
      <c r="C6" t="s">
        <v>138</v>
      </c>
    </row>
    <row r="7" spans="1:3" ht="15" customHeight="1" x14ac:dyDescent="0.3">
      <c r="A7" s="2" t="s">
        <v>139</v>
      </c>
      <c r="B7">
        <f>VAR(Constraint_Matrix!K3:K6)</f>
        <v>2.6666666666666665</v>
      </c>
      <c r="C7" t="s">
        <v>140</v>
      </c>
    </row>
    <row r="8" spans="1:3" ht="15" customHeight="1" x14ac:dyDescent="0.3">
      <c r="A8" s="2" t="s">
        <v>141</v>
      </c>
      <c r="B8">
        <f>MIN(Constraint_Matrix!K3:K6)</f>
        <v>4</v>
      </c>
      <c r="C8" t="s">
        <v>142</v>
      </c>
    </row>
    <row r="9" spans="1:3" ht="15" customHeight="1" x14ac:dyDescent="0.3">
      <c r="A9" s="2" t="s">
        <v>143</v>
      </c>
      <c r="B9">
        <f>AVERAGE(SMALL(Constraint_Matrix!K3:K6,1))</f>
        <v>4</v>
      </c>
      <c r="C9" t="s">
        <v>144</v>
      </c>
    </row>
    <row r="10" spans="1:3" ht="15" customHeight="1" x14ac:dyDescent="0.3">
      <c r="A10" s="2" t="s">
        <v>145</v>
      </c>
      <c r="B10">
        <f>COUNTIF(Constraint_Matrix!K3:K6,"&lt;=0")</f>
        <v>0</v>
      </c>
      <c r="C10" t="s">
        <v>146</v>
      </c>
    </row>
    <row r="11" spans="1:3" ht="15" customHeight="1" x14ac:dyDescent="0.3">
      <c r="A11" s="2" t="s">
        <v>147</v>
      </c>
      <c r="B11">
        <f>STDEV(COUNTIF(Constraint_Matrix!B3:B6,-1),COUNTIF(Constraint_Matrix!C3:C6,-1),COUNTIF(Constraint_Matrix!D3:D6,-1),COUNTIF(Constraint_Matrix!E3:E6,-1),COUNTIF(Constraint_Matrix!F3:F6,-1),COUNTIF(Constraint_Matrix!G3:G6,-1),COUNTIF(Constraint_Matrix!H3:H6,-1),COUNTIF(Constraint_Matrix!I3:I6,-1),COUNTIF(Constraint_Matrix!J3:J6,-1))</f>
        <v>0.33333333333333331</v>
      </c>
      <c r="C11" t="s">
        <v>148</v>
      </c>
    </row>
    <row r="13" spans="1:3" ht="15" customHeight="1" x14ac:dyDescent="0.3">
      <c r="A13" s="7" t="s">
        <v>149</v>
      </c>
      <c r="B13" s="7"/>
      <c r="C13" s="7"/>
    </row>
    <row r="14" spans="1:3" ht="15" customHeight="1" x14ac:dyDescent="0.3">
      <c r="A14" s="2" t="s">
        <v>132</v>
      </c>
      <c r="B14" s="2" t="s">
        <v>133</v>
      </c>
      <c r="C14" s="2" t="s">
        <v>134</v>
      </c>
    </row>
    <row r="15" spans="1:3" ht="15" customHeight="1" x14ac:dyDescent="0.3">
      <c r="A15" s="2" t="s">
        <v>150</v>
      </c>
      <c r="B15">
        <f>COUNTIF(Constraint_Matrix!K3:K6,"&gt;0")/COUNTA(Constraint_Matrix!K3:K6)</f>
        <v>1</v>
      </c>
      <c r="C15" t="s">
        <v>151</v>
      </c>
    </row>
    <row r="16" spans="1:3" ht="15" customHeight="1" x14ac:dyDescent="0.3">
      <c r="A16" s="2" t="s">
        <v>152</v>
      </c>
      <c r="B16">
        <f>AVERAGE(Directional_Asymmetry!F3:F6)</f>
        <v>2</v>
      </c>
      <c r="C16" t="s">
        <v>153</v>
      </c>
    </row>
    <row r="17" spans="1:3" ht="15" customHeight="1" x14ac:dyDescent="0.3">
      <c r="A17" s="2" t="s">
        <v>154</v>
      </c>
      <c r="B17">
        <f>(COUNTIF(Constraint_Matrix!F3:F6,-1)+COUNTIF(Constraint_Matrix!G3:G6,-1))/COUNTA(Constraint_Matrix!A3:A6)</f>
        <v>0</v>
      </c>
      <c r="C17" t="s">
        <v>155</v>
      </c>
    </row>
    <row r="18" spans="1:3" ht="15" customHeight="1" x14ac:dyDescent="0.3">
      <c r="A18" s="2" t="s">
        <v>156</v>
      </c>
      <c r="B18">
        <f>(COUNTIF(Constraint_Matrix!H3:H6,-1)+COUNTIF(Constraint_Matrix!I3:I6,-1))-(COUNTIF(Constraint_Matrix!H3:H6,1)+COUNTIF(Constraint_Matrix!I3:I6,1))</f>
        <v>-3</v>
      </c>
      <c r="C18" t="s">
        <v>157</v>
      </c>
    </row>
    <row r="19" spans="1:3" ht="15" customHeight="1" x14ac:dyDescent="0.3">
      <c r="A19" s="2" t="s">
        <v>158</v>
      </c>
      <c r="B19" t="str">
        <f>"Requires simulation: remove each constraint, recompute net scores"</f>
        <v>Requires simulation: remove each constraint, recompute net scores</v>
      </c>
      <c r="C19" t="s">
        <v>159</v>
      </c>
    </row>
    <row r="21" spans="1:3" ht="15" customHeight="1" x14ac:dyDescent="0.3">
      <c r="A21" s="7" t="s">
        <v>160</v>
      </c>
      <c r="B21" s="7"/>
      <c r="C21" s="7"/>
    </row>
    <row r="22" spans="1:3" ht="15" customHeight="1" x14ac:dyDescent="0.3">
      <c r="A22" s="2" t="s">
        <v>132</v>
      </c>
      <c r="B22" s="2" t="s">
        <v>133</v>
      </c>
      <c r="C22" s="2" t="s">
        <v>134</v>
      </c>
    </row>
    <row r="23" spans="1:3" ht="15" customHeight="1" x14ac:dyDescent="0.3">
      <c r="A23" s="2" t="s">
        <v>161</v>
      </c>
      <c r="B23">
        <f>AVERAGE(COUNTA(Domain_Mapping!A:A))</f>
        <v>6</v>
      </c>
      <c r="C23" t="s">
        <v>162</v>
      </c>
    </row>
    <row r="24" spans="1:3" ht="15" customHeight="1" x14ac:dyDescent="0.3">
      <c r="A24" s="2" t="s">
        <v>163</v>
      </c>
      <c r="B24" t="str">
        <f>"Count axioms with same constraint +1 in ≥2 domains (manual)"</f>
        <v>Count axioms with same constraint +1 in ≥2 domains (manual)</v>
      </c>
      <c r="C24" t="s">
        <v>164</v>
      </c>
    </row>
    <row r="25" spans="1:3" ht="15" customHeight="1" x14ac:dyDescent="0.3">
      <c r="A25" s="2" t="s">
        <v>165</v>
      </c>
      <c r="B25" t="str">
        <f>"Count: constraint +1 in domain A, -1 in domain B (manual)"</f>
        <v>Count: constraint +1 in domain A, -1 in domain B (manual)</v>
      </c>
      <c r="C25" t="s">
        <v>166</v>
      </c>
    </row>
    <row r="26" spans="1:3" ht="15" customHeight="1" x14ac:dyDescent="0.3">
      <c r="A26" s="2" t="s">
        <v>167</v>
      </c>
      <c r="B26" t="str">
        <f>"Count: same constraint plays same role across axioms (manual)"</f>
        <v>Count: same constraint plays same role across axioms (manual)</v>
      </c>
      <c r="C26" t="s">
        <v>168</v>
      </c>
    </row>
    <row r="27" spans="1:3" ht="15" customHeight="1" x14ac:dyDescent="0.3">
      <c r="A27" s="2" t="s">
        <v>169</v>
      </c>
      <c r="B27" t="str">
        <f>"Measure definition stability across axioms (requires text analysis)"</f>
        <v>Measure definition stability across axioms (requires text analysis)</v>
      </c>
      <c r="C27" t="s">
        <v>170</v>
      </c>
    </row>
    <row r="29" spans="1:3" ht="15" customHeight="1" x14ac:dyDescent="0.3">
      <c r="A29" s="7" t="s">
        <v>171</v>
      </c>
      <c r="B29" s="7"/>
      <c r="C29" s="7"/>
    </row>
    <row r="30" spans="1:3" ht="15" customHeight="1" x14ac:dyDescent="0.3">
      <c r="A30" s="2" t="s">
        <v>132</v>
      </c>
      <c r="B30" s="2" t="s">
        <v>133</v>
      </c>
      <c r="C30" s="2" t="s">
        <v>134</v>
      </c>
    </row>
    <row r="31" spans="1:3" ht="15" customHeight="1" x14ac:dyDescent="0.3">
      <c r="A31" s="2" t="s">
        <v>172</v>
      </c>
      <c r="B31">
        <f>COUNTA(Constraint_Matrix!A3:A6)/COUNTA(Claim_Index!A:A)</f>
        <v>1</v>
      </c>
      <c r="C31" t="s">
        <v>173</v>
      </c>
    </row>
    <row r="32" spans="1:3" ht="15" customHeight="1" x14ac:dyDescent="0.3">
      <c r="A32" s="2" t="s">
        <v>174</v>
      </c>
      <c r="B32">
        <f>SUM(Constraint_Matrix!K3:K6)/COUNTA(Constraint_Matrix!A3:A6)</f>
        <v>6</v>
      </c>
      <c r="C32" t="s">
        <v>175</v>
      </c>
    </row>
    <row r="33" spans="1:3" ht="15" customHeight="1" x14ac:dyDescent="0.3">
      <c r="A33" s="2" t="s">
        <v>176</v>
      </c>
      <c r="B33" t="str">
        <f>"Count axioms with identical constraint satisfaction patterns (manual)"</f>
        <v>Count axioms with identical constraint satisfaction patterns (manual)</v>
      </c>
      <c r="C33" t="s">
        <v>177</v>
      </c>
    </row>
    <row r="34" spans="1:3" ht="15" customHeight="1" x14ac:dyDescent="0.3">
      <c r="A34" s="2" t="s">
        <v>178</v>
      </c>
      <c r="B34" t="str">
        <f>"Remove axioms one-by-one until net&lt;0, count removed (simulation)"</f>
        <v>Remove axioms one-by-one until net&lt;0, count removed (simulation)</v>
      </c>
      <c r="C34" t="s">
        <v>179</v>
      </c>
    </row>
    <row r="35" spans="1:3" ht="15" customHeight="1" x14ac:dyDescent="0.3">
      <c r="A35" s="2" t="s">
        <v>180</v>
      </c>
      <c r="B35" t="str">
        <f>"Longest chain of axioms required to justify another (graph analysis)"</f>
        <v>Longest chain of axioms required to justify another (graph analysis)</v>
      </c>
      <c r="C35" t="s">
        <v>181</v>
      </c>
    </row>
    <row r="37" spans="1:3" ht="15" customHeight="1" x14ac:dyDescent="0.3">
      <c r="A37" s="7" t="s">
        <v>182</v>
      </c>
      <c r="B37" s="7"/>
      <c r="C37" s="7"/>
    </row>
    <row r="38" spans="1:3" ht="15" customHeight="1" x14ac:dyDescent="0.3">
      <c r="A38" s="2" t="s">
        <v>132</v>
      </c>
      <c r="B38" s="2" t="s">
        <v>133</v>
      </c>
      <c r="C38" s="2" t="s">
        <v>134</v>
      </c>
    </row>
    <row r="39" spans="1:3" ht="15" customHeight="1" x14ac:dyDescent="0.3">
      <c r="A39" s="2" t="s">
        <v>183</v>
      </c>
      <c r="B39" t="str">
        <f>"PERCENTRANK.INC(all_theories_C1, this_theory_C1) for each constraint"</f>
        <v>PERCENTRANK.INC(all_theories_C1, this_theory_C1) for each constraint</v>
      </c>
      <c r="C39" t="s">
        <v>184</v>
      </c>
    </row>
    <row r="40" spans="1:3" ht="15" customHeight="1" x14ac:dyDescent="0.3">
      <c r="A40" s="2" t="s">
        <v>185</v>
      </c>
      <c r="B40" t="str">
        <f>"Count theories strictly worse on ALL constraints (no single better)"</f>
        <v>Count theories strictly worse on ALL constraints (no single better)</v>
      </c>
      <c r="C40" t="s">
        <v>186</v>
      </c>
    </row>
    <row r="41" spans="1:3" ht="15" customHeight="1" x14ac:dyDescent="0.3">
      <c r="A41" s="2" t="s">
        <v>187</v>
      </c>
      <c r="B41" t="str">
        <f>"[binary +1/0/-1 per constraint] → 9-dimensional vector per theory"</f>
        <v>[binary +1/0/-1 per constraint] → 9-dimensional vector per theory</v>
      </c>
      <c r="C41" t="s">
        <v>188</v>
      </c>
    </row>
    <row r="42" spans="1:3" ht="15" customHeight="1" x14ac:dyDescent="0.3">
      <c r="A42" s="2" t="s">
        <v>189</v>
      </c>
      <c r="B42">
        <f>ABS(SUM(Constraint_Matrix!K3:K6))/SQRT(COUNTA(Constraint_Matrix!K3:K6))</f>
        <v>12</v>
      </c>
      <c r="C42" t="s">
        <v>190</v>
      </c>
    </row>
    <row r="45" spans="1:3" ht="15" customHeight="1" x14ac:dyDescent="0.3">
      <c r="A45" s="2" t="s">
        <v>191</v>
      </c>
    </row>
    <row r="46" spans="1:3" ht="15" customHeight="1" x14ac:dyDescent="0.3">
      <c r="A46" s="11" t="s">
        <v>192</v>
      </c>
      <c r="B46" s="11"/>
      <c r="C46" s="11"/>
    </row>
    <row r="47" spans="1:3" ht="15" customHeight="1" x14ac:dyDescent="0.3">
      <c r="A47" s="11" t="s">
        <v>193</v>
      </c>
      <c r="B47" s="11"/>
      <c r="C47" s="11"/>
    </row>
    <row r="48" spans="1:3" ht="15" customHeight="1" x14ac:dyDescent="0.3">
      <c r="A48" s="11" t="s">
        <v>194</v>
      </c>
      <c r="B48" s="11"/>
      <c r="C48" s="11"/>
    </row>
    <row r="49" spans="1:3" ht="15" customHeight="1" x14ac:dyDescent="0.3">
      <c r="A49" s="11" t="s">
        <v>195</v>
      </c>
      <c r="B49" s="11"/>
      <c r="C49" s="11"/>
    </row>
  </sheetData>
  <mergeCells count="10">
    <mergeCell ref="A1:C1"/>
    <mergeCell ref="A3:C3"/>
    <mergeCell ref="A13:C13"/>
    <mergeCell ref="A21:C21"/>
    <mergeCell ref="A29:C29"/>
    <mergeCell ref="A37:C37"/>
    <mergeCell ref="A46:C46"/>
    <mergeCell ref="A47:C47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zoomScaleNormal="100" workbookViewId="0">
      <selection sqref="A1:C1"/>
    </sheetView>
  </sheetViews>
  <sheetFormatPr defaultColWidth="8.6640625" defaultRowHeight="14.4" x14ac:dyDescent="0.3"/>
  <cols>
    <col min="1" max="2" width="25" customWidth="1"/>
    <col min="3" max="3" width="45" customWidth="1"/>
  </cols>
  <sheetData>
    <row r="1" spans="1:3" ht="17.25" customHeight="1" x14ac:dyDescent="0.3">
      <c r="A1" s="10" t="s">
        <v>196</v>
      </c>
      <c r="B1" s="10"/>
      <c r="C1" s="10"/>
    </row>
    <row r="2" spans="1:3" ht="15" customHeight="1" x14ac:dyDescent="0.3">
      <c r="A2" s="4" t="s">
        <v>197</v>
      </c>
      <c r="B2" s="4" t="s">
        <v>198</v>
      </c>
      <c r="C2" s="4" t="s">
        <v>199</v>
      </c>
    </row>
    <row r="3" spans="1:3" ht="15" customHeight="1" x14ac:dyDescent="0.3">
      <c r="A3" t="s">
        <v>10</v>
      </c>
      <c r="B3">
        <f>AVERAGE(Constraint_Matrix!K3:K6)</f>
        <v>6</v>
      </c>
      <c r="C3" t="s">
        <v>200</v>
      </c>
    </row>
    <row r="4" spans="1:3" ht="15" customHeight="1" x14ac:dyDescent="0.3">
      <c r="A4" t="s">
        <v>12</v>
      </c>
      <c r="B4">
        <f>MEDIAN(Constraint_Matrix!K3:K6)</f>
        <v>6</v>
      </c>
      <c r="C4" t="s">
        <v>201</v>
      </c>
    </row>
    <row r="5" spans="1:3" ht="15" customHeight="1" x14ac:dyDescent="0.3">
      <c r="A5" t="s">
        <v>202</v>
      </c>
      <c r="B5">
        <f>STDEV(Constraint_Matrix!K3:K6)</f>
        <v>1.6329931618554521</v>
      </c>
      <c r="C5" t="s">
        <v>203</v>
      </c>
    </row>
    <row r="6" spans="1:3" ht="15" customHeight="1" x14ac:dyDescent="0.3">
      <c r="A6" t="s">
        <v>16</v>
      </c>
      <c r="B6">
        <f>COUNTIF(Constraint_Matrix!K3:K6,"&lt;=0")/COUNTA(Constraint_Matrix!K3:K6)</f>
        <v>0</v>
      </c>
      <c r="C6" t="s">
        <v>204</v>
      </c>
    </row>
    <row r="7" spans="1:3" ht="15" customHeight="1" x14ac:dyDescent="0.3">
      <c r="A7" t="s">
        <v>18</v>
      </c>
      <c r="B7">
        <f>COUNTIF(Constraint_Matrix!K3:K6,"&gt;=6")/COUNTA(Constraint_Matrix!K3:K6)</f>
        <v>0.75</v>
      </c>
      <c r="C7" t="s">
        <v>205</v>
      </c>
    </row>
    <row r="8" spans="1:3" ht="15" customHeight="1" x14ac:dyDescent="0.3">
      <c r="A8" t="s">
        <v>21</v>
      </c>
      <c r="B8">
        <f>COUNTIF(Constraint_Matrix!B3:J6,-1)/(COUNTA(Constraint_Matrix!A3:A6)*9)</f>
        <v>2.7777777777777776E-2</v>
      </c>
      <c r="C8" t="s">
        <v>206</v>
      </c>
    </row>
    <row r="9" spans="1:3" ht="15" customHeight="1" x14ac:dyDescent="0.3">
      <c r="A9" t="s">
        <v>23</v>
      </c>
      <c r="B9">
        <f>COUNTIF(Constraint_Matrix!B3:J6,0)/(COUNTA(Constraint_Matrix!A3:A6)*9)</f>
        <v>0.27777777777777779</v>
      </c>
      <c r="C9" t="s">
        <v>207</v>
      </c>
    </row>
    <row r="10" spans="1:3" ht="15" customHeight="1" x14ac:dyDescent="0.3">
      <c r="A10" t="s">
        <v>26</v>
      </c>
      <c r="B10">
        <f>SUMPRODUCT((COUNTIF(Constraint_Matrix!B3:B6,1)&gt;0)*1)</f>
        <v>1</v>
      </c>
      <c r="C10" t="s">
        <v>208</v>
      </c>
    </row>
    <row r="11" spans="1:3" ht="15" customHeight="1" x14ac:dyDescent="0.3">
      <c r="A11" t="s">
        <v>30</v>
      </c>
      <c r="B11">
        <f>9-B10</f>
        <v>8</v>
      </c>
      <c r="C11" t="s">
        <v>209</v>
      </c>
    </row>
    <row r="12" spans="1:3" ht="15" customHeight="1" x14ac:dyDescent="0.3">
      <c r="A12" t="s">
        <v>6</v>
      </c>
      <c r="B12">
        <f>COUNTA(Constraint_Matrix!A3:A6)</f>
        <v>4</v>
      </c>
      <c r="C12" t="s">
        <v>210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zoomScaleNormal="100" workbookViewId="0">
      <selection sqref="A1:G1"/>
    </sheetView>
  </sheetViews>
  <sheetFormatPr defaultColWidth="8.6640625" defaultRowHeight="14.4" x14ac:dyDescent="0.3"/>
  <cols>
    <col min="1" max="6" width="18" customWidth="1"/>
    <col min="7" max="7" width="40" customWidth="1"/>
  </cols>
  <sheetData>
    <row r="1" spans="1:7" ht="17.25" customHeight="1" x14ac:dyDescent="0.3">
      <c r="A1" s="10" t="s">
        <v>211</v>
      </c>
      <c r="B1" s="10"/>
      <c r="C1" s="10"/>
      <c r="D1" s="10"/>
      <c r="E1" s="10"/>
      <c r="F1" s="10"/>
      <c r="G1" s="10"/>
    </row>
    <row r="2" spans="1:7" ht="15" customHeight="1" x14ac:dyDescent="0.3">
      <c r="A2" s="4" t="s">
        <v>212</v>
      </c>
      <c r="B2" s="4" t="s">
        <v>213</v>
      </c>
      <c r="C2" s="4" t="s">
        <v>214</v>
      </c>
      <c r="D2" s="4" t="s">
        <v>215</v>
      </c>
      <c r="E2" s="4" t="s">
        <v>216</v>
      </c>
      <c r="F2" s="4" t="s">
        <v>217</v>
      </c>
      <c r="G2" s="4" t="s">
        <v>199</v>
      </c>
    </row>
    <row r="3" spans="1:7" ht="15" customHeight="1" x14ac:dyDescent="0.3">
      <c r="A3" t="s">
        <v>73</v>
      </c>
      <c r="B3">
        <f>COUNTIF(Constraint_Matrix!B3:B6,1)/COUNTA(Constraint_Matrix!B3:B6)</f>
        <v>0.75</v>
      </c>
      <c r="C3">
        <f>COUNTIF(Constraint_Matrix!B3:B6,-1)/COUNTA(Constraint_Matrix!B3:B6)</f>
        <v>0</v>
      </c>
      <c r="D3">
        <f t="shared" ref="D3:D11" si="0">B3-C3</f>
        <v>0.75</v>
      </c>
      <c r="E3">
        <f>AVERAGE(Constraint_Matrix!B3:B6)</f>
        <v>0.75</v>
      </c>
      <c r="F3">
        <f>STDEV(Constraint_Matrix!B3:B6)</f>
        <v>0.5</v>
      </c>
      <c r="G3" t="str">
        <f t="shared" ref="G3:G11" si="1">IF(D3&gt;0.5,"Strong positive",IF(D3&gt;0,"Weak positive",IF(D3&gt;-0.3,"Neutral","Problem area")))</f>
        <v>Strong positive</v>
      </c>
    </row>
    <row r="4" spans="1:7" ht="15" customHeight="1" x14ac:dyDescent="0.3">
      <c r="A4" t="s">
        <v>74</v>
      </c>
      <c r="B4">
        <f>COUNTIF(Constraint_Matrix!C3:C6,1)/COUNTA(Constraint_Matrix!C3:C6)</f>
        <v>0.75</v>
      </c>
      <c r="C4">
        <f>COUNTIF(Constraint_Matrix!C3:C6,-1)/COUNTA(Constraint_Matrix!C3:C6)</f>
        <v>0</v>
      </c>
      <c r="D4">
        <f t="shared" si="0"/>
        <v>0.75</v>
      </c>
      <c r="E4">
        <f>AVERAGE(Constraint_Matrix!C3:C6)</f>
        <v>0.75</v>
      </c>
      <c r="F4">
        <f>STDEV(Constraint_Matrix!C3:C6)</f>
        <v>0.5</v>
      </c>
      <c r="G4" t="str">
        <f t="shared" si="1"/>
        <v>Strong positive</v>
      </c>
    </row>
    <row r="5" spans="1:7" ht="15" customHeight="1" x14ac:dyDescent="0.3">
      <c r="A5" t="s">
        <v>75</v>
      </c>
      <c r="B5">
        <f>COUNTIF(Constraint_Matrix!D3:D6,1)/COUNTA(Constraint_Matrix!D3:D6)</f>
        <v>0.75</v>
      </c>
      <c r="C5">
        <f>COUNTIF(Constraint_Matrix!D3:D6,-1)/COUNTA(Constraint_Matrix!D3:D6)</f>
        <v>0</v>
      </c>
      <c r="D5">
        <f t="shared" si="0"/>
        <v>0.75</v>
      </c>
      <c r="E5">
        <f>AVERAGE(Constraint_Matrix!D3:D6)</f>
        <v>0.75</v>
      </c>
      <c r="F5">
        <f>STDEV(Constraint_Matrix!D3:D6)</f>
        <v>0.5</v>
      </c>
      <c r="G5" t="str">
        <f t="shared" si="1"/>
        <v>Strong positive</v>
      </c>
    </row>
    <row r="6" spans="1:7" ht="15" customHeight="1" x14ac:dyDescent="0.3">
      <c r="A6" t="s">
        <v>76</v>
      </c>
      <c r="B6">
        <f>COUNTIF(Constraint_Matrix!E3:E6,1)/COUNTA(Constraint_Matrix!E3:E6)</f>
        <v>0.5</v>
      </c>
      <c r="C6">
        <f>COUNTIF(Constraint_Matrix!E3:E6,-1)/COUNTA(Constraint_Matrix!E3:E6)</f>
        <v>0</v>
      </c>
      <c r="D6">
        <f t="shared" si="0"/>
        <v>0.5</v>
      </c>
      <c r="E6">
        <f>AVERAGE(Constraint_Matrix!E3:E6)</f>
        <v>0.5</v>
      </c>
      <c r="F6">
        <f>STDEV(Constraint_Matrix!E3:E6)</f>
        <v>0.57735026918962573</v>
      </c>
      <c r="G6" t="str">
        <f t="shared" si="1"/>
        <v>Weak positive</v>
      </c>
    </row>
    <row r="7" spans="1:7" ht="15" customHeight="1" x14ac:dyDescent="0.3">
      <c r="A7" t="s">
        <v>77</v>
      </c>
      <c r="B7">
        <f>COUNTIF(Constraint_Matrix!F3:F6,1)/COUNTA(Constraint_Matrix!F3:F6)</f>
        <v>0.75</v>
      </c>
      <c r="C7">
        <f>COUNTIF(Constraint_Matrix!F3:F6,-1)/COUNTA(Constraint_Matrix!F3:F6)</f>
        <v>0</v>
      </c>
      <c r="D7">
        <f t="shared" si="0"/>
        <v>0.75</v>
      </c>
      <c r="E7">
        <f>AVERAGE(Constraint_Matrix!F3:F6)</f>
        <v>0.75</v>
      </c>
      <c r="F7">
        <f>STDEV(Constraint_Matrix!F3:F6)</f>
        <v>0.5</v>
      </c>
      <c r="G7" t="str">
        <f t="shared" si="1"/>
        <v>Strong positive</v>
      </c>
    </row>
    <row r="8" spans="1:7" ht="15" customHeight="1" x14ac:dyDescent="0.3">
      <c r="A8" t="s">
        <v>78</v>
      </c>
      <c r="B8">
        <f>COUNTIF(Constraint_Matrix!G3:G6,1)/COUNTA(Constraint_Matrix!G3:G6)</f>
        <v>1</v>
      </c>
      <c r="C8">
        <f>COUNTIF(Constraint_Matrix!G3:G6,-1)/COUNTA(Constraint_Matrix!G3:G6)</f>
        <v>0</v>
      </c>
      <c r="D8">
        <f t="shared" si="0"/>
        <v>1</v>
      </c>
      <c r="E8">
        <f>AVERAGE(Constraint_Matrix!G3:G6)</f>
        <v>1</v>
      </c>
      <c r="F8">
        <f>STDEV(Constraint_Matrix!G3:G6)</f>
        <v>0</v>
      </c>
      <c r="G8" t="str">
        <f t="shared" si="1"/>
        <v>Strong positive</v>
      </c>
    </row>
    <row r="9" spans="1:7" ht="15" customHeight="1" x14ac:dyDescent="0.3">
      <c r="A9" t="s">
        <v>79</v>
      </c>
      <c r="B9">
        <f>COUNTIF(Constraint_Matrix!H3:H6,1)/COUNTA(Constraint_Matrix!H3:H6)</f>
        <v>0.75</v>
      </c>
      <c r="C9">
        <f>COUNTIF(Constraint_Matrix!H3:H6,-1)/COUNTA(Constraint_Matrix!H3:H6)</f>
        <v>0</v>
      </c>
      <c r="D9">
        <f t="shared" si="0"/>
        <v>0.75</v>
      </c>
      <c r="E9">
        <f>AVERAGE(Constraint_Matrix!H3:H6)</f>
        <v>0.75</v>
      </c>
      <c r="F9">
        <f>STDEV(Constraint_Matrix!H3:H6)</f>
        <v>0.5</v>
      </c>
      <c r="G9" t="str">
        <f t="shared" si="1"/>
        <v>Strong positive</v>
      </c>
    </row>
    <row r="10" spans="1:7" ht="15" customHeight="1" x14ac:dyDescent="0.3">
      <c r="A10" t="s">
        <v>80</v>
      </c>
      <c r="B10">
        <f>COUNTIF(Constraint_Matrix!I3:I6,1)/COUNTA(Constraint_Matrix!I3:I6)</f>
        <v>0.25</v>
      </c>
      <c r="C10">
        <f>COUNTIF(Constraint_Matrix!I3:I6,-1)/COUNTA(Constraint_Matrix!I3:I6)</f>
        <v>0.25</v>
      </c>
      <c r="D10">
        <f t="shared" si="0"/>
        <v>0</v>
      </c>
      <c r="E10">
        <f>AVERAGE(Constraint_Matrix!I3:I6)</f>
        <v>0</v>
      </c>
      <c r="F10">
        <f>STDEV(Constraint_Matrix!I3:I6)</f>
        <v>0.81649658092772603</v>
      </c>
      <c r="G10" t="str">
        <f t="shared" si="1"/>
        <v>Neutral</v>
      </c>
    </row>
    <row r="11" spans="1:7" ht="15" customHeight="1" x14ac:dyDescent="0.3">
      <c r="A11" t="s">
        <v>81</v>
      </c>
      <c r="B11">
        <f>COUNTIF(Constraint_Matrix!J3:J6,1)/COUNTA(Constraint_Matrix!J3:J6)</f>
        <v>0.75</v>
      </c>
      <c r="C11">
        <f>COUNTIF(Constraint_Matrix!J3:J6,-1)/COUNTA(Constraint_Matrix!J3:J6)</f>
        <v>0</v>
      </c>
      <c r="D11">
        <f t="shared" si="0"/>
        <v>0.75</v>
      </c>
      <c r="E11">
        <f>AVERAGE(Constraint_Matrix!J3:J6)</f>
        <v>0.75</v>
      </c>
      <c r="F11">
        <f>STDEV(Constraint_Matrix!J3:J6)</f>
        <v>0.5</v>
      </c>
      <c r="G11" t="str">
        <f t="shared" si="1"/>
        <v>Strong positive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zoomScaleNormal="100" workbookViewId="0">
      <selection sqref="A1:H1"/>
    </sheetView>
  </sheetViews>
  <sheetFormatPr defaultColWidth="8.6640625" defaultRowHeight="14.4" x14ac:dyDescent="0.3"/>
  <cols>
    <col min="1" max="7" width="16" customWidth="1"/>
    <col min="8" max="8" width="35" customWidth="1"/>
  </cols>
  <sheetData>
    <row r="1" spans="1:8" ht="17.25" customHeight="1" x14ac:dyDescent="0.3">
      <c r="A1" s="10" t="s">
        <v>218</v>
      </c>
      <c r="B1" s="10"/>
      <c r="C1" s="10"/>
      <c r="D1" s="10"/>
      <c r="E1" s="10"/>
      <c r="F1" s="10"/>
      <c r="G1" s="10"/>
      <c r="H1" s="10"/>
    </row>
    <row r="2" spans="1:8" ht="15" customHeight="1" x14ac:dyDescent="0.3">
      <c r="A2" s="4" t="s">
        <v>72</v>
      </c>
      <c r="B2" s="4" t="s">
        <v>219</v>
      </c>
      <c r="C2" s="4" t="s">
        <v>220</v>
      </c>
      <c r="D2" s="4" t="s">
        <v>221</v>
      </c>
      <c r="E2" s="4" t="s">
        <v>222</v>
      </c>
      <c r="F2" s="4" t="s">
        <v>82</v>
      </c>
      <c r="G2" s="4" t="s">
        <v>223</v>
      </c>
      <c r="H2" s="4" t="s">
        <v>199</v>
      </c>
    </row>
    <row r="3" spans="1:8" ht="15" customHeight="1" x14ac:dyDescent="0.3">
      <c r="A3" t="str">
        <f>Constraint_Matrix!A3</f>
        <v>A1.1</v>
      </c>
      <c r="B3">
        <f>COUNTIF(Constraint_Matrix!B3:J3,-1)</f>
        <v>0</v>
      </c>
      <c r="C3">
        <f>COUNTA(Constraint_Matrix!B3:J3)-COUNTIF(Constraint_Matrix!B3:J3,0)</f>
        <v>8</v>
      </c>
      <c r="D3">
        <f>COUNTIF(Constraint_Matrix!B3:J3,0)</f>
        <v>1</v>
      </c>
      <c r="E3">
        <f>COUNTIF(Constraint_Matrix!B3:J3,1)-COUNTIF(Constraint_Matrix!B3:J3,-1)</f>
        <v>8</v>
      </c>
      <c r="F3">
        <f>Constraint_Matrix!K3</f>
        <v>8</v>
      </c>
      <c r="G3">
        <f>RANK(B3,B$3:B$6,1)</f>
        <v>1</v>
      </c>
      <c r="H3" t="str">
        <f>IF(B3&gt;3,"HIGH RISK",IF(B3&gt;1,"MODERATE",IF(F3&gt;=6,"PILLAR","STABLE")))</f>
        <v>PILLAR</v>
      </c>
    </row>
    <row r="4" spans="1:8" ht="15" customHeight="1" x14ac:dyDescent="0.3">
      <c r="A4" t="str">
        <f>Constraint_Matrix!A4</f>
        <v>A1.2</v>
      </c>
      <c r="B4">
        <f>COUNTIF(Constraint_Matrix!B4:J4,-1)</f>
        <v>0</v>
      </c>
      <c r="C4">
        <f>COUNTA(Constraint_Matrix!B4:J4)-COUNTIF(Constraint_Matrix!B4:J4,0)</f>
        <v>6</v>
      </c>
      <c r="D4">
        <f>COUNTIF(Constraint_Matrix!B4:J4,0)</f>
        <v>3</v>
      </c>
      <c r="E4">
        <f>COUNTIF(Constraint_Matrix!B4:J4,1)-COUNTIF(Constraint_Matrix!B4:J4,-1)</f>
        <v>6</v>
      </c>
      <c r="F4">
        <f>Constraint_Matrix!K4</f>
        <v>6</v>
      </c>
      <c r="G4">
        <f>RANK(B4,B$3:B$6,1)</f>
        <v>1</v>
      </c>
      <c r="H4" t="str">
        <f>IF(B4&gt;3,"HIGH RISK",IF(B4&gt;1,"MODERATE",IF(F4&gt;=6,"PILLAR","STABLE")))</f>
        <v>PILLAR</v>
      </c>
    </row>
    <row r="5" spans="1:8" ht="15" customHeight="1" x14ac:dyDescent="0.3">
      <c r="A5" t="str">
        <f>Constraint_Matrix!A5</f>
        <v>A2.1</v>
      </c>
      <c r="B5">
        <f>COUNTIF(Constraint_Matrix!B5:J5,-1)</f>
        <v>1</v>
      </c>
      <c r="C5">
        <f>COUNTA(Constraint_Matrix!B5:J5)-COUNTIF(Constraint_Matrix!B5:J5,0)</f>
        <v>6</v>
      </c>
      <c r="D5">
        <f>COUNTIF(Constraint_Matrix!B5:J5,0)</f>
        <v>3</v>
      </c>
      <c r="E5">
        <f>COUNTIF(Constraint_Matrix!B5:J5,1)-COUNTIF(Constraint_Matrix!B5:J5,-1)</f>
        <v>4</v>
      </c>
      <c r="F5">
        <f>Constraint_Matrix!K5</f>
        <v>4</v>
      </c>
      <c r="G5">
        <f>RANK(B5,B$3:B$6,1)</f>
        <v>4</v>
      </c>
      <c r="H5" t="str">
        <f>IF(B5&gt;3,"HIGH RISK",IF(B5&gt;1,"MODERATE",IF(F5&gt;=6,"PILLAR","STABLE")))</f>
        <v>STABLE</v>
      </c>
    </row>
    <row r="6" spans="1:8" ht="15" customHeight="1" x14ac:dyDescent="0.3">
      <c r="A6" t="str">
        <f>Constraint_Matrix!A6</f>
        <v>T1.1</v>
      </c>
      <c r="B6">
        <f>COUNTIF(Constraint_Matrix!B6:J6,-1)</f>
        <v>0</v>
      </c>
      <c r="C6">
        <f>COUNTA(Constraint_Matrix!B6:J6)-COUNTIF(Constraint_Matrix!B6:J6,0)</f>
        <v>6</v>
      </c>
      <c r="D6">
        <f>COUNTIF(Constraint_Matrix!B6:J6,0)</f>
        <v>3</v>
      </c>
      <c r="E6">
        <f>COUNTIF(Constraint_Matrix!B6:J6,1)-COUNTIF(Constraint_Matrix!B6:J6,-1)</f>
        <v>6</v>
      </c>
      <c r="F6">
        <f>Constraint_Matrix!K6</f>
        <v>6</v>
      </c>
      <c r="G6">
        <f>RANK(B6,B$3:B$6,1)</f>
        <v>1</v>
      </c>
      <c r="H6" t="str">
        <f>IF(B6&gt;3,"HIGH RISK",IF(B6&gt;1,"MODERATE",IF(F6&gt;=6,"PILLAR","STABLE")))</f>
        <v>PILLAR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zoomScaleNormal="100" workbookViewId="0">
      <selection sqref="A1:E1"/>
    </sheetView>
  </sheetViews>
  <sheetFormatPr defaultColWidth="8.6640625" defaultRowHeight="14.4" x14ac:dyDescent="0.3"/>
  <cols>
    <col min="1" max="4" width="18" customWidth="1"/>
    <col min="5" max="5" width="40" customWidth="1"/>
  </cols>
  <sheetData>
    <row r="1" spans="1:5" ht="17.25" customHeight="1" x14ac:dyDescent="0.3">
      <c r="A1" s="10" t="s">
        <v>224</v>
      </c>
      <c r="B1" s="10"/>
      <c r="C1" s="10"/>
      <c r="D1" s="10"/>
      <c r="E1" s="10"/>
    </row>
    <row r="2" spans="1:5" ht="15" customHeight="1" x14ac:dyDescent="0.3">
      <c r="A2" s="4" t="s">
        <v>98</v>
      </c>
      <c r="B2" s="4" t="s">
        <v>225</v>
      </c>
      <c r="C2" s="4" t="s">
        <v>226</v>
      </c>
      <c r="D2" s="4" t="s">
        <v>227</v>
      </c>
      <c r="E2" s="4" t="s">
        <v>199</v>
      </c>
    </row>
    <row r="3" spans="1:5" ht="15" customHeight="1" x14ac:dyDescent="0.3">
      <c r="A3" t="s">
        <v>104</v>
      </c>
      <c r="B3">
        <f>(COUNTIFS(Theory_Mapping!A:A,A3,Theory_Mapping!C:C,"S")+COUNTIFS(Theory_Mapping!A:A,A3,Theory_Mapping!C:C,"C"))/COUNTIF(Theory_Mapping!A:A,A3)</f>
        <v>1</v>
      </c>
      <c r="C3">
        <f>COUNTIFS(Theory_Mapping!A:A,A3,Theory_Mapping!C:C,"C")/(COUNTIFS(Theory_Mapping!A:A,A3,Theory_Mapping!C:C,"S")+COUNTIFS(Theory_Mapping!A:A,A3,Theory_Mapping!C:C,"C"))</f>
        <v>0</v>
      </c>
      <c r="D3">
        <f>COUNTIFS(Theory_Mapping!A:A,A3,Theory_Mapping!C:C,"S")/(COUNTIFS(Theory_Mapping!A:A,A3,Theory_Mapping!C:C,"S")+COUNTIFS(Theory_Mapping!A:A,A3,Theory_Mapping!C:C,"C"))</f>
        <v>1</v>
      </c>
      <c r="E3" t="str">
        <f>IF(AND(B3&gt;0.8,D3&gt;0.7),"Complete &amp; Coherent",IF(B3&lt;0.5,"Underspecified",IF(C3&gt;0.5,"High Contradiction","Moderate")))</f>
        <v>Complete &amp; Coherent</v>
      </c>
    </row>
    <row r="4" spans="1:5" ht="15" customHeight="1" x14ac:dyDescent="0.3">
      <c r="A4" t="s">
        <v>112</v>
      </c>
      <c r="B4">
        <f>(COUNTIFS(Theory_Mapping!A:A,A4,Theory_Mapping!C:C,"S")+COUNTIFS(Theory_Mapping!A:A,A4,Theory_Mapping!C:C,"C"))/COUNTIF(Theory_Mapping!A:A,A4)</f>
        <v>1</v>
      </c>
      <c r="C4">
        <f>COUNTIFS(Theory_Mapping!A:A,A4,Theory_Mapping!C:C,"C")/(COUNTIFS(Theory_Mapping!A:A,A4,Theory_Mapping!C:C,"S")+COUNTIFS(Theory_Mapping!A:A,A4,Theory_Mapping!C:C,"C"))</f>
        <v>1</v>
      </c>
      <c r="D4">
        <f>COUNTIFS(Theory_Mapping!A:A,A4,Theory_Mapping!C:C,"S")/(COUNTIFS(Theory_Mapping!A:A,A4,Theory_Mapping!C:C,"S")+COUNTIFS(Theory_Mapping!A:A,A4,Theory_Mapping!C:C,"C"))</f>
        <v>0</v>
      </c>
      <c r="E4" t="str">
        <f>IF(AND(B4&gt;0.8,D4&gt;0.7),"Complete &amp; Coherent",IF(B4&lt;0.5,"Underspecified",IF(C4&gt;0.5,"High Contradiction","Moderate")))</f>
        <v>High Contradiction</v>
      </c>
    </row>
    <row r="5" spans="1:5" ht="15" customHeight="1" x14ac:dyDescent="0.3">
      <c r="A5" t="s">
        <v>117</v>
      </c>
      <c r="B5">
        <f>(COUNTIFS(Theory_Mapping!A:A,A5,Theory_Mapping!C:C,"S")+COUNTIFS(Theory_Mapping!A:A,A5,Theory_Mapping!C:C,"C"))/COUNTIF(Theory_Mapping!A:A,A5)</f>
        <v>1</v>
      </c>
      <c r="C5">
        <f>COUNTIFS(Theory_Mapping!A:A,A5,Theory_Mapping!C:C,"C")/(COUNTIFS(Theory_Mapping!A:A,A5,Theory_Mapping!C:C,"S")+COUNTIFS(Theory_Mapping!A:A,A5,Theory_Mapping!C:C,"C"))</f>
        <v>0</v>
      </c>
      <c r="D5">
        <f>COUNTIFS(Theory_Mapping!A:A,A5,Theory_Mapping!C:C,"S")/(COUNTIFS(Theory_Mapping!A:A,A5,Theory_Mapping!C:C,"S")+COUNTIFS(Theory_Mapping!A:A,A5,Theory_Mapping!C:C,"C"))</f>
        <v>1</v>
      </c>
      <c r="E5" t="str">
        <f>IF(AND(B5&gt;0.8,D5&gt;0.7),"Complete &amp; Coherent",IF(B5&lt;0.5,"Underspecified",IF(C5&gt;0.5,"High Contradiction","Moderate")))</f>
        <v>Complete &amp; Coherent</v>
      </c>
    </row>
    <row r="6" spans="1:5" ht="15" customHeight="1" x14ac:dyDescent="0.3">
      <c r="A6" t="s">
        <v>127</v>
      </c>
      <c r="B6">
        <f>(COUNTIFS(Theory_Mapping!A:A,A6,Theory_Mapping!C:C,"S")+COUNTIFS(Theory_Mapping!A:A,A6,Theory_Mapping!C:C,"C"))/COUNTIF(Theory_Mapping!A:A,A6)</f>
        <v>0</v>
      </c>
      <c r="C6">
        <f>IF((COUNTIFS(Theory_Mapping!A:A,A6,Theory_Mapping!C:C,"S")+COUNTIFS(Theory_Mapping!A:A,A6,Theory_Mapping!C:C,"C"))=0,0,COUNTIFS(Theory_Mapping!A:A,A6,Theory_Mapping!C:C,"C")/(COUNTIFS(Theory_Mapping!A:A,A6,Theory_Mapping!C:C,"S")+COUNTIFS(Theory_Mapping!A:A,A6,Theory_Mapping!C:C,"C")))</f>
        <v>0</v>
      </c>
      <c r="D6">
        <f>IF((COUNTIFS(Theory_Mapping!A:A,A6,Theory_Mapping!C:C,"S")+COUNTIFS(Theory_Mapping!A:A,A6,Theory_Mapping!C:C,"C"))=0,0,COUNTIFS(Theory_Mapping!A:A,A6,Theory_Mapping!C:C,"S")/(COUNTIFS(Theory_Mapping!A:A,A6,Theory_Mapping!C:C,"S")+COUNTIFS(Theory_Mapping!A:A,A6,Theory_Mapping!C:C,"C")))</f>
        <v>0</v>
      </c>
      <c r="E6" t="str">
        <f>IF(AND(B6&gt;0.8,D6&gt;0.7),"Complete &amp; Coherent",IF(B6&lt;0.5,"Underspecified",IF(C6&gt;0.5,"High Contradiction","Moderate")))</f>
        <v>Underspecified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zoomScaleNormal="100" workbookViewId="0">
      <selection sqref="A1:F1"/>
    </sheetView>
  </sheetViews>
  <sheetFormatPr defaultColWidth="8.6640625" defaultRowHeight="14.4" x14ac:dyDescent="0.3"/>
  <cols>
    <col min="1" max="11" width="18" customWidth="1"/>
  </cols>
  <sheetData>
    <row r="1" spans="1:11" ht="15" customHeight="1" x14ac:dyDescent="0.3">
      <c r="A1" s="3" t="s">
        <v>228</v>
      </c>
      <c r="B1" s="3" t="s">
        <v>229</v>
      </c>
      <c r="C1" s="3" t="s">
        <v>230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235</v>
      </c>
      <c r="I1" s="3" t="s">
        <v>236</v>
      </c>
      <c r="J1" s="3" t="s">
        <v>237</v>
      </c>
      <c r="K1" s="3" t="s">
        <v>238</v>
      </c>
    </row>
    <row r="2" spans="1:11" ht="15" customHeight="1" x14ac:dyDescent="0.3">
      <c r="A2" t="s">
        <v>239</v>
      </c>
      <c r="B2" t="s">
        <v>240</v>
      </c>
      <c r="C2" t="s">
        <v>241</v>
      </c>
      <c r="D2" t="s">
        <v>242</v>
      </c>
      <c r="E2" t="s">
        <v>243</v>
      </c>
      <c r="F2" t="s">
        <v>244</v>
      </c>
      <c r="G2">
        <v>0.35</v>
      </c>
      <c r="H2">
        <v>0.35</v>
      </c>
      <c r="I2">
        <v>0.3</v>
      </c>
      <c r="J2">
        <v>2.5</v>
      </c>
      <c r="K2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zoomScaleNormal="100" workbookViewId="0"/>
  </sheetViews>
  <sheetFormatPr defaultColWidth="8.6640625" defaultRowHeight="14.4" x14ac:dyDescent="0.3"/>
  <cols>
    <col min="1" max="2" width="20" customWidth="1"/>
    <col min="3" max="3" width="40" customWidth="1"/>
    <col min="4" max="7" width="20" customWidth="1"/>
  </cols>
  <sheetData>
    <row r="1" spans="1:7" ht="15" customHeight="1" x14ac:dyDescent="0.3">
      <c r="A1" s="3" t="s">
        <v>246</v>
      </c>
      <c r="B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99</v>
      </c>
    </row>
    <row r="2" spans="1:7" ht="15" customHeight="1" x14ac:dyDescent="0.3">
      <c r="A2" t="s">
        <v>83</v>
      </c>
      <c r="B2" t="s">
        <v>252</v>
      </c>
      <c r="C2" t="s">
        <v>253</v>
      </c>
      <c r="D2" t="s">
        <v>254</v>
      </c>
      <c r="E2" t="s">
        <v>255</v>
      </c>
      <c r="F2">
        <v>0</v>
      </c>
      <c r="G2" t="s">
        <v>256</v>
      </c>
    </row>
    <row r="3" spans="1:7" ht="15" customHeight="1" x14ac:dyDescent="0.3">
      <c r="A3" t="s">
        <v>84</v>
      </c>
      <c r="B3" t="s">
        <v>257</v>
      </c>
      <c r="C3" t="s">
        <v>258</v>
      </c>
      <c r="D3" t="s">
        <v>254</v>
      </c>
      <c r="E3" t="s">
        <v>259</v>
      </c>
      <c r="F3">
        <v>0</v>
      </c>
      <c r="G3" t="s">
        <v>256</v>
      </c>
    </row>
    <row r="4" spans="1:7" ht="15" customHeight="1" x14ac:dyDescent="0.3">
      <c r="A4" t="s">
        <v>86</v>
      </c>
      <c r="B4" t="s">
        <v>260</v>
      </c>
      <c r="C4" t="s">
        <v>261</v>
      </c>
      <c r="D4" t="s">
        <v>262</v>
      </c>
      <c r="E4" t="s">
        <v>263</v>
      </c>
      <c r="F4">
        <v>2</v>
      </c>
      <c r="G4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zoomScaleNormal="100" workbookViewId="0"/>
  </sheetViews>
  <sheetFormatPr defaultColWidth="8.6640625" defaultRowHeight="14.4" x14ac:dyDescent="0.3"/>
  <cols>
    <col min="1" max="2" width="20" customWidth="1"/>
    <col min="3" max="3" width="25" customWidth="1"/>
    <col min="4" max="6" width="20" customWidth="1"/>
  </cols>
  <sheetData>
    <row r="1" spans="1:6" ht="15" customHeight="1" x14ac:dyDescent="0.3">
      <c r="A1" s="3" t="s">
        <v>246</v>
      </c>
      <c r="B1" s="3" t="s">
        <v>264</v>
      </c>
      <c r="C1" s="3" t="s">
        <v>265</v>
      </c>
      <c r="D1" s="3" t="s">
        <v>266</v>
      </c>
      <c r="E1" s="3" t="s">
        <v>267</v>
      </c>
      <c r="F1" s="3" t="s">
        <v>238</v>
      </c>
    </row>
    <row r="2" spans="1:6" ht="15" customHeight="1" x14ac:dyDescent="0.3">
      <c r="A2" t="s">
        <v>83</v>
      </c>
      <c r="B2" t="s">
        <v>268</v>
      </c>
      <c r="C2" t="s">
        <v>269</v>
      </c>
      <c r="D2" t="s">
        <v>270</v>
      </c>
      <c r="E2" t="s">
        <v>271</v>
      </c>
    </row>
    <row r="3" spans="1:6" ht="15" customHeight="1" x14ac:dyDescent="0.3">
      <c r="A3" t="s">
        <v>83</v>
      </c>
      <c r="B3" t="s">
        <v>272</v>
      </c>
      <c r="C3" t="s">
        <v>273</v>
      </c>
      <c r="D3" t="s">
        <v>274</v>
      </c>
      <c r="E3" t="s">
        <v>271</v>
      </c>
    </row>
    <row r="4" spans="1:6" ht="15" customHeight="1" x14ac:dyDescent="0.3">
      <c r="A4" t="s">
        <v>83</v>
      </c>
      <c r="B4" t="s">
        <v>275</v>
      </c>
      <c r="C4" t="s">
        <v>276</v>
      </c>
      <c r="D4" t="s">
        <v>277</v>
      </c>
      <c r="E4" t="s">
        <v>271</v>
      </c>
    </row>
    <row r="5" spans="1:6" ht="15" customHeight="1" x14ac:dyDescent="0.3">
      <c r="A5" t="s">
        <v>84</v>
      </c>
      <c r="B5" t="s">
        <v>268</v>
      </c>
      <c r="C5" t="s">
        <v>278</v>
      </c>
      <c r="D5" t="s">
        <v>279</v>
      </c>
      <c r="E5" t="s">
        <v>271</v>
      </c>
    </row>
    <row r="6" spans="1:6" ht="15" customHeight="1" x14ac:dyDescent="0.3">
      <c r="A6" t="s">
        <v>84</v>
      </c>
      <c r="B6" t="s">
        <v>280</v>
      </c>
      <c r="C6" t="s">
        <v>281</v>
      </c>
      <c r="D6" t="s">
        <v>282</v>
      </c>
      <c r="E6" t="s">
        <v>271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zoomScaleNormal="100" workbookViewId="0"/>
  </sheetViews>
  <sheetFormatPr defaultColWidth="8.6640625" defaultRowHeight="14.4" x14ac:dyDescent="0.3"/>
  <cols>
    <col min="1" max="5" width="18" customWidth="1"/>
    <col min="6" max="6" width="40" customWidth="1"/>
  </cols>
  <sheetData>
    <row r="1" spans="1:6" ht="15" customHeight="1" x14ac:dyDescent="0.3">
      <c r="A1" s="3" t="s">
        <v>246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</row>
    <row r="2" spans="1:6" ht="15" customHeight="1" x14ac:dyDescent="0.3">
      <c r="A2" t="s">
        <v>83</v>
      </c>
      <c r="B2">
        <f>COUNTIF(Domain_Mapping!A:A,A2)</f>
        <v>3</v>
      </c>
      <c r="C2">
        <f>SUMIF(Domain_Mapping!A:A,A2,Domain_Mapping!E:E)</f>
        <v>0</v>
      </c>
      <c r="D2">
        <f>IF(B2&gt;0,C2/B2,0)</f>
        <v>0</v>
      </c>
      <c r="E2">
        <f>D2*5</f>
        <v>0</v>
      </c>
      <c r="F2" t="s">
        <v>288</v>
      </c>
    </row>
    <row r="3" spans="1:6" ht="15" customHeight="1" x14ac:dyDescent="0.3">
      <c r="A3" t="s">
        <v>84</v>
      </c>
      <c r="B3">
        <f>COUNTIF(Domain_Mapping!A:A,A3)</f>
        <v>2</v>
      </c>
      <c r="C3">
        <f>SUMIF(Domain_Mapping!A:A,A3,Domain_Mapping!E:E)</f>
        <v>0</v>
      </c>
      <c r="D3">
        <f>IF(B3&gt;0,C3/B3,0)</f>
        <v>0</v>
      </c>
      <c r="E3">
        <f>D3*5</f>
        <v>0</v>
      </c>
      <c r="F3" t="s">
        <v>289</v>
      </c>
    </row>
    <row r="4" spans="1:6" ht="15" customHeight="1" x14ac:dyDescent="0.3">
      <c r="A4" t="s">
        <v>86</v>
      </c>
      <c r="B4">
        <f>COUNTIF(Domain_Mapping!A:A,A4)</f>
        <v>0</v>
      </c>
      <c r="C4">
        <f>SUMIF(Domain_Mapping!A:A,A4,Domain_Mapping!E:E)</f>
        <v>0</v>
      </c>
      <c r="D4">
        <f>IF(B4&gt;0,C4/B4,0)</f>
        <v>0</v>
      </c>
      <c r="E4">
        <f>D4*5</f>
        <v>0</v>
      </c>
      <c r="F4" t="s">
        <v>290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zoomScaleNormal="100" workbookViewId="0"/>
  </sheetViews>
  <sheetFormatPr defaultColWidth="8.6640625" defaultRowHeight="14.4" x14ac:dyDescent="0.3"/>
  <cols>
    <col min="1" max="7" width="18" customWidth="1"/>
    <col min="8" max="8" width="40" customWidth="1"/>
  </cols>
  <sheetData>
    <row r="1" spans="1:8" ht="15" customHeight="1" x14ac:dyDescent="0.3">
      <c r="A1" s="3" t="s">
        <v>246</v>
      </c>
      <c r="B1" s="3" t="s">
        <v>291</v>
      </c>
      <c r="C1" s="3" t="s">
        <v>292</v>
      </c>
      <c r="D1" s="3" t="s">
        <v>293</v>
      </c>
      <c r="E1" s="3" t="s">
        <v>294</v>
      </c>
      <c r="F1" s="3" t="s">
        <v>295</v>
      </c>
      <c r="G1" s="3" t="s">
        <v>296</v>
      </c>
      <c r="H1" s="3" t="s">
        <v>297</v>
      </c>
    </row>
    <row r="2" spans="1:8" ht="15" customHeight="1" x14ac:dyDescent="0.3">
      <c r="A2" t="s">
        <v>83</v>
      </c>
      <c r="B2" s="5">
        <v>3</v>
      </c>
      <c r="C2" s="5">
        <v>2</v>
      </c>
      <c r="D2" t="s">
        <v>271</v>
      </c>
      <c r="E2" s="5">
        <v>1</v>
      </c>
      <c r="F2">
        <f>B2+C2+IF(D2="yes",1,0)-E2</f>
        <v>5</v>
      </c>
      <c r="G2">
        <f>MIN(F2,5)</f>
        <v>5</v>
      </c>
      <c r="H2" t="s">
        <v>298</v>
      </c>
    </row>
    <row r="3" spans="1:8" ht="15" customHeight="1" x14ac:dyDescent="0.3">
      <c r="A3" t="s">
        <v>84</v>
      </c>
      <c r="B3" s="5">
        <v>2</v>
      </c>
      <c r="C3" s="5">
        <v>2</v>
      </c>
      <c r="D3" t="s">
        <v>271</v>
      </c>
      <c r="E3" s="5">
        <v>2</v>
      </c>
      <c r="F3">
        <f>B3+C3+IF(D3="yes",1,0)-E3</f>
        <v>3</v>
      </c>
      <c r="G3">
        <f>MIN(F3,5)</f>
        <v>3</v>
      </c>
      <c r="H3" t="s">
        <v>299</v>
      </c>
    </row>
    <row r="4" spans="1:8" ht="15" customHeight="1" x14ac:dyDescent="0.3">
      <c r="A4" t="s">
        <v>86</v>
      </c>
      <c r="B4" s="5">
        <v>1</v>
      </c>
      <c r="C4" s="5">
        <v>1</v>
      </c>
      <c r="D4" t="s">
        <v>300</v>
      </c>
      <c r="E4" s="5">
        <v>3</v>
      </c>
      <c r="F4">
        <f>B4+C4+IF(D4="yes",1,0)-E4</f>
        <v>-1</v>
      </c>
      <c r="G4">
        <f>MIN(F4,5)</f>
        <v>-1</v>
      </c>
      <c r="H4" t="s">
        <v>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zoomScaleNormal="100" workbookViewId="0"/>
  </sheetViews>
  <sheetFormatPr defaultColWidth="8.6640625" defaultRowHeight="14.4" x14ac:dyDescent="0.3"/>
  <cols>
    <col min="1" max="7" width="18" customWidth="1"/>
    <col min="8" max="8" width="40" customWidth="1"/>
  </cols>
  <sheetData>
    <row r="1" spans="1:9" ht="15" customHeight="1" x14ac:dyDescent="0.3">
      <c r="A1" s="3" t="s">
        <v>246</v>
      </c>
      <c r="B1" s="3" t="s">
        <v>302</v>
      </c>
      <c r="C1" s="3" t="s">
        <v>303</v>
      </c>
      <c r="D1" s="3" t="s">
        <v>304</v>
      </c>
      <c r="E1" s="3" t="s">
        <v>305</v>
      </c>
      <c r="F1" s="3" t="s">
        <v>306</v>
      </c>
      <c r="G1" s="3" t="s">
        <v>307</v>
      </c>
      <c r="H1" s="3" t="s">
        <v>308</v>
      </c>
      <c r="I1" t="s">
        <v>309</v>
      </c>
    </row>
    <row r="2" spans="1:9" ht="15" customHeight="1" x14ac:dyDescent="0.3">
      <c r="I2" t="s">
        <v>310</v>
      </c>
    </row>
    <row r="3" spans="1:9" ht="15" customHeight="1" x14ac:dyDescent="0.3">
      <c r="I3" t="s">
        <v>311</v>
      </c>
    </row>
    <row r="4" spans="1:9" ht="15" customHeight="1" x14ac:dyDescent="0.3">
      <c r="I4" t="s">
        <v>312</v>
      </c>
    </row>
    <row r="5" spans="1:9" ht="15" customHeight="1" x14ac:dyDescent="0.3">
      <c r="I5" t="s">
        <v>313</v>
      </c>
    </row>
    <row r="6" spans="1:9" ht="15" customHeight="1" x14ac:dyDescent="0.3">
      <c r="A6" t="s">
        <v>83</v>
      </c>
      <c r="B6" t="s">
        <v>314</v>
      </c>
      <c r="C6" t="s">
        <v>315</v>
      </c>
      <c r="D6" t="s">
        <v>316</v>
      </c>
      <c r="E6" t="s">
        <v>271</v>
      </c>
      <c r="F6">
        <v>2</v>
      </c>
      <c r="G6">
        <v>3</v>
      </c>
      <c r="H6" t="s">
        <v>317</v>
      </c>
    </row>
    <row r="7" spans="1:9" ht="15" customHeight="1" x14ac:dyDescent="0.3">
      <c r="A7" t="s">
        <v>84</v>
      </c>
      <c r="B7" t="s">
        <v>318</v>
      </c>
      <c r="C7" t="s">
        <v>319</v>
      </c>
      <c r="D7" t="s">
        <v>320</v>
      </c>
      <c r="E7" t="s">
        <v>300</v>
      </c>
      <c r="F7">
        <v>-1</v>
      </c>
      <c r="G7">
        <v>1</v>
      </c>
      <c r="H7" t="s">
        <v>321</v>
      </c>
    </row>
    <row r="8" spans="1:9" ht="15" customHeight="1" x14ac:dyDescent="0.3">
      <c r="A8" t="s">
        <v>86</v>
      </c>
      <c r="B8" t="s">
        <v>314</v>
      </c>
      <c r="C8" t="s">
        <v>315</v>
      </c>
      <c r="D8" t="s">
        <v>322</v>
      </c>
      <c r="E8" t="s">
        <v>271</v>
      </c>
      <c r="F8">
        <v>2</v>
      </c>
      <c r="G8">
        <v>3</v>
      </c>
      <c r="H8" t="s">
        <v>323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zoomScaleNormal="100" workbookViewId="0"/>
  </sheetViews>
  <sheetFormatPr defaultColWidth="8.6640625" defaultRowHeight="14.4" x14ac:dyDescent="0.3"/>
  <cols>
    <col min="1" max="6" width="15" customWidth="1"/>
    <col min="7" max="7" width="30" customWidth="1"/>
  </cols>
  <sheetData>
    <row r="1" spans="1:7" ht="15" customHeight="1" x14ac:dyDescent="0.3">
      <c r="A1" s="3" t="s">
        <v>246</v>
      </c>
      <c r="B1" s="3" t="s">
        <v>324</v>
      </c>
      <c r="C1" s="3" t="s">
        <v>325</v>
      </c>
      <c r="D1" s="3" t="s">
        <v>326</v>
      </c>
      <c r="E1" s="3" t="s">
        <v>327</v>
      </c>
      <c r="F1" s="3" t="s">
        <v>328</v>
      </c>
      <c r="G1" s="3" t="s">
        <v>329</v>
      </c>
    </row>
    <row r="2" spans="1:7" ht="15" customHeight="1" x14ac:dyDescent="0.3">
      <c r="A2" t="s">
        <v>83</v>
      </c>
      <c r="B2">
        <f>VLOOKUP(A2,XDTI_Score!A:E,5,FALSE())</f>
        <v>0</v>
      </c>
      <c r="C2">
        <f>VLOOKUP(A2,Constraint_Density!A:G,7,FALSE())</f>
        <v>5</v>
      </c>
      <c r="D2">
        <f>VLOOKUP(A2,Directional_Asymmetry!A:G,7,FALSE())</f>
        <v>3</v>
      </c>
      <c r="E2">
        <f>B2*Framework_Metadata!$G$2+C2*Framework_Metadata!$H$2+D2*Framework_Metadata!$I$2</f>
        <v>2.65</v>
      </c>
      <c r="F2" t="str">
        <f>IF(E2&gt;=Framework_Metadata!$J$2,"PASS","FAIL")</f>
        <v>PASS</v>
      </c>
      <c r="G2" t="s">
        <v>330</v>
      </c>
    </row>
    <row r="3" spans="1:7" ht="15" customHeight="1" x14ac:dyDescent="0.3">
      <c r="A3" t="s">
        <v>84</v>
      </c>
      <c r="B3">
        <f>VLOOKUP(A3,XDTI_Score!A:E,5,FALSE())</f>
        <v>0</v>
      </c>
      <c r="C3">
        <f>VLOOKUP(A3,Constraint_Density!A:G,7,FALSE())</f>
        <v>3</v>
      </c>
      <c r="D3">
        <f>VLOOKUP(A3,Directional_Asymmetry!A:G,7,FALSE())</f>
        <v>1</v>
      </c>
      <c r="E3">
        <f>B3*Framework_Metadata!$G$2+C3*Framework_Metadata!$H$2+D3*Framework_Metadata!$I$2</f>
        <v>1.3499999999999999</v>
      </c>
      <c r="F3" t="str">
        <f>IF(E3&gt;=Framework_Metadata!$J$2,"PASS","FAIL")</f>
        <v>FAIL</v>
      </c>
      <c r="G3" t="s">
        <v>331</v>
      </c>
    </row>
    <row r="4" spans="1:7" ht="15" customHeight="1" x14ac:dyDescent="0.3">
      <c r="A4" t="s">
        <v>86</v>
      </c>
      <c r="B4">
        <f>VLOOKUP(A4,XDTI_Score!A:E,5,FALSE())</f>
        <v>0</v>
      </c>
      <c r="C4">
        <f>VLOOKUP(A4,Constraint_Density!A:G,7,FALSE())</f>
        <v>-1</v>
      </c>
      <c r="D4">
        <f>VLOOKUP(A4,Directional_Asymmetry!A:G,7,FALSE())</f>
        <v>3</v>
      </c>
      <c r="E4">
        <f>B4*Framework_Metadata!$G$2+C4*Framework_Metadata!$H$2+D4*Framework_Metadata!$I$2</f>
        <v>0.54999999999999993</v>
      </c>
      <c r="F4" t="str">
        <f>IF(E4&gt;=Framework_Metadata!$J$2,"PASS","FAIL")</f>
        <v>FAIL</v>
      </c>
      <c r="G4" t="s">
        <v>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zoomScaleNormal="100" workbookViewId="0"/>
  </sheetViews>
  <sheetFormatPr defaultColWidth="8.6640625" defaultRowHeight="14.4" x14ac:dyDescent="0.3"/>
  <cols>
    <col min="1" max="2" width="20" customWidth="1"/>
    <col min="3" max="3" width="25" customWidth="1"/>
  </cols>
  <sheetData>
    <row r="1" spans="1:3" ht="15" customHeight="1" x14ac:dyDescent="0.3">
      <c r="A1" s="3" t="s">
        <v>333</v>
      </c>
      <c r="B1" s="3" t="s">
        <v>334</v>
      </c>
      <c r="C1" s="3" t="s">
        <v>199</v>
      </c>
    </row>
    <row r="2" spans="1:3" ht="15" customHeight="1" x14ac:dyDescent="0.3">
      <c r="A2" t="s">
        <v>335</v>
      </c>
      <c r="B2">
        <f>AVERAGE(Claim_Total_Score!E:E)</f>
        <v>1.5166666666666666</v>
      </c>
      <c r="C2" t="s">
        <v>336</v>
      </c>
    </row>
    <row r="3" spans="1:3" ht="15" customHeight="1" x14ac:dyDescent="0.3">
      <c r="A3" t="s">
        <v>337</v>
      </c>
      <c r="B3">
        <f>COUNTIF(Claim_Total_Score!F:F,"FAIL")</f>
        <v>2</v>
      </c>
      <c r="C3" t="s">
        <v>338</v>
      </c>
    </row>
    <row r="4" spans="1:3" ht="15" customHeight="1" x14ac:dyDescent="0.3">
      <c r="A4" t="s">
        <v>339</v>
      </c>
      <c r="B4">
        <f>COUNTIF(Directional_Asymmetry!B:B,"↑coherence")/COUNTA(Directional_Asymmetry!B:B)</f>
        <v>0.5</v>
      </c>
      <c r="C4" t="s">
        <v>340</v>
      </c>
    </row>
    <row r="5" spans="1:3" ht="15" customHeight="1" x14ac:dyDescent="0.3">
      <c r="A5" t="s">
        <v>341</v>
      </c>
      <c r="B5" t="str">
        <f>INDEX(Claim_Total_Score!A:A,MATCH(MIN(Claim_Total_Score!E:E),Claim_Total_Score!E:E,0))</f>
        <v>T1.1</v>
      </c>
      <c r="C5" t="s">
        <v>342</v>
      </c>
    </row>
    <row r="6" spans="1:3" ht="15" customHeight="1" x14ac:dyDescent="0.3">
      <c r="A6" t="s">
        <v>343</v>
      </c>
      <c r="B6" t="str">
        <f>INDEX(Claim_Total_Score!A:A,MATCH(MAX(Claim_Total_Score!E:E),Claim_Total_Score!E:E,0))</f>
        <v>A1.1</v>
      </c>
      <c r="C6" t="s">
        <v>344</v>
      </c>
    </row>
    <row r="7" spans="1:3" ht="15" customHeight="1" x14ac:dyDescent="0.3">
      <c r="A7" t="s">
        <v>345</v>
      </c>
      <c r="B7">
        <f>COUNTIF(Claim_Total_Score!F:F,"PASS")/COUNTA(Claim_Total_Score!F:F)</f>
        <v>0.25</v>
      </c>
      <c r="C7" t="s">
        <v>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tabSelected="1" zoomScaleNormal="100" workbookViewId="0"/>
  </sheetViews>
  <sheetFormatPr defaultColWidth="8.6640625" defaultRowHeight="14.4" x14ac:dyDescent="0.3"/>
  <cols>
    <col min="1" max="4" width="20" customWidth="1"/>
    <col min="5" max="5" width="40" customWidth="1"/>
  </cols>
  <sheetData>
    <row r="1" spans="1:5" ht="15" customHeight="1" x14ac:dyDescent="0.3">
      <c r="A1" s="3" t="s">
        <v>347</v>
      </c>
      <c r="B1" s="3" t="s">
        <v>216</v>
      </c>
      <c r="C1" s="3" t="s">
        <v>348</v>
      </c>
      <c r="D1" s="3" t="s">
        <v>349</v>
      </c>
      <c r="E1" s="3" t="s">
        <v>238</v>
      </c>
    </row>
    <row r="2" spans="1:5" ht="15" customHeight="1" x14ac:dyDescent="0.3">
      <c r="A2" t="s">
        <v>104</v>
      </c>
      <c r="B2">
        <f>Framework_Summary!B2</f>
        <v>1.5166666666666666</v>
      </c>
      <c r="C2">
        <f>Framework_Summary!B3</f>
        <v>2</v>
      </c>
      <c r="D2">
        <f>Framework_Summary!B4</f>
        <v>0.5</v>
      </c>
      <c r="E2" t="s">
        <v>350</v>
      </c>
    </row>
    <row r="3" spans="1:5" ht="15" customHeight="1" x14ac:dyDescent="0.3">
      <c r="A3" t="s">
        <v>112</v>
      </c>
      <c r="B3" s="5">
        <v>2.8</v>
      </c>
      <c r="C3" s="5">
        <v>8</v>
      </c>
      <c r="D3" s="5">
        <v>0.15</v>
      </c>
      <c r="E3" t="s">
        <v>351</v>
      </c>
    </row>
    <row r="4" spans="1:5" ht="15" customHeight="1" x14ac:dyDescent="0.3">
      <c r="A4" t="s">
        <v>117</v>
      </c>
      <c r="B4" s="5">
        <v>3.2</v>
      </c>
      <c r="C4" s="5">
        <v>5</v>
      </c>
      <c r="D4" s="5">
        <v>0.4</v>
      </c>
      <c r="E4" t="s">
        <v>352</v>
      </c>
    </row>
    <row r="5" spans="1:5" ht="15" customHeight="1" x14ac:dyDescent="0.3">
      <c r="A5" t="s">
        <v>127</v>
      </c>
      <c r="B5" s="5">
        <v>4.0999999999999996</v>
      </c>
      <c r="C5" s="5">
        <v>2</v>
      </c>
      <c r="D5" s="5">
        <v>0.2</v>
      </c>
      <c r="E5" t="s">
        <v>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8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80" customWidth="1"/>
  </cols>
  <sheetData>
    <row r="1" spans="1:2" ht="19.5" customHeight="1" x14ac:dyDescent="0.35">
      <c r="A1" s="13" t="s">
        <v>354</v>
      </c>
      <c r="B1" s="13"/>
    </row>
    <row r="3" spans="1:2" ht="15" customHeight="1" x14ac:dyDescent="0.3">
      <c r="A3" s="6" t="s">
        <v>355</v>
      </c>
      <c r="B3" t="s">
        <v>356</v>
      </c>
    </row>
    <row r="4" spans="1:2" ht="15" customHeight="1" x14ac:dyDescent="0.3">
      <c r="A4" s="2" t="s">
        <v>357</v>
      </c>
      <c r="B4" t="s">
        <v>358</v>
      </c>
    </row>
    <row r="6" spans="1:2" ht="15" customHeight="1" x14ac:dyDescent="0.3">
      <c r="A6" s="12" t="s">
        <v>359</v>
      </c>
      <c r="B6" s="12"/>
    </row>
    <row r="7" spans="1:2" ht="15" customHeight="1" x14ac:dyDescent="0.3">
      <c r="A7" s="2" t="s">
        <v>360</v>
      </c>
      <c r="B7" t="s">
        <v>361</v>
      </c>
    </row>
    <row r="8" spans="1:2" ht="15" customHeight="1" x14ac:dyDescent="0.3">
      <c r="A8" s="2" t="s">
        <v>362</v>
      </c>
      <c r="B8" t="s">
        <v>363</v>
      </c>
    </row>
    <row r="9" spans="1:2" ht="15" customHeight="1" x14ac:dyDescent="0.3">
      <c r="A9" s="2" t="s">
        <v>364</v>
      </c>
      <c r="B9" t="s">
        <v>365</v>
      </c>
    </row>
    <row r="10" spans="1:2" ht="15" customHeight="1" x14ac:dyDescent="0.3">
      <c r="A10" s="2" t="s">
        <v>366</v>
      </c>
      <c r="B10" t="s">
        <v>367</v>
      </c>
    </row>
    <row r="12" spans="1:2" ht="15" customHeight="1" x14ac:dyDescent="0.3">
      <c r="A12" s="12" t="s">
        <v>368</v>
      </c>
      <c r="B12" s="12"/>
    </row>
    <row r="13" spans="1:2" ht="15" customHeight="1" x14ac:dyDescent="0.3">
      <c r="A13" s="2" t="s">
        <v>369</v>
      </c>
      <c r="B13" t="s">
        <v>370</v>
      </c>
    </row>
    <row r="14" spans="1:2" ht="15" customHeight="1" x14ac:dyDescent="0.3">
      <c r="A14" s="2" t="s">
        <v>371</v>
      </c>
      <c r="B14" t="s">
        <v>372</v>
      </c>
    </row>
    <row r="15" spans="1:2" ht="15" customHeight="1" x14ac:dyDescent="0.3">
      <c r="A15" s="2" t="s">
        <v>373</v>
      </c>
      <c r="B15" t="s">
        <v>374</v>
      </c>
    </row>
    <row r="16" spans="1:2" ht="15" customHeight="1" x14ac:dyDescent="0.3">
      <c r="A16" s="2" t="s">
        <v>375</v>
      </c>
      <c r="B16" t="s">
        <v>376</v>
      </c>
    </row>
    <row r="17" spans="1:2" ht="15" customHeight="1" x14ac:dyDescent="0.3">
      <c r="A17" s="2" t="s">
        <v>377</v>
      </c>
      <c r="B17" t="s">
        <v>378</v>
      </c>
    </row>
    <row r="18" spans="1:2" ht="15" customHeight="1" x14ac:dyDescent="0.3">
      <c r="A18" s="2" t="s">
        <v>379</v>
      </c>
      <c r="B18" t="s">
        <v>380</v>
      </c>
    </row>
    <row r="19" spans="1:2" ht="15" customHeight="1" x14ac:dyDescent="0.3">
      <c r="A19" s="2" t="s">
        <v>381</v>
      </c>
      <c r="B19" t="s">
        <v>382</v>
      </c>
    </row>
    <row r="20" spans="1:2" ht="15" customHeight="1" x14ac:dyDescent="0.3">
      <c r="A20" s="2" t="s">
        <v>383</v>
      </c>
      <c r="B20" t="s">
        <v>384</v>
      </c>
    </row>
    <row r="21" spans="1:2" ht="15" customHeight="1" x14ac:dyDescent="0.3">
      <c r="A21" s="2" t="s">
        <v>385</v>
      </c>
      <c r="B21" t="s">
        <v>386</v>
      </c>
    </row>
    <row r="22" spans="1:2" ht="15" customHeight="1" x14ac:dyDescent="0.3">
      <c r="A22" s="2" t="s">
        <v>387</v>
      </c>
      <c r="B22" t="s">
        <v>388</v>
      </c>
    </row>
    <row r="24" spans="1:2" ht="15" customHeight="1" x14ac:dyDescent="0.3">
      <c r="A24" s="12" t="s">
        <v>389</v>
      </c>
      <c r="B24" s="12"/>
    </row>
    <row r="25" spans="1:2" ht="15" customHeight="1" x14ac:dyDescent="0.3">
      <c r="A25" s="2" t="s">
        <v>390</v>
      </c>
      <c r="B25" t="s">
        <v>391</v>
      </c>
    </row>
    <row r="27" spans="1:2" ht="15" customHeight="1" x14ac:dyDescent="0.3">
      <c r="A27" s="2" t="s">
        <v>392</v>
      </c>
      <c r="B27" t="s">
        <v>393</v>
      </c>
    </row>
    <row r="29" spans="1:2" ht="15" customHeight="1" x14ac:dyDescent="0.3">
      <c r="A29" s="12" t="s">
        <v>394</v>
      </c>
      <c r="B29" s="12"/>
    </row>
    <row r="30" spans="1:2" ht="15" customHeight="1" x14ac:dyDescent="0.3">
      <c r="A30" s="2" t="s">
        <v>395</v>
      </c>
      <c r="B30" t="s">
        <v>396</v>
      </c>
    </row>
    <row r="31" spans="1:2" ht="15" customHeight="1" x14ac:dyDescent="0.3">
      <c r="A31" s="2" t="s">
        <v>397</v>
      </c>
      <c r="B31" t="s">
        <v>398</v>
      </c>
    </row>
    <row r="32" spans="1:2" ht="15" customHeight="1" x14ac:dyDescent="0.3">
      <c r="A32" s="2" t="s">
        <v>399</v>
      </c>
      <c r="B32" t="s">
        <v>400</v>
      </c>
    </row>
    <row r="33" spans="1:2" ht="15" customHeight="1" x14ac:dyDescent="0.3">
      <c r="A33" s="2" t="s">
        <v>401</v>
      </c>
      <c r="B33" t="s">
        <v>402</v>
      </c>
    </row>
    <row r="34" spans="1:2" ht="15" customHeight="1" x14ac:dyDescent="0.3">
      <c r="A34" s="2" t="s">
        <v>403</v>
      </c>
      <c r="B34" t="s">
        <v>404</v>
      </c>
    </row>
    <row r="36" spans="1:2" ht="15" customHeight="1" x14ac:dyDescent="0.3">
      <c r="A36" s="12" t="s">
        <v>405</v>
      </c>
      <c r="B36" s="12"/>
    </row>
    <row r="37" spans="1:2" ht="15" customHeight="1" x14ac:dyDescent="0.3">
      <c r="A37" s="2" t="s">
        <v>406</v>
      </c>
      <c r="B37" t="s">
        <v>407</v>
      </c>
    </row>
    <row r="38" spans="1:2" ht="15" customHeight="1" x14ac:dyDescent="0.3">
      <c r="A38" s="2" t="s">
        <v>408</v>
      </c>
      <c r="B38" t="s">
        <v>409</v>
      </c>
    </row>
  </sheetData>
  <mergeCells count="6">
    <mergeCell ref="A36:B36"/>
    <mergeCell ref="A1:B1"/>
    <mergeCell ref="A6:B6"/>
    <mergeCell ref="A12:B12"/>
    <mergeCell ref="A24:B24"/>
    <mergeCell ref="A29:B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Constraint_Matrix</vt:lpstr>
      <vt:lpstr>Theory_Mapping</vt:lpstr>
      <vt:lpstr>Advanced_Metrics</vt:lpstr>
      <vt:lpstr>Global_Metrics</vt:lpstr>
      <vt:lpstr>Constraint_Diagnostics</vt:lpstr>
      <vt:lpstr>Axiom_Diagnostics</vt:lpstr>
      <vt:lpstr>Coverage_Analysis</vt:lpstr>
      <vt:lpstr>Framework_Metadata</vt:lpstr>
      <vt:lpstr>Claim_Index</vt:lpstr>
      <vt:lpstr>Domain_Mapping</vt:lpstr>
      <vt:lpstr>XDTI_Score</vt:lpstr>
      <vt:lpstr>Constraint_Density</vt:lpstr>
      <vt:lpstr>Directional_Asymmetry</vt:lpstr>
      <vt:lpstr>Claim_Total_Score</vt:lpstr>
      <vt:lpstr>Framework_Summary</vt:lpstr>
      <vt:lpstr>Comparative_Analysis</vt:lpstr>
      <vt:lpstr>Paper_Positioning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Lowe</cp:lastModifiedBy>
  <cp:revision>0</cp:revision>
  <dcterms:created xsi:type="dcterms:W3CDTF">2025-12-26T07:28:23Z</dcterms:created>
  <dcterms:modified xsi:type="dcterms:W3CDTF">2026-06-15T08:02:44Z</dcterms:modified>
  <cp:category/>
  <cp:contentStatus/>
</cp:coreProperties>
</file>