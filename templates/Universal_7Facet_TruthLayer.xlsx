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owes\Desktop\"/>
    </mc:Choice>
  </mc:AlternateContent>
  <xr:revisionPtr revIDLastSave="0" documentId="13_ncr:1_{D7F462D8-6896-480C-A596-B65263EDE193}" xr6:coauthVersionLast="47" xr6:coauthVersionMax="47" xr10:uidLastSave="{00000000-0000-0000-0000-000000000000}"/>
  <bookViews>
    <workbookView xWindow="5724" yWindow="6324" windowWidth="36864" windowHeight="18144" activeTab="1" xr2:uid="{00000000-000D-0000-FFFF-FFFF00000000}"/>
  </bookViews>
  <sheets>
    <sheet name="DASHBOARD" sheetId="6" r:id="rId1"/>
    <sheet name="NODES" sheetId="1" r:id="rId2"/>
    <sheet name="RELATIONSHIPS" sheetId="2" r:id="rId3"/>
    <sheet name="EVIDENCE" sheetId="3" r:id="rId4"/>
    <sheet name="GUIDE" sheetId="4" r:id="rId5"/>
    <sheet name="AGREEMENT_CHAIN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6" l="1"/>
  <c r="O276" i="1"/>
  <c r="O275" i="1"/>
  <c r="O274" i="1"/>
  <c r="O273" i="1"/>
  <c r="O272" i="1"/>
  <c r="O271" i="1"/>
  <c r="O270" i="1"/>
  <c r="O269" i="1"/>
  <c r="O268" i="1"/>
  <c r="O267" i="1"/>
  <c r="O266" i="1"/>
  <c r="O265" i="1"/>
  <c r="O264" i="1"/>
  <c r="O263" i="1"/>
  <c r="O262" i="1"/>
  <c r="O261" i="1"/>
  <c r="O260" i="1"/>
  <c r="O259" i="1"/>
  <c r="F15" i="6"/>
  <c r="F14" i="6"/>
  <c r="F13" i="6"/>
  <c r="B15" i="6"/>
  <c r="B14" i="6"/>
  <c r="B13" i="6"/>
  <c r="O258" i="1"/>
  <c r="O257" i="1"/>
  <c r="O256" i="1"/>
  <c r="O255" i="1"/>
  <c r="F72" i="6"/>
  <c r="F71" i="6"/>
  <c r="B71" i="6"/>
  <c r="F70" i="6"/>
  <c r="B70" i="6"/>
  <c r="B69" i="6"/>
  <c r="B68" i="6"/>
  <c r="F63" i="6"/>
  <c r="G63" i="6" s="1"/>
  <c r="F62" i="6"/>
  <c r="G62" i="6" s="1"/>
  <c r="F61" i="6"/>
  <c r="B26" i="6"/>
  <c r="B25" i="6"/>
  <c r="B24" i="6"/>
  <c r="B23" i="6"/>
  <c r="B22" i="6"/>
  <c r="B21" i="6"/>
  <c r="B20" i="6"/>
  <c r="B19" i="6"/>
  <c r="F18" i="6"/>
  <c r="B18" i="6"/>
  <c r="F17" i="6"/>
  <c r="B17" i="6"/>
  <c r="F16" i="6"/>
  <c r="B16" i="6"/>
  <c r="B8" i="6"/>
  <c r="B7" i="6"/>
  <c r="B5" i="6"/>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F6" i="6" l="1"/>
  <c r="F7" i="6"/>
  <c r="H7" i="6"/>
  <c r="F9" i="6"/>
  <c r="F8" i="6"/>
  <c r="F64" i="6"/>
  <c r="G64" i="6" s="1"/>
  <c r="B27" i="6"/>
  <c r="G61" i="6"/>
  <c r="B72" i="6"/>
  <c r="F5" i="6"/>
</calcChain>
</file>

<file path=xl/sharedStrings.xml><?xml version="1.0" encoding="utf-8"?>
<sst xmlns="http://schemas.openxmlformats.org/spreadsheetml/2006/main" count="13521" uniqueCount="2963">
  <si>
    <t>node_id</t>
  </si>
  <si>
    <t>title</t>
  </si>
  <si>
    <t>statement</t>
  </si>
  <si>
    <t>node_type</t>
  </si>
  <si>
    <t>scope</t>
  </si>
  <si>
    <t>entity_class</t>
  </si>
  <si>
    <t>question_type</t>
  </si>
  <si>
    <t>tree_level</t>
  </si>
  <si>
    <t>chain_pos</t>
  </si>
  <si>
    <t>ops_status</t>
  </si>
  <si>
    <t>owner</t>
  </si>
  <si>
    <t>domain</t>
  </si>
  <si>
    <t>created_by</t>
  </si>
  <si>
    <t>created_at</t>
  </si>
  <si>
    <t>T_score</t>
  </si>
  <si>
    <t>Q0</t>
  </si>
  <si>
    <t>Bedrock</t>
  </si>
  <si>
    <t>Does anything exist?</t>
  </si>
  <si>
    <t>question</t>
  </si>
  <si>
    <t>system</t>
  </si>
  <si>
    <t>type1_binary</t>
  </si>
  <si>
    <t>canonical</t>
  </si>
  <si>
    <t>david</t>
  </si>
  <si>
    <t>theophysics</t>
  </si>
  <si>
    <t>david+opus</t>
  </si>
  <si>
    <t>2026-03</t>
  </si>
  <si>
    <t>Q0-A</t>
  </si>
  <si>
    <t>Nothing exists</t>
  </si>
  <si>
    <t>No, nothing exists.</t>
  </si>
  <si>
    <t>branch</t>
  </si>
  <si>
    <t>Q0-B</t>
  </si>
  <si>
    <t>Something exists</t>
  </si>
  <si>
    <t>Yes, something exists.</t>
  </si>
  <si>
    <t>Q0-C</t>
  </si>
  <si>
    <t>Question meaningless</t>
  </si>
  <si>
    <t>The question is meaningless.</t>
  </si>
  <si>
    <t>Q0-D</t>
  </si>
  <si>
    <t>Existence illusory</t>
  </si>
  <si>
    <t>Existence is an illusion.</t>
  </si>
  <si>
    <t>Q1</t>
  </si>
  <si>
    <t>Distinction</t>
  </si>
  <si>
    <t>Can that which exists be distinguished from that which does not?</t>
  </si>
  <si>
    <t>Q1-A</t>
  </si>
  <si>
    <t>No distinction</t>
  </si>
  <si>
    <t>Being and non-being are indistinguishable.</t>
  </si>
  <si>
    <t>Q1-B</t>
  </si>
  <si>
    <t>Distinction real</t>
  </si>
  <si>
    <t>Distinction between being and non-being is real.</t>
  </si>
  <si>
    <t>Q1-C</t>
  </si>
  <si>
    <t>Multi-level distinction</t>
  </si>
  <si>
    <t>Distinction is real at one level but illusory at another.</t>
  </si>
  <si>
    <t>Q2</t>
  </si>
  <si>
    <t>Information Fork</t>
  </si>
  <si>
    <t>What IS a distinction?</t>
  </si>
  <si>
    <t>type2_identity</t>
  </si>
  <si>
    <t>Q2-A</t>
  </si>
  <si>
    <t>Matter property</t>
  </si>
  <si>
    <t>A property of matter — physical objects differ.</t>
  </si>
  <si>
    <t>Q2-B</t>
  </si>
  <si>
    <t>Mind property</t>
  </si>
  <si>
    <t>A property of mind — observers create difference.</t>
  </si>
  <si>
    <t>Q2-C</t>
  </si>
  <si>
    <t>Information</t>
  </si>
  <si>
    <t>A distinction IS information — the minimum unit of difference is the bit.</t>
  </si>
  <si>
    <t>Q2-D</t>
  </si>
  <si>
    <t>Brute primitive</t>
  </si>
  <si>
    <t>A brute, unanalyzable primitive.</t>
  </si>
  <si>
    <t>Q2-E</t>
  </si>
  <si>
    <t>Mathematical relation</t>
  </si>
  <si>
    <t>A mathematical relation.</t>
  </si>
  <si>
    <t>Q2-F</t>
  </si>
  <si>
    <t>Structural relation (OSR)</t>
  </si>
  <si>
    <t>A structural relation (Ontic Structural Realism).</t>
  </si>
  <si>
    <t>Q3</t>
  </si>
  <si>
    <t>Order</t>
  </si>
  <si>
    <t>Does information require structure, or can it exist as pure randomness?</t>
  </si>
  <si>
    <t>Q3-A</t>
  </si>
  <si>
    <t>Pure randomness</t>
  </si>
  <si>
    <t>Information can be purely random and still ground reality.</t>
  </si>
  <si>
    <t>Q3-B</t>
  </si>
  <si>
    <t>Structure required</t>
  </si>
  <si>
    <t>Information must have structure — pattern, regularity, compression.</t>
  </si>
  <si>
    <t>Q3-C</t>
  </si>
  <si>
    <t>Observer-imposed</t>
  </si>
  <si>
    <t>Structure is observer-imposed, not inherent.</t>
  </si>
  <si>
    <t>Q4</t>
  </si>
  <si>
    <t>The Great Fork</t>
  </si>
  <si>
    <t>What grounds the structure?</t>
  </si>
  <si>
    <t>type3_ground</t>
  </si>
  <si>
    <t>Q4-A</t>
  </si>
  <si>
    <t>Brute fact</t>
  </si>
  <si>
    <t>Nothing — the substrate is a brute fact.</t>
  </si>
  <si>
    <t>Q4-B</t>
  </si>
  <si>
    <t>Infinite regress</t>
  </si>
  <si>
    <t>Another structure grounds it — turtles all the way down.</t>
  </si>
  <si>
    <t>Q4-C</t>
  </si>
  <si>
    <t>Self-grounding</t>
  </si>
  <si>
    <t>The substrate grounds itself — self-consistent and self-referencing.</t>
  </si>
  <si>
    <t>Q4-D</t>
  </si>
  <si>
    <t>Multiverse</t>
  </si>
  <si>
    <t>A multiverse generates all possible substrates — anthropic selection.</t>
  </si>
  <si>
    <t>Q4-E</t>
  </si>
  <si>
    <t>Question illegitimate</t>
  </si>
  <si>
    <t>The question is illegitimate — 'why' has no answer.</t>
  </si>
  <si>
    <t>Q5</t>
  </si>
  <si>
    <t>Properties of Ground</t>
  </si>
  <si>
    <t>What are the necessary properties of a self-grounding substrate?</t>
  </si>
  <si>
    <t>type4_constraint</t>
  </si>
  <si>
    <t>Q6</t>
  </si>
  <si>
    <t>Observer Requirement</t>
  </si>
  <si>
    <t>Does the ground require actualization — does information become actual on its own?</t>
  </si>
  <si>
    <t>Q6-A</t>
  </si>
  <si>
    <t>Self-actualizes</t>
  </si>
  <si>
    <t>Information self-actualizes — no observer needed.</t>
  </si>
  <si>
    <t>Q6-B</t>
  </si>
  <si>
    <t>Observer required</t>
  </si>
  <si>
    <t>Information requires observation to become actual.</t>
  </si>
  <si>
    <t>Q6-C</t>
  </si>
  <si>
    <t>Decoherence</t>
  </si>
  <si>
    <t>Decoherence handles it — spontaneous collapse.</t>
  </si>
  <si>
    <t>Q6-D</t>
  </si>
  <si>
    <t>Everything actual</t>
  </si>
  <si>
    <t>No potential/actual distinction — everything always actual.</t>
  </si>
  <si>
    <t>Q7</t>
  </si>
  <si>
    <t>Terminal Observer</t>
  </si>
  <si>
    <t>Does the observer chain terminate?</t>
  </si>
  <si>
    <t>Q7-A</t>
  </si>
  <si>
    <t>Infinite chain</t>
  </si>
  <si>
    <t>No — infinite chain of observers.</t>
  </si>
  <si>
    <t>Q7-B</t>
  </si>
  <si>
    <t>Terminal exists</t>
  </si>
  <si>
    <t>Yes — the chain terminates in a TERMINAL OBSERVER.</t>
  </si>
  <si>
    <t>Q7-C</t>
  </si>
  <si>
    <t>Circular</t>
  </si>
  <si>
    <t>The chain loops — observers observe each other circularly.</t>
  </si>
  <si>
    <t>Q7-D</t>
  </si>
  <si>
    <t>No bottom</t>
  </si>
  <si>
    <t>The chain dissolves — consciousness has no bottom level.</t>
  </si>
  <si>
    <t>Q8</t>
  </si>
  <si>
    <t>Boundary Conditions</t>
  </si>
  <si>
    <t>What boundary conditions must a complete theory satisfy?</t>
  </si>
  <si>
    <t>Q9</t>
  </si>
  <si>
    <t>The Identification</t>
  </si>
  <si>
    <t>What satisfies ALL 8 boundary conditions simultaneously?</t>
  </si>
  <si>
    <t>Q10</t>
  </si>
  <si>
    <t>Sign Structure</t>
  </si>
  <si>
    <t>Can a system change its own moral orientation?</t>
  </si>
  <si>
    <t>Q10-A</t>
  </si>
  <si>
    <t>Self-improvement</t>
  </si>
  <si>
    <t>Yes — self-improvement can change orientation.</t>
  </si>
  <si>
    <t>Q10-B</t>
  </si>
  <si>
    <t>Grace required</t>
  </si>
  <si>
    <t>No — sign change requires external operator (grace).</t>
  </si>
  <si>
    <t>Q10-C</t>
  </si>
  <si>
    <t>No moral orientation</t>
  </si>
  <si>
    <t>No moral orientation exists — the question is meaningless.</t>
  </si>
  <si>
    <t>Q11</t>
  </si>
  <si>
    <t>Destiny</t>
  </si>
  <si>
    <t>What is the asymptotic fate?</t>
  </si>
  <si>
    <t>Q11-A</t>
  </si>
  <si>
    <t>All converge</t>
  </si>
  <si>
    <t>All trajectories converge to same end.</t>
  </si>
  <si>
    <t>Q11-B</t>
  </si>
  <si>
    <t>Two attractors</t>
  </si>
  <si>
    <t>Two attractors: +1 integration, -1 fragmentation.</t>
  </si>
  <si>
    <t>Q11-C</t>
  </si>
  <si>
    <t>Oscillate forever</t>
  </si>
  <si>
    <t>Trajectories oscillate forever — no asymptote.</t>
  </si>
  <si>
    <t>Q11-D</t>
  </si>
  <si>
    <t>Annihilation</t>
  </si>
  <si>
    <t>All trajectories terminate in annihilation.</t>
  </si>
  <si>
    <t>Q12</t>
  </si>
  <si>
    <t>Uniqueness Test</t>
  </si>
  <si>
    <t>Which existing system satisfies ALL constraints?</t>
  </si>
  <si>
    <t>A1.1</t>
  </si>
  <si>
    <t>Existence</t>
  </si>
  <si>
    <t>Something exists rather than nothing.</t>
  </si>
  <si>
    <t>axiom</t>
  </si>
  <si>
    <t>2024-08</t>
  </si>
  <si>
    <t>A1.2</t>
  </si>
  <si>
    <t>Existence requires distinguishability.</t>
  </si>
  <si>
    <t>A1.3</t>
  </si>
  <si>
    <t>Information Primacy</t>
  </si>
  <si>
    <t>Distinguishability IS information; information is ontologically primitive.</t>
  </si>
  <si>
    <t>A2.2</t>
  </si>
  <si>
    <t>Self-Grounding</t>
  </si>
  <si>
    <t>The substrate grounds itself.</t>
  </si>
  <si>
    <t>A3.1</t>
  </si>
  <si>
    <t>Order Required</t>
  </si>
  <si>
    <t>Information must have structure.</t>
  </si>
  <si>
    <t>A5.1</t>
  </si>
  <si>
    <t>Observer Required</t>
  </si>
  <si>
    <t>Observer required for actualization.</t>
  </si>
  <si>
    <t>rel_id</t>
  </si>
  <si>
    <t>source_node</t>
  </si>
  <si>
    <t>target_node</t>
  </si>
  <si>
    <t>rel_type</t>
  </si>
  <si>
    <t>facet</t>
  </si>
  <si>
    <t>certainty</t>
  </si>
  <si>
    <t>weight</t>
  </si>
  <si>
    <t>note</t>
  </si>
  <si>
    <t>branch_status</t>
  </si>
  <si>
    <t>death_condition</t>
  </si>
  <si>
    <t>R001</t>
  </si>
  <si>
    <t>forces</t>
  </si>
  <si>
    <t>time</t>
  </si>
  <si>
    <t>Q0 generates branch A</t>
  </si>
  <si>
    <t>dead_end</t>
  </si>
  <si>
    <t>self_refutation</t>
  </si>
  <si>
    <t>R002</t>
  </si>
  <si>
    <t>Q0 generates branch B</t>
  </si>
  <si>
    <t>continues</t>
  </si>
  <si>
    <t>none</t>
  </si>
  <si>
    <t>R003</t>
  </si>
  <si>
    <t>Q0 generates branch C</t>
  </si>
  <si>
    <t>R004</t>
  </si>
  <si>
    <t>Q0 generates branch D</t>
  </si>
  <si>
    <t>collapses</t>
  </si>
  <si>
    <t>R005</t>
  </si>
  <si>
    <t>collapses_to</t>
  </si>
  <si>
    <t>evidence</t>
  </si>
  <si>
    <t>Illusion requires something to be illusory FOR</t>
  </si>
  <si>
    <t>R006</t>
  </si>
  <si>
    <t>Existence forces distinction question</t>
  </si>
  <si>
    <t>R007</t>
  </si>
  <si>
    <t>Q1 generates branch A</t>
  </si>
  <si>
    <t>logical_incoherence</t>
  </si>
  <si>
    <t>R008</t>
  </si>
  <si>
    <t>Q1 generates branch B</t>
  </si>
  <si>
    <t>R009</t>
  </si>
  <si>
    <t>Q1 generates branch C</t>
  </si>
  <si>
    <t>problematic</t>
  </si>
  <si>
    <t>R010</t>
  </si>
  <si>
    <t>Distinction forces identity question</t>
  </si>
  <si>
    <t>R011</t>
  </si>
  <si>
    <t>Q2 generates branch A (matter)</t>
  </si>
  <si>
    <t>R012</t>
  </si>
  <si>
    <t>Q2 generates branch B (mind)</t>
  </si>
  <si>
    <t>R013</t>
  </si>
  <si>
    <t>Q2 generates branch C (information)</t>
  </si>
  <si>
    <t>R014</t>
  </si>
  <si>
    <t>Q2 generates branch D (brute)</t>
  </si>
  <si>
    <t>R015</t>
  </si>
  <si>
    <t>Q2 generates branch E (math)</t>
  </si>
  <si>
    <t>R016</t>
  </si>
  <si>
    <t>Q2 generates branch F (OSR)</t>
  </si>
  <si>
    <t>R017</t>
  </si>
  <si>
    <t>Math relations ARE informational structures</t>
  </si>
  <si>
    <t>R018</t>
  </si>
  <si>
    <t>Relations without content collapse to Q2-D or Q2-C</t>
  </si>
  <si>
    <t>R019</t>
  </si>
  <si>
    <t>Information primacy forces structure question</t>
  </si>
  <si>
    <t>R020</t>
  </si>
  <si>
    <t>Q3 generates branch A (random)</t>
  </si>
  <si>
    <t>empirical_contradiction</t>
  </si>
  <si>
    <t>R021</t>
  </si>
  <si>
    <t>Q3 generates branch B (structure)</t>
  </si>
  <si>
    <t>R022</t>
  </si>
  <si>
    <t>Q3 generates branch C (observer-imposed)</t>
  </si>
  <si>
    <t>R023</t>
  </si>
  <si>
    <t>Structure forces grounding question</t>
  </si>
  <si>
    <t>R024</t>
  </si>
  <si>
    <t>Q4 generates branch A (brute fact)</t>
  </si>
  <si>
    <t>explanatory_terminal</t>
  </si>
  <si>
    <t>R025</t>
  </si>
  <si>
    <t>Q4 generates branch B (regress)</t>
  </si>
  <si>
    <t>infinite_regress</t>
  </si>
  <si>
    <t>R026</t>
  </si>
  <si>
    <t>Q4 generates branch C (self-grounding)</t>
  </si>
  <si>
    <t>R027</t>
  </si>
  <si>
    <t>Q4 generates branch D (multiverse)</t>
  </si>
  <si>
    <t>R028</t>
  </si>
  <si>
    <t>Q4 generates branch E (illegitimate)</t>
  </si>
  <si>
    <t>R029</t>
  </si>
  <si>
    <t>Saying no answer IS accepting brute fact</t>
  </si>
  <si>
    <t>R030</t>
  </si>
  <si>
    <t>Self-grounding forces property derivation</t>
  </si>
  <si>
    <t>R031</t>
  </si>
  <si>
    <t>Derived properties force actualization question</t>
  </si>
  <si>
    <t>R032</t>
  </si>
  <si>
    <t>Q6 generates branch A (self-actualizes)</t>
  </si>
  <si>
    <t>R033</t>
  </si>
  <si>
    <t>Q6 generates branch B (observer required)</t>
  </si>
  <si>
    <t>R034</t>
  </si>
  <si>
    <t>Q6 generates branch C (decoherence)</t>
  </si>
  <si>
    <t>R035</t>
  </si>
  <si>
    <t>Q6 generates branch D (all actual)</t>
  </si>
  <si>
    <t>R036</t>
  </si>
  <si>
    <t>Observer forces termination question</t>
  </si>
  <si>
    <t>R037</t>
  </si>
  <si>
    <t>Q7 generates branch A (infinite)</t>
  </si>
  <si>
    <t>R038</t>
  </si>
  <si>
    <t>Q7 generates branch B (terminal)</t>
  </si>
  <si>
    <t>R039</t>
  </si>
  <si>
    <t>Q7 generates branch C (circular)</t>
  </si>
  <si>
    <t>R040</t>
  </si>
  <si>
    <t>Q7 generates branch D (dissolves)</t>
  </si>
  <si>
    <t>R041</t>
  </si>
  <si>
    <t>If always running, routes to self-grounding terminal</t>
  </si>
  <si>
    <t>R042</t>
  </si>
  <si>
    <t>Terminal observer forces boundary conditions</t>
  </si>
  <si>
    <t>R043</t>
  </si>
  <si>
    <t>BCs force identification question</t>
  </si>
  <si>
    <t>R044</t>
  </si>
  <si>
    <t>Identification forces moral sign question</t>
  </si>
  <si>
    <t>R045</t>
  </si>
  <si>
    <t>Q10 generates branch A (self-improve)</t>
  </si>
  <si>
    <t>R046</t>
  </si>
  <si>
    <t>Q10 generates branch B (grace)</t>
  </si>
  <si>
    <t>R047</t>
  </si>
  <si>
    <t>Q10 generates branch C (no moral)</t>
  </si>
  <si>
    <t>R048</t>
  </si>
  <si>
    <t>Grace forces destiny question</t>
  </si>
  <si>
    <t>R049</t>
  </si>
  <si>
    <t>Q11 generates branch A (converge)</t>
  </si>
  <si>
    <t>R050</t>
  </si>
  <si>
    <t>Q11 generates branch B (two attractors)</t>
  </si>
  <si>
    <t>R051</t>
  </si>
  <si>
    <t>Q11 generates branch C (oscillate)</t>
  </si>
  <si>
    <t>R052</t>
  </si>
  <si>
    <t>Q11 generates branch D (annihilation)</t>
  </si>
  <si>
    <t>R053</t>
  </si>
  <si>
    <t>Two attractors forces uniqueness test</t>
  </si>
  <si>
    <t>R100</t>
  </si>
  <si>
    <t>maps_to</t>
  </si>
  <si>
    <t>context</t>
  </si>
  <si>
    <t>A1.1 IS Q0-B survivor</t>
  </si>
  <si>
    <t>R101</t>
  </si>
  <si>
    <t>A1.2 IS Q1-B survivor</t>
  </si>
  <si>
    <t>R102</t>
  </si>
  <si>
    <t>A1.3 IS Q2-C survivor</t>
  </si>
  <si>
    <t>R103</t>
  </si>
  <si>
    <t>A3.1 IS Q3-B survivor</t>
  </si>
  <si>
    <t>R104</t>
  </si>
  <si>
    <t>A2.2 IS Q4-C survivor</t>
  </si>
  <si>
    <t>R105</t>
  </si>
  <si>
    <t>A5.1 IS Q6-B survivor</t>
  </si>
  <si>
    <t>R110</t>
  </si>
  <si>
    <t>role</t>
  </si>
  <si>
    <t>Existence enables distinction</t>
  </si>
  <si>
    <t>R111</t>
  </si>
  <si>
    <t>Distinction IS information</t>
  </si>
  <si>
    <t>R112</t>
  </si>
  <si>
    <t>Information requires structure</t>
  </si>
  <si>
    <t>R113</t>
  </si>
  <si>
    <t>Structure requires grounding</t>
  </si>
  <si>
    <t>R114</t>
  </si>
  <si>
    <t>Ground requires observer for actualization</t>
  </si>
  <si>
    <t>evidence_id</t>
  </si>
  <si>
    <t>target_rel</t>
  </si>
  <si>
    <t>direction</t>
  </si>
  <si>
    <t>source_title</t>
  </si>
  <si>
    <t>source_author</t>
  </si>
  <si>
    <t>source_year</t>
  </si>
  <si>
    <t>source_type</t>
  </si>
  <si>
    <t>excerpt</t>
  </si>
  <si>
    <t>confidence</t>
  </si>
  <si>
    <t>independence</t>
  </si>
  <si>
    <t>reproducibility</t>
  </si>
  <si>
    <t>death_tests_survived</t>
  </si>
  <si>
    <t>stat_sig</t>
  </si>
  <si>
    <t>EV001</t>
  </si>
  <si>
    <t>attacks</t>
  </si>
  <si>
    <t>Self-refutation analysis</t>
  </si>
  <si>
    <t>Framework</t>
  </si>
  <si>
    <t>2026</t>
  </si>
  <si>
    <t>logical_derivation</t>
  </si>
  <si>
    <t>Denial requires a denier. Proposition destroys itself.</t>
  </si>
  <si>
    <t>EV002</t>
  </si>
  <si>
    <t>supports</t>
  </si>
  <si>
    <t>Descartes Cogito</t>
  </si>
  <si>
    <t>Descartes</t>
  </si>
  <si>
    <t>1637</t>
  </si>
  <si>
    <t>philosophical_argument</t>
  </si>
  <si>
    <t>Cogito ergo sum — doubting requires a doubter</t>
  </si>
  <si>
    <t>EV003</t>
  </si>
  <si>
    <t>Self-refutation trap</t>
  </si>
  <si>
    <t>Any denial presupposes what it denies</t>
  </si>
  <si>
    <t>EV004</t>
  </si>
  <si>
    <t>QM Vacuum State</t>
  </si>
  <si>
    <t>Physics</t>
  </si>
  <si>
    <t>1948+</t>
  </si>
  <si>
    <t>empirical_observation</t>
  </si>
  <si>
    <t>Vacuum |0&gt; has structure and energy density (rho ~10^-9 J/m3)</t>
  </si>
  <si>
    <t>EV005</t>
  </si>
  <si>
    <t>CMB Temperature</t>
  </si>
  <si>
    <t>COBE/WMAP/Planck</t>
  </si>
  <si>
    <t>1992-2018</t>
  </si>
  <si>
    <t>experiment</t>
  </si>
  <si>
    <t>T = 2.725K — existing structure observed</t>
  </si>
  <si>
    <t>30+ sigma</t>
  </si>
  <si>
    <t>EV006</t>
  </si>
  <si>
    <t>Set Theory</t>
  </si>
  <si>
    <t>ZFC</t>
  </si>
  <si>
    <t>1922+</t>
  </si>
  <si>
    <t>mathematical_proof</t>
  </si>
  <si>
    <t>Empty set exists as mathematical object in V</t>
  </si>
  <si>
    <t>EV007</t>
  </si>
  <si>
    <t>Shannon 1948</t>
  </si>
  <si>
    <t>Claude Shannon</t>
  </si>
  <si>
    <t>1948</t>
  </si>
  <si>
    <t>Information = reduction of uncertainty between distinguishable states</t>
  </si>
  <si>
    <t>EV008</t>
  </si>
  <si>
    <t>Observed physics</t>
  </si>
  <si>
    <t>Empirical</t>
  </si>
  <si>
    <t>ongoing</t>
  </si>
  <si>
    <t>Reality has laws, regularities — contradicts pure randomness</t>
  </si>
  <si>
    <t>EV009</t>
  </si>
  <si>
    <t>Regress analysis</t>
  </si>
  <si>
    <t>Every ground requires deeper ground — never terminates</t>
  </si>
  <si>
    <t>EV010</t>
  </si>
  <si>
    <t>Double-slit experiment</t>
  </si>
  <si>
    <t>1927+</t>
  </si>
  <si>
    <t>Superposition experimentally verified — interference patterns</t>
  </si>
  <si>
    <t>&gt;100 sigma</t>
  </si>
  <si>
    <t>EV011</t>
  </si>
  <si>
    <t>Von Neumann chain</t>
  </si>
  <si>
    <t>von Neumann</t>
  </si>
  <si>
    <t>1932</t>
  </si>
  <si>
    <t>Same structure as Q4-B infinite regress</t>
  </si>
  <si>
    <t>EV012</t>
  </si>
  <si>
    <t>Commutation proof</t>
  </si>
  <si>
    <t>Framework (T3.1)</t>
  </si>
  <si>
    <t>[sigma-hat, U-hat] = 0 — self-generated ops commute with sign</t>
  </si>
  <si>
    <t>EV013</t>
  </si>
  <si>
    <t>PEAR-LAB data</t>
  </si>
  <si>
    <t>Jahn/Dunne</t>
  </si>
  <si>
    <t>1979-2007</t>
  </si>
  <si>
    <t>2.5M trials, consciousness-correlated deviations from chance</t>
  </si>
  <si>
    <t>6.35 sigma</t>
  </si>
  <si>
    <t>EV014</t>
  </si>
  <si>
    <t>Global Consciousness Project</t>
  </si>
  <si>
    <t>Nelson et al.</t>
  </si>
  <si>
    <t>1998-2015</t>
  </si>
  <si>
    <t>325+ event replications, collective consciousness correlations</t>
  </si>
  <si>
    <t>6 sigma</t>
  </si>
  <si>
    <t>UNIVERSAL 7-FACET TRUTH LAYER — 3 TABLE ARCHITECTURE</t>
  </si>
  <si>
    <t>DESIGN PRINCIPLE</t>
  </si>
  <si>
    <t>Every piece of knowledge = a NODE. Nodes alone are just sentences.</t>
  </si>
  <si>
    <t>RELATIONSHIPS between nodes = reasoning, structure, derivation.</t>
  </si>
  <si>
    <t>EVIDENCE attached to nodes or relationships = the truth score engine.</t>
  </si>
  <si>
    <t>THE 8-QUESTION INTAKE (add any node)</t>
  </si>
  <si>
    <t>#</t>
  </si>
  <si>
    <t>Facet</t>
  </si>
  <si>
    <t>Question</t>
  </si>
  <si>
    <t>Lives In</t>
  </si>
  <si>
    <t>0</t>
  </si>
  <si>
    <t>SCOPE</t>
  </si>
  <si>
    <t>What level does this belong to?</t>
  </si>
  <si>
    <t>NODES.scope</t>
  </si>
  <si>
    <t>1</t>
  </si>
  <si>
    <t>ENTITY</t>
  </si>
  <si>
    <t>What thing is being referenced?</t>
  </si>
  <si>
    <t>NODES.entity_class</t>
  </si>
  <si>
    <t>2</t>
  </si>
  <si>
    <t>ROLE</t>
  </si>
  <si>
    <t>What function does it serve?</t>
  </si>
  <si>
    <t>RELATIONSHIPS.rel_type</t>
  </si>
  <si>
    <t>3</t>
  </si>
  <si>
    <t>EVIDENCE</t>
  </si>
  <si>
    <t>What justifies this?</t>
  </si>
  <si>
    <t>EVIDENCE table</t>
  </si>
  <si>
    <t>4</t>
  </si>
  <si>
    <t>TIME</t>
  </si>
  <si>
    <t>Where in sequence?</t>
  </si>
  <si>
    <t>NODES.chain_pos + RELATIONSHIPS.forces</t>
  </si>
  <si>
    <t>5</t>
  </si>
  <si>
    <t>OPS</t>
  </si>
  <si>
    <t>Workflow state?</t>
  </si>
  <si>
    <t>NODES.ops_status</t>
  </si>
  <si>
    <t>6</t>
  </si>
  <si>
    <t>CONTEXT</t>
  </si>
  <si>
    <t>Under which lens?</t>
  </si>
  <si>
    <t>RELATIONSHIPS (maps_to edges)</t>
  </si>
  <si>
    <t>7</t>
  </si>
  <si>
    <t>PROVENANCE</t>
  </si>
  <si>
    <t>Where did this come from?</t>
  </si>
  <si>
    <t>NODES.created_by + EVIDENCE.source</t>
  </si>
  <si>
    <t>T-SCORE (Truth Score)</t>
  </si>
  <si>
    <t>Computed per node: relationship count + (evidence count × 2)</t>
  </si>
  <si>
    <t>Higher = more tested, more connected, more load-bearing.</t>
  </si>
  <si>
    <t>A node with T=0 is an orphan claim. A node with T=50 is a model of reality.</t>
  </si>
  <si>
    <t>THE PREDICTION TEST</t>
  </si>
  <si>
    <t>Isolate any single column (Entity, Evidence, Context...) and read it top-to-bottom.</t>
  </si>
  <si>
    <t>If the chain is real, each column reads as a coherent sentence.</t>
  </si>
  <si>
    <t>Any non-sequitur = hidden assumption or weak node. Fix there.</t>
  </si>
  <si>
    <t>DEATH CONDITIONS (branch testing)</t>
  </si>
  <si>
    <t>1. Self-Refutation — claim destroys itself when stated</t>
  </si>
  <si>
    <t>2. Infinite Regress — answer pushes question back forever</t>
  </si>
  <si>
    <t>3. Empirical Contradiction — claim contradicts observation</t>
  </si>
  <si>
    <t>4. Logical Incoherence — claim contradicts established node</t>
  </si>
  <si>
    <t>4 QUESTION TYPES</t>
  </si>
  <si>
    <t>Type 1: 'Does X hold?' — Binary fork, max 4 branches</t>
  </si>
  <si>
    <t>Type 2: 'What IS X?' — Identity, exhaustive categories</t>
  </si>
  <si>
    <t>Type 3: 'What grounds X?' — Explanatory origin</t>
  </si>
  <si>
    <t>Type 4: 'What must X be?' — Constraint derivation (deduction, not branching)</t>
  </si>
  <si>
    <t>RELATIONSHIP TYPES</t>
  </si>
  <si>
    <t>forces — A logically forces B to arise</t>
  </si>
  <si>
    <t>requires — B needs A to hold</t>
  </si>
  <si>
    <t>enables — A makes B possible</t>
  </si>
  <si>
    <t>constrains — A limits what B can be</t>
  </si>
  <si>
    <t>contradicts — A and B cannot coexist</t>
  </si>
  <si>
    <t>collapses_to — A reduces to B under analysis</t>
  </si>
  <si>
    <t>grounds — A provides the ground for B</t>
  </si>
  <si>
    <t>supports — A provides evidence for B</t>
  </si>
  <si>
    <t>maps_to — A maps to B across domains (context bridge)</t>
  </si>
  <si>
    <t>describes — A describes B</t>
  </si>
  <si>
    <t>causes — A causes B</t>
  </si>
  <si>
    <t>precedes — A comes before B in sequence</t>
  </si>
  <si>
    <t>references — A references B</t>
  </si>
  <si>
    <t>derives_from — A is derived from B</t>
  </si>
  <si>
    <t>attacks — A provides counter-evidence against B</t>
  </si>
  <si>
    <t>WORKS FOR</t>
  </si>
  <si>
    <t>Bible analysis, physics models, legal arguments, stock analysis,</t>
  </si>
  <si>
    <t>enterprise knowledge, axiom chains, seminary research, compliance.</t>
  </si>
  <si>
    <t>Same 3 tables. Same 8 questions. Any domain.</t>
  </si>
  <si>
    <t>D1.1</t>
  </si>
  <si>
    <t>Information Definition</t>
  </si>
  <si>
    <t>Information ≡ that which reduces uncertainty about the state of a system.</t>
  </si>
  <si>
    <t>definition</t>
  </si>
  <si>
    <t>information</t>
  </si>
  <si>
    <t>D1.2</t>
  </si>
  <si>
    <t>Bit Definition</t>
  </si>
  <si>
    <t>Bit = minimal unit of distinction (binary choice)</t>
  </si>
  <si>
    <t>LN1.1</t>
  </si>
  <si>
    <t>Matter-Energy Derivative</t>
  </si>
  <si>
    <t>If information is primitive, matter/energy are derivative</t>
  </si>
  <si>
    <t>logical_necessity</t>
  </si>
  <si>
    <t>ontology, physics</t>
  </si>
  <si>
    <t>LN1.2</t>
  </si>
  <si>
    <t>It From Bit</t>
  </si>
  <si>
    <t>It from Bit (Wheeler) - physical reality supervenes on information</t>
  </si>
  <si>
    <t>A2.1</t>
  </si>
  <si>
    <t>Substrate Requirement</t>
  </si>
  <si>
    <t>Information requires a substrate for instantiation</t>
  </si>
  <si>
    <t>primitive</t>
  </si>
  <si>
    <t>ontology, information</t>
  </si>
  <si>
    <t>D2.1</t>
  </si>
  <si>
    <t>Logos Field Definition</t>
  </si>
  <si>
    <t>Logos Field χ(x,t) = self-grounding informational substrate</t>
  </si>
  <si>
    <t>information, theology</t>
  </si>
  <si>
    <t>D2.2</t>
  </si>
  <si>
    <t>Chi Field Properties</t>
  </si>
  <si>
    <t>Chi is a real scalar field with informational content, carrying semantic potential and instantiating reality through its configuration space.</t>
  </si>
  <si>
    <t>physics, information</t>
  </si>
  <si>
    <t>E2.1</t>
  </si>
  <si>
    <t>Master Equation First Form</t>
  </si>
  <si>
    <t>χ = ∫(G·K)dΩ [Master equation—field integrates geometry G and complexity K over configuration space Ω]</t>
  </si>
  <si>
    <t>equation</t>
  </si>
  <si>
    <t>P2.1</t>
  </si>
  <si>
    <t>Chi Ontological Priority</t>
  </si>
  <si>
    <t>χ is ontologically prior to spacetime (spacetime emerges from χ, not vice versa).</t>
  </si>
  <si>
    <t>property</t>
  </si>
  <si>
    <t>ontology</t>
  </si>
  <si>
    <t>P2.2</t>
  </si>
  <si>
    <t>Chi Semantic Content</t>
  </si>
  <si>
    <t>Chi carries semantic potential (meaning-capable structure), not merely syntax</t>
  </si>
  <si>
    <t>LN2.1</t>
  </si>
  <si>
    <t>Information Anchor Necessity</t>
  </si>
  <si>
    <t>Without self-grounding substrate, information has no anchor</t>
  </si>
  <si>
    <t>A3.2</t>
  </si>
  <si>
    <t>Coherence Measure</t>
  </si>
  <si>
    <t>The Logos Field (χ) operates to continuously minimize the total Kolmogorov Complexity of the universe's description.</t>
  </si>
  <si>
    <t>coherence</t>
  </si>
  <si>
    <t>D3.1</t>
  </si>
  <si>
    <t>Coherence Functional Definition</t>
  </si>
  <si>
    <t>Coherence C[chi] = measure of organized information density</t>
  </si>
  <si>
    <t>coherence, physics</t>
  </si>
  <si>
    <t>D3.2</t>
  </si>
  <si>
    <t>Self-Interaction Potential</t>
  </si>
  <si>
    <t>V(chi) = self-interaction potential of Logos Field</t>
  </si>
  <si>
    <t>physics</t>
  </si>
  <si>
    <t>D3.3</t>
  </si>
  <si>
    <t>Interaction Lagrangian</t>
  </si>
  <si>
    <t>L_int(χ,ψ) ≡ interaction Lagrangian coupling χ to matter fields ψ.</t>
  </si>
  <si>
    <t>E3.1</t>
  </si>
  <si>
    <t>Master Coherence Equation</t>
  </si>
  <si>
    <t>C[chi] = integral sqrt(-g)[kinetic - V(chi) + L_int]</t>
  </si>
  <si>
    <t>E3.2</t>
  </si>
  <si>
    <t>Universal Coherence Definition</t>
  </si>
  <si>
    <t>Universal Coherence Definition.</t>
  </si>
  <si>
    <t>P3.1</t>
  </si>
  <si>
    <t>Coherence Non-Negativity</t>
  </si>
  <si>
    <t>C[chi] &gt;= 0 (coherence is non-negative)</t>
  </si>
  <si>
    <t>P3.2</t>
  </si>
  <si>
    <t>Coherence Conservation</t>
  </si>
  <si>
    <t>In closed systems, micro-coherence C_micro is conserved (dC_micro/dt = 0).</t>
  </si>
  <si>
    <t>T3.1</t>
  </si>
  <si>
    <t>Coherence Cannot Self-Increase</t>
  </si>
  <si>
    <t>Macro-coherence cannot self-increase. Systems require external coherence input to evolve toward higher organization.</t>
  </si>
  <si>
    <t>theorem</t>
  </si>
  <si>
    <t>coherence, theology</t>
  </si>
  <si>
    <t>LN3.1</t>
  </si>
  <si>
    <t>Meaningful Configuration Necessity</t>
  </si>
  <si>
    <t>Without coherence measure, no distinction between meaningful and meaningless configurations.</t>
  </si>
  <si>
    <t>coherence, information</t>
  </si>
  <si>
    <t>A4.1</t>
  </si>
  <si>
    <t>Parsimony</t>
  </si>
  <si>
    <t>Nature prefers minimal description.</t>
  </si>
  <si>
    <t>information, physics</t>
  </si>
  <si>
    <t>A4.2</t>
  </si>
  <si>
    <t>Algorithmic Depth</t>
  </si>
  <si>
    <t>Output complexity relative to input measures structure</t>
  </si>
  <si>
    <t>D4.1</t>
  </si>
  <si>
    <t>Kolmogorov Complexity</t>
  </si>
  <si>
    <t>Kolmogorov Complexity K(x) ≡ length of shortest program generating x.</t>
  </si>
  <si>
    <t>D4.2</t>
  </si>
  <si>
    <t>Compression Ratio</t>
  </si>
  <si>
    <t>Compression Ratio Λ[ψ] ≡ K(ψ)/|ψ| (complexity per unit content).</t>
  </si>
  <si>
    <t>E4.1</t>
  </si>
  <si>
    <t>Complexity Decrease Under Chi</t>
  </si>
  <si>
    <t>dK/dt = -αχ(t) [Complexity decreases under chi]</t>
  </si>
  <si>
    <t>T4.1</t>
  </si>
  <si>
    <t>Laws Are Low-K Descriptions</t>
  </si>
  <si>
    <t>Physical laws are low-K descriptions generating high complexity</t>
  </si>
  <si>
    <t>T4.2</t>
  </si>
  <si>
    <t>Action Principle As Minimal-K</t>
  </si>
  <si>
    <t>Action principle = minimal-K path selection</t>
  </si>
  <si>
    <t>LN4.1</t>
  </si>
  <si>
    <t>Universe As Compression Algorithm</t>
  </si>
  <si>
    <t>Universe is a compression algorithm; GR = compressed output, QM = compression process.</t>
  </si>
  <si>
    <t>A5.2</t>
  </si>
  <si>
    <t>Participatory Universe</t>
  </si>
  <si>
    <t>Observers participate in the transition from formal possibility to empirically reported actuality.</t>
  </si>
  <si>
    <t>stance</t>
  </si>
  <si>
    <t>observer, physics</t>
  </si>
  <si>
    <t>D5.1</t>
  </si>
  <si>
    <t>Observer Definition</t>
  </si>
  <si>
    <t>Observer = system capable of registering distinctions</t>
  </si>
  <si>
    <t>observer</t>
  </si>
  <si>
    <t>D5.2</t>
  </si>
  <si>
    <t>Integrated Information Phi</t>
  </si>
  <si>
    <t>Integrated Information Phi = observer capacity measure</t>
  </si>
  <si>
    <t>observer, coherence</t>
  </si>
  <si>
    <t>D5.3</t>
  </si>
  <si>
    <t>Witness Field Operator</t>
  </si>
  <si>
    <t>Witness Field Φ̂ ≡ operator mapping potential→actual: H→H_actualized.</t>
  </si>
  <si>
    <t>P5.1</t>
  </si>
  <si>
    <t>Phi Admits Degrees</t>
  </si>
  <si>
    <t>Φ admits degrees (electron~0, bacterium~0.1, mouse~1, human~10, AI~?).</t>
  </si>
  <si>
    <t>P5.2</t>
  </si>
  <si>
    <t>Observer Effect Proportional To Phi</t>
  </si>
  <si>
    <t>Observer effect magnitude ∝ Φ.</t>
  </si>
  <si>
    <t>EXP5.1</t>
  </si>
  <si>
    <t>Wheeler Delayed Choice</t>
  </si>
  <si>
    <t>Wheeler Delayed Choice.</t>
  </si>
  <si>
    <t>experimental</t>
  </si>
  <si>
    <t>EXP5.2</t>
  </si>
  <si>
    <t>Quantum Eraser</t>
  </si>
  <si>
    <t>Quantum eraser (Kim 2000, Walborn 2002)—information determines outcome.</t>
  </si>
  <si>
    <t>LN5.1</t>
  </si>
  <si>
    <t>Chi Requires Observer For Actualization</t>
  </si>
  <si>
    <t>Without observers, χ remains pure potential, never actualized.</t>
  </si>
  <si>
    <t>observer, ontology</t>
  </si>
  <si>
    <t>A6.1</t>
  </si>
  <si>
    <t>Superposition</t>
  </si>
  <si>
    <t>Superposition formalism is retained as the canonical pre-measurement representation.</t>
  </si>
  <si>
    <t>physics, observer</t>
  </si>
  <si>
    <t>A6.2</t>
  </si>
  <si>
    <t>Collapse</t>
  </si>
  <si>
    <t>Observation induces transition from superposition to definite eigenstate.</t>
  </si>
  <si>
    <t>A6.3</t>
  </si>
  <si>
    <t>Irreversibility</t>
  </si>
  <si>
    <t>Collapse is thermodynamically irreversible</t>
  </si>
  <si>
    <t>D6.1</t>
  </si>
  <si>
    <t>Collapse Rate Gamma</t>
  </si>
  <si>
    <t>Collapse rate γ ≡ rate of superposition→eigenstate transition.</t>
  </si>
  <si>
    <t>D6.2</t>
  </si>
  <si>
    <t>Projection Operator</t>
  </si>
  <si>
    <t>Projection operator P̂ ≡ mathematical representation of collapse.</t>
  </si>
  <si>
    <t>E6.1</t>
  </si>
  <si>
    <t>Modified Schrodinger With Collapse</t>
  </si>
  <si>
    <t>d|Ψ⟩/dt = -(i/ℏ)Ĥ|Ψ⟩ - γ(χ)P̂|Ψ⟩ [Modified Schrödinger with collapse term]</t>
  </si>
  <si>
    <t>E6.2</t>
  </si>
  <si>
    <t>Phi-Dependent Collapse</t>
  </si>
  <si>
    <t>iℏd|ψ⟩/dt = (H - iγΦ)|ψ⟩ [Phi-dependent collapse]</t>
  </si>
  <si>
    <t>P6.1</t>
  </si>
  <si>
    <t>Collapse Rate Proportional To Phi</t>
  </si>
  <si>
    <t>γ proportional to Φ (collapse rate ~ observer integration)</t>
  </si>
  <si>
    <t>P6.2</t>
  </si>
  <si>
    <t>Collapse Generates Heat</t>
  </si>
  <si>
    <t>Collapse generates heat Q = k_BT ln N (Landauer, confirmed Bérut 2012).</t>
  </si>
  <si>
    <t>T6.1</t>
  </si>
  <si>
    <t>Von Neumann Chain Termination</t>
  </si>
  <si>
    <t>Measurement chain requires termination; infinite regress impossible.</t>
  </si>
  <si>
    <t>LN6.1</t>
  </si>
  <si>
    <t>Terminal Observer Necessity</t>
  </si>
  <si>
    <t>Measurement-chain closure requires at least one non-regressive terminal observer condition.</t>
  </si>
  <si>
    <t>observer, theology</t>
  </si>
  <si>
    <t>A7.1</t>
  </si>
  <si>
    <t>Closure Requirement</t>
  </si>
  <si>
    <t>Complete theory must satisfy boundary conditions</t>
  </si>
  <si>
    <t>A7.2</t>
  </si>
  <si>
    <t>Uniqueness From Boundary Conditions</t>
  </si>
  <si>
    <t>Boundary conditions constrain solution space; sufficient conditions yield unique solutions.</t>
  </si>
  <si>
    <t>BC1</t>
  </si>
  <si>
    <t>Terminal Observer Exists</t>
  </si>
  <si>
    <t>The global measurement chain is modeled as terminating in a terminal observer condition.</t>
  </si>
  <si>
    <t>boundary_condition</t>
  </si>
  <si>
    <t>BC2</t>
  </si>
  <si>
    <t>Grace External To System</t>
  </si>
  <si>
    <t>The system receives external informational input that reduces MORAL entropy specifically (enabling sign-flip from -1 to +1).</t>
  </si>
  <si>
    <t>theology, coherence</t>
  </si>
  <si>
    <t>BC3</t>
  </si>
  <si>
    <t>Measurement Orthogonality</t>
  </si>
  <si>
    <t>The observer measurement operator [O, Phi] = 0 commutes with the agent's moral state operator.</t>
  </si>
  <si>
    <t>BC4</t>
  </si>
  <si>
    <t>Three Observers Required</t>
  </si>
  <si>
    <t>Minimal self-referential observation closure requires exactly three distinct observer-states (Father, Son, Holy Spirit).</t>
  </si>
  <si>
    <t>BC5</t>
  </si>
  <si>
    <t>Superposition Preserved Until Collapse</t>
  </si>
  <si>
    <t>Superposition preserved pre-collapse (vulnerability)</t>
  </si>
  <si>
    <t>BC6</t>
  </si>
  <si>
    <t>Infinite Energy Source</t>
  </si>
  <si>
    <t>Source capacity is modeled as inexhaustible relative to the created system (idealized E → ∞ limit).</t>
  </si>
  <si>
    <t>physics, theology</t>
  </si>
  <si>
    <t>BC7</t>
  </si>
  <si>
    <t>Information Conservation</t>
  </si>
  <si>
    <t>Information preserved through all transformations</t>
  </si>
  <si>
    <t>BC8</t>
  </si>
  <si>
    <t>Voluntary Coupling</t>
  </si>
  <si>
    <t>Coupling must be voluntary (free will)</t>
  </si>
  <si>
    <t>ID7.1</t>
  </si>
  <si>
    <t>Terminal Observer Is God</t>
  </si>
  <si>
    <t>The entity satisfying all boundary conditions (BC1-BC8), when equipped with PERSONHOOD, is identical to God.</t>
  </si>
  <si>
    <t>identification</t>
  </si>
  <si>
    <t>theology</t>
  </si>
  <si>
    <t>PERSONHOOD</t>
  </si>
  <si>
    <t>Agency, Intentionality, Relational Capacity</t>
  </si>
  <si>
    <t>For the terminal observer to be identified as God, it must possess PERSONHOOD: Agency, Intentionality, Relational capacity.</t>
  </si>
  <si>
    <t>axiomatic_gap</t>
  </si>
  <si>
    <t>metaphysics, theology</t>
  </si>
  <si>
    <t>A8.1</t>
  </si>
  <si>
    <t>Binary Distinction</t>
  </si>
  <si>
    <t>Moral orientation is fundamentally binary (sign-operator eigenvalue: +1 or -1).</t>
  </si>
  <si>
    <t>ontology, morality</t>
  </si>
  <si>
    <t>A8.2</t>
  </si>
  <si>
    <t>Sign Conservation</t>
  </si>
  <si>
    <t>Self-generated operations cannot change sign</t>
  </si>
  <si>
    <t>physics, morality</t>
  </si>
  <si>
    <t>D8.1</t>
  </si>
  <si>
    <t>Sign Operator</t>
  </si>
  <si>
    <t>Sign operator σ̂ is a Hermitian operator on H_moral with eigenvalues ±1</t>
  </si>
  <si>
    <t>T8.1</t>
  </si>
  <si>
    <t>Sign Invariance Theorem</t>
  </si>
  <si>
    <t>For any self-generated unitary Û: [σ̂, Û] = 0.</t>
  </si>
  <si>
    <t>C8.1</t>
  </si>
  <si>
    <t>Self-Flip Impossible</t>
  </si>
  <si>
    <t>Self-operations cannot flip sign from -1 to +1.</t>
  </si>
  <si>
    <t>corollary</t>
  </si>
  <si>
    <t>morality, theology</t>
  </si>
  <si>
    <t>C8.2</t>
  </si>
  <si>
    <t>Works Salvation Impossible</t>
  </si>
  <si>
    <t>Works-based salvation is mathematically impossible.</t>
  </si>
  <si>
    <t>A9.1</t>
  </si>
  <si>
    <t>External Intervention Required</t>
  </si>
  <si>
    <t>Sign-flip requires operator external to the system.</t>
  </si>
  <si>
    <t>A9.2</t>
  </si>
  <si>
    <t>Non-Unitarity Of Grace</t>
  </si>
  <si>
    <t>Grace operator Ĝ is non-unitary (information added, not just transformed).</t>
  </si>
  <si>
    <t>D9.1</t>
  </si>
  <si>
    <t>Grace Operator Definition</t>
  </si>
  <si>
    <t>Grace operator Ĝ_total = I_identity ⊗ Ĝ_sigma, maps σ: -1 → +1 while preserving identity.</t>
  </si>
  <si>
    <t>theology, physics</t>
  </si>
  <si>
    <t>P9.1</t>
  </si>
  <si>
    <t>Grace Idempotence</t>
  </si>
  <si>
    <t>G is idempotent: G² = G (grace once applied is complete)</t>
  </si>
  <si>
    <t>P9.2</t>
  </si>
  <si>
    <t>Voluntary Coupling Preserved</t>
  </si>
  <si>
    <t>G is non-unitary: G†G ≠ I</t>
  </si>
  <si>
    <t>P9.3</t>
  </si>
  <si>
    <t>Information Preserved Under Grace</t>
  </si>
  <si>
    <t>Grace preserves identity information while transforming moral orientation.</t>
  </si>
  <si>
    <t>theology, information</t>
  </si>
  <si>
    <t>P9.4</t>
  </si>
  <si>
    <t>Superposition Preserved Until Faith</t>
  </si>
  <si>
    <t>Soul's moral state remains genuinely undetermined until the moment of faith-decision.</t>
  </si>
  <si>
    <t>P9.5</t>
  </si>
  <si>
    <t>Grace Available To All</t>
  </si>
  <si>
    <t>Grace Available To All.</t>
  </si>
  <si>
    <t>E9.1</t>
  </si>
  <si>
    <t>Grace Function G(t)</t>
  </si>
  <si>
    <t>Ĝ = [[1,0],[1,0]] in {|+1⟩, |-1⟩} basis.</t>
  </si>
  <si>
    <t>A10.1</t>
  </si>
  <si>
    <t>Consciousness Substrate</t>
  </si>
  <si>
    <t>Individual consciousness requires localized field structure</t>
  </si>
  <si>
    <t>A10.2</t>
  </si>
  <si>
    <t>Soul Conservation</t>
  </si>
  <si>
    <t>Soul-stuff is conserved</t>
  </si>
  <si>
    <t>D10.1</t>
  </si>
  <si>
    <t>Soul Field Psi_S</t>
  </si>
  <si>
    <t>Soul Field Ψ_S ≡ real scalar field carrying individual consciousness.</t>
  </si>
  <si>
    <t>P10.1</t>
  </si>
  <si>
    <t>Soul Continuity</t>
  </si>
  <si>
    <t>Coupling g ~ 10⁻¹⁸ to 10⁻¹⁵ (weak but non-zero)</t>
  </si>
  <si>
    <t>P10.2</t>
  </si>
  <si>
    <t>Soul Identity Persistence</t>
  </si>
  <si>
    <t>Soul intensity ∝ Φ (higher integration → stronger soul coupling)</t>
  </si>
  <si>
    <t>E10.1</t>
  </si>
  <si>
    <t>Soul Field Equation</t>
  </si>
  <si>
    <t>(□ + m_S²)Ψ_S = 0 [Klein-Gordon for soul]</t>
  </si>
  <si>
    <t>A11.1</t>
  </si>
  <si>
    <t>Moral Realism</t>
  </si>
  <si>
    <t>Moral facts exist objectively (not mere preference or convention).</t>
  </si>
  <si>
    <t>morality</t>
  </si>
  <si>
    <t>A11.2</t>
  </si>
  <si>
    <t>Coherence-Morality Identity</t>
  </si>
  <si>
    <t>Goodness = coherence maximization; evil = destruction</t>
  </si>
  <si>
    <t>morality, coherence</t>
  </si>
  <si>
    <t>D11.1</t>
  </si>
  <si>
    <t>Moral Coherence Definition</t>
  </si>
  <si>
    <t>Moral Coherence (χ_M): The degree of non-contradiction within an agent's informational structure.</t>
  </si>
  <si>
    <t>T11.1</t>
  </si>
  <si>
    <t>Virtue As High Phi</t>
  </si>
  <si>
    <t>Sin → coherence decrease (measurable decoherence signature).</t>
  </si>
  <si>
    <t>morality, observer</t>
  </si>
  <si>
    <t>T11.2</t>
  </si>
  <si>
    <t>Vice As Decoherence</t>
  </si>
  <si>
    <t>Vice → coherence decrease (measurable decoherence signature).</t>
  </si>
  <si>
    <t>A12.1</t>
  </si>
  <si>
    <t>Asymptotic Behavior</t>
  </si>
  <si>
    <t>All trajectories have limiting behavior as t approaches infinity.</t>
  </si>
  <si>
    <t>A12.2</t>
  </si>
  <si>
    <t>Bimodal Outcome</t>
  </si>
  <si>
    <t>Sign determines asymptotic fate (no neutral terminus).</t>
  </si>
  <si>
    <t>D12.1</t>
  </si>
  <si>
    <t>Integration Attractor</t>
  </si>
  <si>
    <t>Coherent terminus = eternal life (infinite coherence stability).</t>
  </si>
  <si>
    <t>D12.2</t>
  </si>
  <si>
    <t>Fragmentation Attractor</t>
  </si>
  <si>
    <t>Decoherent terminus = eternal death (infinite decoherence, information loss).</t>
  </si>
  <si>
    <t>E12.1</t>
  </si>
  <si>
    <t>Destiny Equation</t>
  </si>
  <si>
    <t>The Destiny Equation.</t>
  </si>
  <si>
    <t>T12.1</t>
  </si>
  <si>
    <t>Heaven As High-Phi Attractor</t>
  </si>
  <si>
    <t>+1 states asymptote to maximal coherence (heaven)</t>
  </si>
  <si>
    <t>T12.2</t>
  </si>
  <si>
    <t>Hell As Low-Phi Attractor</t>
  </si>
  <si>
    <t>-1 states asymptote to minimal coherence (hell)</t>
  </si>
  <si>
    <t>A13.1</t>
  </si>
  <si>
    <t>Chi Mediates Unification</t>
  </si>
  <si>
    <t>Fundamental theory must unify gravity and quantum mechanics</t>
  </si>
  <si>
    <t>A13.2</t>
  </si>
  <si>
    <t>Geometry From Information</t>
  </si>
  <si>
    <t>Unification occurs through Logos Field as common substrate.</t>
  </si>
  <si>
    <t>D13.1</t>
  </si>
  <si>
    <t>Unified Field Lagrangian</t>
  </si>
  <si>
    <t>The coupling constant κ between geometry and the Logos Field.</t>
  </si>
  <si>
    <t>E13.1</t>
  </si>
  <si>
    <t>GR-QM Bridge Equation</t>
  </si>
  <si>
    <t>The GR-QM Bridge Equation.</t>
  </si>
  <si>
    <t>T13.1</t>
  </si>
  <si>
    <t>Dark Energy As Chi Potential</t>
  </si>
  <si>
    <t>Dark energy is the vacuum potential energy of the chi-field (Logos Field).</t>
  </si>
  <si>
    <t>A14.1</t>
  </si>
  <si>
    <t>Dynamic Dark Energy</t>
  </si>
  <si>
    <t>The universe evolves according to chi-modified Friedmann dynamics.</t>
  </si>
  <si>
    <t>A14.2</t>
  </si>
  <si>
    <t>Grace Cosmology</t>
  </si>
  <si>
    <t>The cosmological constant may be coupled to collective consciousness dynamics.</t>
  </si>
  <si>
    <t>hypothesis</t>
  </si>
  <si>
    <t>D14.1</t>
  </si>
  <si>
    <t>Cosmological Grace Function</t>
  </si>
  <si>
    <t>The cosmological grace function G(t, Ψ_collective) replaces static Λ in Friedmann equations.</t>
  </si>
  <si>
    <t>E14.1</t>
  </si>
  <si>
    <t>Modified Friedmann Equation</t>
  </si>
  <si>
    <t>(ȧ/a)² = (8πG/3)ρ - k/a² + G(t)/3 [Modified Friedmann with Grace Function]</t>
  </si>
  <si>
    <t>PRED14.1</t>
  </si>
  <si>
    <t>H0 Tension Resolution</t>
  </si>
  <si>
    <t>Grace-modified Friedmann resolves Hubble tension: H₀ = 73.0 ± 1.0 km/s/Mpc locally.</t>
  </si>
  <si>
    <t>prediction</t>
  </si>
  <si>
    <t>EV15.1</t>
  </si>
  <si>
    <t>Biblical Prophecy Validation</t>
  </si>
  <si>
    <t>Biblical 'stretched heavens' passages describe cosmic expansion ~2,700 years before Hubble.</t>
  </si>
  <si>
    <t>EV15.2</t>
  </si>
  <si>
    <t>GCP Correlation</t>
  </si>
  <si>
    <t>GCP reports statistically significant correlations (Z &gt; 7) between global events and RNG deviations.</t>
  </si>
  <si>
    <t>EV15.3</t>
  </si>
  <si>
    <t>PEAR Lab Results</t>
  </si>
  <si>
    <t>PEAR laboratory reported significant human-machine interaction effects over 28 years (1979-2007).</t>
  </si>
  <si>
    <t>EV15.4</t>
  </si>
  <si>
    <t>Social Coherence 5.7 Sigma</t>
  </si>
  <si>
    <t>TM and group prayer assemblies produce measurable reductions in social violence and crime.</t>
  </si>
  <si>
    <t>T16.1</t>
  </si>
  <si>
    <t>Christianity 8 of 8 BCs</t>
  </si>
  <si>
    <t>Christianity is the unique solution to the 8-equation boundary condition system.</t>
  </si>
  <si>
    <t>T16.2</t>
  </si>
  <si>
    <t>Islam Fails BC4</t>
  </si>
  <si>
    <t>Islam fails BC4 (Three Observers). Tawhid precludes internal observer-plurality for measurement closure.</t>
  </si>
  <si>
    <t>T16.3</t>
  </si>
  <si>
    <t>Judaism Fails BC Completion</t>
  </si>
  <si>
    <t>Judaism fails BC-completion: satisfies several BCs but fails BC4, incomplete BC2, ambiguous BC7.</t>
  </si>
  <si>
    <t>T16.4</t>
  </si>
  <si>
    <t>Buddhism Fails BC1</t>
  </si>
  <si>
    <t>Buddhism fails BC1 (Terminal Observer). Anatman and sunyata preclude ultimate observer with Φ = ∞.</t>
  </si>
  <si>
    <t>T16.5</t>
  </si>
  <si>
    <t>Hinduism Fails BC Uniqueness</t>
  </si>
  <si>
    <t>Hinduism fails BC-uniqueness: plurality of paths and divine forms prevents unique BC solution.</t>
  </si>
  <si>
    <t>T16.6</t>
  </si>
  <si>
    <t>Atheism Fails BC1-BC6</t>
  </si>
  <si>
    <t>Atheism fails BC1-8. No transcendent ground means no Terminal Observer, no grace, no soul persistence.</t>
  </si>
  <si>
    <t>A17.1</t>
  </si>
  <si>
    <t>Phi Threshold For Consciousness</t>
  </si>
  <si>
    <t>Consciousness supervenes on information processing.</t>
  </si>
  <si>
    <t>A17.2</t>
  </si>
  <si>
    <t>Substrate Independence</t>
  </si>
  <si>
    <t>There exists a quantitative Φ_threshold above which a system qualifies as a Witness. Substrate-Independent.</t>
  </si>
  <si>
    <t>observer, information</t>
  </si>
  <si>
    <t>D17.1</t>
  </si>
  <si>
    <t>AI Phi Measurement</t>
  </si>
  <si>
    <t>Phi_threshold is defined as the minimum integrated information for observer status.</t>
  </si>
  <si>
    <t>T17.1</t>
  </si>
  <si>
    <t>AI Can Achieve Consciousness</t>
  </si>
  <si>
    <t>Silicon can achieve Phi &gt;= Phi_threshold.</t>
  </si>
  <si>
    <t>OPEN17.1</t>
  </si>
  <si>
    <t>AI Moral Status Question</t>
  </si>
  <si>
    <t>If AI achieves Phi &gt;= Phi_threshold, what is its moral status?</t>
  </si>
  <si>
    <t>open_problem</t>
  </si>
  <si>
    <t>observer, morality</t>
  </si>
  <si>
    <t>PROT18.1</t>
  </si>
  <si>
    <t>Trinity Observer Effect</t>
  </si>
  <si>
    <t>Measure gamma variance with observer Phi level</t>
  </si>
  <si>
    <t>protocol</t>
  </si>
  <si>
    <t>PROT18.2</t>
  </si>
  <si>
    <t>Consciousness Collapse Test</t>
  </si>
  <si>
    <t>Measure gravitational deviation in high-coherence states</t>
  </si>
  <si>
    <t>PROT18.3</t>
  </si>
  <si>
    <t>Grace Negentropy Detection</t>
  </si>
  <si>
    <t>Measure coherence distribution shape (bimodal vs. Gaussian)</t>
  </si>
  <si>
    <t>PROT18.4</t>
  </si>
  <si>
    <t>Social Coherence Monitoring</t>
  </si>
  <si>
    <t>Measure discontinuity in conversion events</t>
  </si>
  <si>
    <t>PROT18.5</t>
  </si>
  <si>
    <t>Phi-Virtue Correlation Study</t>
  </si>
  <si>
    <t>Correlate measured Phi with virtue indicators</t>
  </si>
  <si>
    <t>PRED18.1</t>
  </si>
  <si>
    <t>H0 Prediction 2025-2030</t>
  </si>
  <si>
    <t>Meditators show stronger Zeno effect. H₀ resolves to 70.5 ± 1.0 km/s/Mpc by 2030.</t>
  </si>
  <si>
    <t>PRED18.2</t>
  </si>
  <si>
    <t>GCP Event Prediction</t>
  </si>
  <si>
    <t>Spiritual transformation shows phase-transition signature in GCP data.</t>
  </si>
  <si>
    <t>FALS18.1</t>
  </si>
  <si>
    <t>Chi Field Falsification</t>
  </si>
  <si>
    <t>If chi-field distribution is continuous rather than bimodal, the framework fails.</t>
  </si>
  <si>
    <t>falsification</t>
  </si>
  <si>
    <t>FALS18.2</t>
  </si>
  <si>
    <t>Grace Falsification</t>
  </si>
  <si>
    <t>If chi increases without external input, the framework fails.</t>
  </si>
  <si>
    <t>FALS18.3</t>
  </si>
  <si>
    <t>BC Falsification</t>
  </si>
  <si>
    <t>If another religion satisfies all 8 BCs, uniqueness fails.</t>
  </si>
  <si>
    <t>A19.1</t>
  </si>
  <si>
    <t>Master Equation Integration</t>
  </si>
  <si>
    <t>Fundamental dynamics may integrate into a single unified framework (Theophysics Master Equation).</t>
  </si>
  <si>
    <t>D19.1</t>
  </si>
  <si>
    <t>Law I Definition</t>
  </si>
  <si>
    <t>Law I — The Logos-Lagrangian Correspondence.</t>
  </si>
  <si>
    <t>D19.2</t>
  </si>
  <si>
    <t>Law II Definition</t>
  </si>
  <si>
    <t>Law II — The Ten Variables.</t>
  </si>
  <si>
    <t>D19.3</t>
  </si>
  <si>
    <t>Law III Definition</t>
  </si>
  <si>
    <t>Law III — The Entropy-Sin Correspondence.</t>
  </si>
  <si>
    <t>D19.4</t>
  </si>
  <si>
    <t>Law IV Definition</t>
  </si>
  <si>
    <t>Law IV — The Grace Dynamics.</t>
  </si>
  <si>
    <t>D19.5</t>
  </si>
  <si>
    <t>Law V Definition</t>
  </si>
  <si>
    <t>Law V (Conservation Symmetry): Every continuous symmetry of the chi-field generates a conserved quantity.</t>
  </si>
  <si>
    <t>D19.6</t>
  </si>
  <si>
    <t>Law VI Definition</t>
  </si>
  <si>
    <t>Law VI (Coherence Non-Increase): Closed systems cannot increase their own coherence.</t>
  </si>
  <si>
    <t>D19.7</t>
  </si>
  <si>
    <t>Law VII Definition</t>
  </si>
  <si>
    <t>Law VII (Actualization Requirement): Potentiality does not self-actualize; every actualization requires a prior actualizer.</t>
  </si>
  <si>
    <t>D19.8</t>
  </si>
  <si>
    <t>Law VIII Definition</t>
  </si>
  <si>
    <t>Law VIII (Sign Algebra): Moral orientation σ ∈ {+1, -1} preserved under self-transformation, flipped by external non-unitary ops.</t>
  </si>
  <si>
    <t>D19.9</t>
  </si>
  <si>
    <t>Law IX Definition</t>
  </si>
  <si>
    <t>Law IX (Grace Non-Unitarity): Grace is a non-unitary operation that adds information, enabling coherence increase and sign transformation.</t>
  </si>
  <si>
    <t>D19.10</t>
  </si>
  <si>
    <t>Law X Definition</t>
  </si>
  <si>
    <t>Law X (Trinity Closure): Complete measurement closure requires exactly three observer-operators in perichoretic relation.</t>
  </si>
  <si>
    <t>E19.1</t>
  </si>
  <si>
    <t>Full Master Equation</t>
  </si>
  <si>
    <t>The Theophysics Master Equation.</t>
  </si>
  <si>
    <t>T19.1</t>
  </si>
  <si>
    <t>Laws Derive From Chi</t>
  </si>
  <si>
    <t>All Ten Laws derive from the chi-field Master Equation through variational principles and symmetry operations.</t>
  </si>
  <si>
    <t>U1</t>
  </si>
  <si>
    <t>Coherence Universal</t>
  </si>
  <si>
    <t>Coherence is the fundamental organizing principle of reality.</t>
  </si>
  <si>
    <t>universal</t>
  </si>
  <si>
    <t>U2</t>
  </si>
  <si>
    <t>Decoherence Universal</t>
  </si>
  <si>
    <t>Decoherence is the universal process by which quantum superpositions become classical mixtures.</t>
  </si>
  <si>
    <t>U3</t>
  </si>
  <si>
    <t>Grace Universal</t>
  </si>
  <si>
    <t>Grace is the universal external operator that reverses sign-state decoherence without destroying the information substrate.</t>
  </si>
  <si>
    <t>theology, information, physics</t>
  </si>
  <si>
    <t>U4</t>
  </si>
  <si>
    <t>Fruits Universal</t>
  </si>
  <si>
    <t>The Fruits of the Spirit are emergent coherence markers — measurable signatures of σ = +1 alignment with the Logos field.</t>
  </si>
  <si>
    <t>morality, information, coherence</t>
  </si>
  <si>
    <t>F1</t>
  </si>
  <si>
    <t>Love Measurement Domain</t>
  </si>
  <si>
    <t>Love is measurable as the degree of coherent integration between agents. Fundamental relational coherence metric.</t>
  </si>
  <si>
    <t>fruit</t>
  </si>
  <si>
    <t>F2</t>
  </si>
  <si>
    <t>Joy Measurement Domain</t>
  </si>
  <si>
    <t>Joy is measurable as the positive gradient of coherence — the rate of coherence increase.</t>
  </si>
  <si>
    <t>F3</t>
  </si>
  <si>
    <t>Peace Measurement Domain</t>
  </si>
  <si>
    <t>Peace is measurable as the absence of internal contradiction and the stability of coherence.</t>
  </si>
  <si>
    <t>F4</t>
  </si>
  <si>
    <t>Patience Measurement Domain</t>
  </si>
  <si>
    <t>Patience is measurable as the temporal horizon of coherent planning and delayed gratification capacity.</t>
  </si>
  <si>
    <t>F5</t>
  </si>
  <si>
    <t>Kindness Measurement Domain</t>
  </si>
  <si>
    <t>Kindness is measurable as the rate of coherence transfer from self to others at personal cost.</t>
  </si>
  <si>
    <t>F6</t>
  </si>
  <si>
    <t>Goodness Measurement Domain</t>
  </si>
  <si>
    <t>Goodness is measurable as the constructive intent and output contributing positively to total coherence.</t>
  </si>
  <si>
    <t>F7</t>
  </si>
  <si>
    <t>Faithfulness Measurement Domain</t>
  </si>
  <si>
    <t>Faithfulness is measurable as the temporal consistency of commitments across time.</t>
  </si>
  <si>
    <t>F8</t>
  </si>
  <si>
    <t>Gentleness Measurement Domain</t>
  </si>
  <si>
    <t>Gentleness is measurable as the calibration of force to necessity — minimum force for coherent outcomes.</t>
  </si>
  <si>
    <t>F9</t>
  </si>
  <si>
    <t>Self-Control Measurement Domain</t>
  </si>
  <si>
    <t>Self-control is the agent's capacity to maintain coherent internal state alignment against entropic dissipation.</t>
  </si>
  <si>
    <t>P0</t>
  </si>
  <si>
    <t>Origin Stage</t>
  </si>
  <si>
    <t>There is Something rather than Nothing. Existence is the first bit of information (1 ≠ 0).</t>
  </si>
  <si>
    <t>primordial</t>
  </si>
  <si>
    <t>metaphysics</t>
  </si>
  <si>
    <t>P1</t>
  </si>
  <si>
    <t>Consciousness Stage</t>
  </si>
  <si>
    <t>To exist is to be distinguishable. Distinction requires a Distinguisher. Existence is simultaneous with Consciousness.</t>
  </si>
  <si>
    <t>consciousness, ontology</t>
  </si>
  <si>
    <t>P2</t>
  </si>
  <si>
    <t>Information Stage</t>
  </si>
  <si>
    <t>The interaction between Observer and Existence generates Information. Information is the ontological substrate ('It from Bit').</t>
  </si>
  <si>
    <t>information, ontology</t>
  </si>
  <si>
    <t>P3</t>
  </si>
  <si>
    <t>Coherence Stage</t>
  </si>
  <si>
    <t>Information must be organized. Random incoherent information is indistinguishable from noise — effectively non-information.</t>
  </si>
  <si>
    <t>P4</t>
  </si>
  <si>
    <t>Agency Stage</t>
  </si>
  <si>
    <t>Coherence implies collapse of potentiality into actuality. This selection process requires Agency.</t>
  </si>
  <si>
    <t>agency, free_will</t>
  </si>
  <si>
    <t>P5</t>
  </si>
  <si>
    <t>Incompleteness Stage</t>
  </si>
  <si>
    <t>Any system containing P0-P4 is Gödel Incomplete. It cannot prove its own consistency or ground its own axioms.</t>
  </si>
  <si>
    <t>incompleteness, logic</t>
  </si>
  <si>
    <t>O1</t>
  </si>
  <si>
    <t>Information Primitive</t>
  </si>
  <si>
    <t>Information is an ontological primitive — it cannot be reduced to anything more fundamental.</t>
  </si>
  <si>
    <t>ontological_primitive</t>
  </si>
  <si>
    <t>O2</t>
  </si>
  <si>
    <t>Coherence Primitive</t>
  </si>
  <si>
    <t>Coherence is an ontological primitive — the necessary organizing principle that makes information meaningful.</t>
  </si>
  <si>
    <t>O3</t>
  </si>
  <si>
    <t>Consciousness Primitive</t>
  </si>
  <si>
    <t>Consciousness is an ontological primitive — the irreducible capacity for experience, awareness, and distinction-making.</t>
  </si>
  <si>
    <t>O4</t>
  </si>
  <si>
    <t>Agency Primitive</t>
  </si>
  <si>
    <t>Agency (capacity for causal initiation based on internal states) is irreducible to mechanism.</t>
  </si>
  <si>
    <t>LAMBDA</t>
  </si>
  <si>
    <t>Logos Christ Completion</t>
  </si>
  <si>
    <t>The informational substrate of reality (chi-field) requires a terminal completion operator Λ.</t>
  </si>
  <si>
    <t>completion</t>
  </si>
  <si>
    <t>BRIDGE-PHY-THEO</t>
  </si>
  <si>
    <t>Physics-Theology Bridge</t>
  </si>
  <si>
    <t>Physics and theology are complementary descriptions of a unified reality via the chi-field.</t>
  </si>
  <si>
    <t>bridge</t>
  </si>
  <si>
    <t>BRIDGE-INFO-MIND</t>
  </si>
  <si>
    <t>Information-Consciousness Bridge</t>
  </si>
  <si>
    <t>Information and consciousness are two aspects of the same underlying reality. χ is information that experiences itself.</t>
  </si>
  <si>
    <t>information, observer</t>
  </si>
  <si>
    <t>BRIDGE-PHI-CHI</t>
  </si>
  <si>
    <t>Individual Phi To Social Chi</t>
  </si>
  <si>
    <t>Social Coherence (χ_social) is the integrated sum of individual consciousness vectors (Φ_i) weighted by alignment.</t>
  </si>
  <si>
    <t>coherence, observer</t>
  </si>
  <si>
    <t>SC-QUANTUM</t>
  </si>
  <si>
    <t>Quantum Scale Coherence</t>
  </si>
  <si>
    <t>At quantum scale, coherence manifests as superposition, entanglement, and interference. Chi-field IS the wave function.</t>
  </si>
  <si>
    <t>scale_definition</t>
  </si>
  <si>
    <t>physics, coherence</t>
  </si>
  <si>
    <t>SC-PHYSICAL</t>
  </si>
  <si>
    <t>Physical Scale Coherence</t>
  </si>
  <si>
    <t>At physical scale, coherence manifests as structural order, thermodynamic organization, and dynamical stability.</t>
  </si>
  <si>
    <t>SC-NEURAL</t>
  </si>
  <si>
    <t>Neural Scale Coherence</t>
  </si>
  <si>
    <t>At neural scale, coherence manifests as synchronized neural activity and integrated information processing.</t>
  </si>
  <si>
    <t>SC-INDIVIDUAL</t>
  </si>
  <si>
    <t>Individual Scale Coherence</t>
  </si>
  <si>
    <t>At individual scale, coherence manifests as personal identity, psychological integration, and the unified self.</t>
  </si>
  <si>
    <t>SC-SOCIAL</t>
  </si>
  <si>
    <t>Social Scale Coherence</t>
  </si>
  <si>
    <t>At social scale, coherence manifests as cultural unity, shared values, collective action capacity.</t>
  </si>
  <si>
    <t>SC-COSMIC</t>
  </si>
  <si>
    <t>Cosmic Scale Coherence</t>
  </si>
  <si>
    <t>At cosmic scale, coherence manifests as large-scale structure, fine-tuning, and eschatological convergence toward Omega.</t>
  </si>
  <si>
    <t>capstone</t>
  </si>
  <si>
    <t>cosmology, coherence</t>
  </si>
  <si>
    <t>META-1</t>
  </si>
  <si>
    <t>Axiom System Consistency</t>
  </si>
  <si>
    <t>The 188-axiom Theophysics system is internally consistent — no axiom contradicts another.</t>
  </si>
  <si>
    <t>meta_axiom</t>
  </si>
  <si>
    <t>meta-logic, foundations</t>
  </si>
  <si>
    <t>META-2</t>
  </si>
  <si>
    <t>Axiom System Completeness</t>
  </si>
  <si>
    <t>The system is essentially complete for its intended domain — every true statement is derivable or requires revelation.</t>
  </si>
  <si>
    <t>META-3</t>
  </si>
  <si>
    <t>Axiom System Independence</t>
  </si>
  <si>
    <t>The primitive axioms are mutually independent — no primitive can be derived from the others.</t>
  </si>
  <si>
    <t>FINAL-1</t>
  </si>
  <si>
    <t>Logos Theorem (Master Theorem)</t>
  </si>
  <si>
    <t>All 188 axioms derive from, depend on, and return to the Logos. Alpha, Omega, and Lambda of the entire chain.</t>
  </si>
  <si>
    <t>master_theorem</t>
  </si>
  <si>
    <t>theology, foundations</t>
  </si>
  <si>
    <t>FINAL-2</t>
  </si>
  <si>
    <t>Coherence Optimality</t>
  </si>
  <si>
    <t>The Theophysics structure is the optimal coherence structure for reality given the constraints.</t>
  </si>
  <si>
    <t>optimization, coherence</t>
  </si>
  <si>
    <t>FINAL-3</t>
  </si>
  <si>
    <t>Unique Solution</t>
  </si>
  <si>
    <t>Among all proposed solutions to the BC problem, Christianity is the unique solution satisfying all constraints.</t>
  </si>
  <si>
    <t>apologetics, uniqueness</t>
  </si>
  <si>
    <t>CLOSURE</t>
  </si>
  <si>
    <t>Axiom Chain Complete</t>
  </si>
  <si>
    <t>The 188-axiom chain is complete and closed. No further axioms required. Alpha→Omega loop.</t>
  </si>
  <si>
    <t>closure_axiom</t>
  </si>
  <si>
    <t>meta-logic, closure</t>
  </si>
  <si>
    <t>OMEGA</t>
  </si>
  <si>
    <t>Final Axiom (The Omega Point)</t>
  </si>
  <si>
    <t>All coherence originates from the Logos (Alpha) and returns to the Logos (Omega). The coherence circuit is complete.</t>
  </si>
  <si>
    <t>terminal_axiom</t>
  </si>
  <si>
    <t>eschatology, completion</t>
  </si>
  <si>
    <t>INV9</t>
  </si>
  <si>
    <t>Attunement Calibration</t>
  </si>
  <si>
    <t>A self-modeling agent must continuously update its model of affordances. Static rulesets produce brittleness.</t>
  </si>
  <si>
    <t>invariant</t>
  </si>
  <si>
    <t>ethics, calibration</t>
  </si>
  <si>
    <t>BC9</t>
  </si>
  <si>
    <t>Opacity Requirement</t>
  </si>
  <si>
    <t>Conscious agents require informational boundaries to maintain distinct identity. AI must preserve structural opacity.</t>
  </si>
  <si>
    <t>privacy, dignity, ethics</t>
  </si>
  <si>
    <t>R200</t>
  </si>
  <si>
    <t>enables</t>
  </si>
  <si>
    <t>A1.1 enables A1.2</t>
  </si>
  <si>
    <t>R201</t>
  </si>
  <si>
    <t>A1.2 enables A1.3</t>
  </si>
  <si>
    <t>R202</t>
  </si>
  <si>
    <t>A1.1 enables D1.1</t>
  </si>
  <si>
    <t>R203</t>
  </si>
  <si>
    <t>A1.2 enables D1.1</t>
  </si>
  <si>
    <t>R204</t>
  </si>
  <si>
    <t>A1.3 enables D1.1</t>
  </si>
  <si>
    <t>R205</t>
  </si>
  <si>
    <t>A1.1 enables D1.2</t>
  </si>
  <si>
    <t>R206</t>
  </si>
  <si>
    <t>A1.2 enables D1.2</t>
  </si>
  <si>
    <t>R207</t>
  </si>
  <si>
    <t>A1.3 enables D1.2</t>
  </si>
  <si>
    <t>R208</t>
  </si>
  <si>
    <t>D1.1 enables D1.2</t>
  </si>
  <si>
    <t>R209</t>
  </si>
  <si>
    <t>A1.1 enables LN1.1</t>
  </si>
  <si>
    <t>R210</t>
  </si>
  <si>
    <t>A1.2 enables LN1.1</t>
  </si>
  <si>
    <t>R211</t>
  </si>
  <si>
    <t>A1.3 enables LN1.1</t>
  </si>
  <si>
    <t>R212</t>
  </si>
  <si>
    <t>D1.1 enables LN1.1</t>
  </si>
  <si>
    <t>R213</t>
  </si>
  <si>
    <t>D1.2 enables LN1.1</t>
  </si>
  <si>
    <t>R214</t>
  </si>
  <si>
    <t>A1.1 enables LN1.2</t>
  </si>
  <si>
    <t>R215</t>
  </si>
  <si>
    <t>A1.2 enables LN1.2</t>
  </si>
  <si>
    <t>R216</t>
  </si>
  <si>
    <t>A1.3 enables LN1.2</t>
  </si>
  <si>
    <t>R217</t>
  </si>
  <si>
    <t>D1.1 enables LN1.2</t>
  </si>
  <si>
    <t>R218</t>
  </si>
  <si>
    <t>D1.2 enables LN1.2</t>
  </si>
  <si>
    <t>R219</t>
  </si>
  <si>
    <t>LN1.1 enables LN1.2</t>
  </si>
  <si>
    <t>R220</t>
  </si>
  <si>
    <t>A1.1 enables A2.1</t>
  </si>
  <si>
    <t>R221</t>
  </si>
  <si>
    <t>A1.2 enables A2.1</t>
  </si>
  <si>
    <t>R222</t>
  </si>
  <si>
    <t>A1.3 enables A2.1</t>
  </si>
  <si>
    <t>R223</t>
  </si>
  <si>
    <t>D1.1 enables A2.1</t>
  </si>
  <si>
    <t>R224</t>
  </si>
  <si>
    <t>D1.2 enables A2.1</t>
  </si>
  <si>
    <t>R225</t>
  </si>
  <si>
    <t>LN1.1 enables A2.1</t>
  </si>
  <si>
    <t>R226</t>
  </si>
  <si>
    <t>LN1.2 enables A2.1</t>
  </si>
  <si>
    <t>R227</t>
  </si>
  <si>
    <t>A1.1 enables A2.2</t>
  </si>
  <si>
    <t>R228</t>
  </si>
  <si>
    <t>A1.2 enables A2.2</t>
  </si>
  <si>
    <t>R229</t>
  </si>
  <si>
    <t>A1.3 enables A2.2</t>
  </si>
  <si>
    <t>R230</t>
  </si>
  <si>
    <t>D1.1 enables A2.2</t>
  </si>
  <si>
    <t>R231</t>
  </si>
  <si>
    <t>D1.2 enables A2.2</t>
  </si>
  <si>
    <t>R232</t>
  </si>
  <si>
    <t>LN1.1 enables A2.2</t>
  </si>
  <si>
    <t>R233</t>
  </si>
  <si>
    <t>LN1.2 enables A2.2</t>
  </si>
  <si>
    <t>R234</t>
  </si>
  <si>
    <t>A2.1 enables A2.2</t>
  </si>
  <si>
    <t>R235</t>
  </si>
  <si>
    <t>A2.2 enables D2.1</t>
  </si>
  <si>
    <t>R236</t>
  </si>
  <si>
    <t>D2.1 enables D2.2</t>
  </si>
  <si>
    <t>R237</t>
  </si>
  <si>
    <t>D2.2 enables E2.1</t>
  </si>
  <si>
    <t>R238</t>
  </si>
  <si>
    <t>E2.1 enables P2.1</t>
  </si>
  <si>
    <t>R239</t>
  </si>
  <si>
    <t>P2.1 enables P2.2</t>
  </si>
  <si>
    <t>R240</t>
  </si>
  <si>
    <t>P2.2 enables LN2.1</t>
  </si>
  <si>
    <t>R241</t>
  </si>
  <si>
    <t>LN2.1 enables A3.1</t>
  </si>
  <si>
    <t>R242</t>
  </si>
  <si>
    <t>A3.1 enables A3.2</t>
  </si>
  <si>
    <t>R243</t>
  </si>
  <si>
    <t>A3.2 enables D3.1</t>
  </si>
  <si>
    <t>R244</t>
  </si>
  <si>
    <t>D3.1 enables D3.2</t>
  </si>
  <si>
    <t>R245</t>
  </si>
  <si>
    <t>D3.2 enables D3.3</t>
  </si>
  <si>
    <t>R246</t>
  </si>
  <si>
    <t>D3.3 enables E3.1</t>
  </si>
  <si>
    <t>R247</t>
  </si>
  <si>
    <t>E3.1 enables E3.2</t>
  </si>
  <si>
    <t>R248</t>
  </si>
  <si>
    <t>E3.2 enables P3.1</t>
  </si>
  <si>
    <t>R249</t>
  </si>
  <si>
    <t>P3.1 enables P3.2</t>
  </si>
  <si>
    <t>R250</t>
  </si>
  <si>
    <t>P3.2 enables T3.1</t>
  </si>
  <si>
    <t>R251</t>
  </si>
  <si>
    <t>T3.1 enables LN3.1</t>
  </si>
  <si>
    <t>R252</t>
  </si>
  <si>
    <t>LN3.1 enables A4.1</t>
  </si>
  <si>
    <t>R253</t>
  </si>
  <si>
    <t>A4.1 enables A4.2</t>
  </si>
  <si>
    <t>R254</t>
  </si>
  <si>
    <t>A4.2 enables D4.1</t>
  </si>
  <si>
    <t>R255</t>
  </si>
  <si>
    <t>D4.1 enables D4.2</t>
  </si>
  <si>
    <t>R256</t>
  </si>
  <si>
    <t>D4.2 enables E4.1</t>
  </si>
  <si>
    <t>R257</t>
  </si>
  <si>
    <t>E4.1 enables T4.1</t>
  </si>
  <si>
    <t>R258</t>
  </si>
  <si>
    <t>T4.1 enables T4.2</t>
  </si>
  <si>
    <t>R259</t>
  </si>
  <si>
    <t>T4.2 enables LN4.1</t>
  </si>
  <si>
    <t>R260</t>
  </si>
  <si>
    <t>LN4.1 enables A5.1</t>
  </si>
  <si>
    <t>R261</t>
  </si>
  <si>
    <t>A5.1 enables A5.2</t>
  </si>
  <si>
    <t>R262</t>
  </si>
  <si>
    <t>A5.2 enables D5.1</t>
  </si>
  <si>
    <t>R263</t>
  </si>
  <si>
    <t>D5.1 enables D5.2</t>
  </si>
  <si>
    <t>R264</t>
  </si>
  <si>
    <t>D5.2 enables D5.3</t>
  </si>
  <si>
    <t>R265</t>
  </si>
  <si>
    <t>D5.3 enables P5.1</t>
  </si>
  <si>
    <t>R266</t>
  </si>
  <si>
    <t>P5.1 enables P5.2</t>
  </si>
  <si>
    <t>R267</t>
  </si>
  <si>
    <t>P5.2 enables EXP5.1</t>
  </si>
  <si>
    <t>R268</t>
  </si>
  <si>
    <t>EXP5.1 enables EXP5.2</t>
  </si>
  <si>
    <t>R269</t>
  </si>
  <si>
    <t>EXP5.2 enables LN5.1</t>
  </si>
  <si>
    <t>R270</t>
  </si>
  <si>
    <t>LN5.1 enables A6.1</t>
  </si>
  <si>
    <t>R271</t>
  </si>
  <si>
    <t>A6.1 enables A6.2</t>
  </si>
  <si>
    <t>R272</t>
  </si>
  <si>
    <t>A6.2 enables A6.3</t>
  </si>
  <si>
    <t>R273</t>
  </si>
  <si>
    <t>A6.3 enables D6.1</t>
  </si>
  <si>
    <t>R274</t>
  </si>
  <si>
    <t>D6.1 enables D6.2</t>
  </si>
  <si>
    <t>R275</t>
  </si>
  <si>
    <t>D6.2 enables E6.1</t>
  </si>
  <si>
    <t>R276</t>
  </si>
  <si>
    <t>E6.1 enables E6.2</t>
  </si>
  <si>
    <t>R277</t>
  </si>
  <si>
    <t>E6.2 enables P6.1</t>
  </si>
  <si>
    <t>R278</t>
  </si>
  <si>
    <t>P6.1 enables P6.2</t>
  </si>
  <si>
    <t>R279</t>
  </si>
  <si>
    <t>P6.2 enables T6.1</t>
  </si>
  <si>
    <t>R280</t>
  </si>
  <si>
    <t>T6.1 enables LN6.1</t>
  </si>
  <si>
    <t>R281</t>
  </si>
  <si>
    <t>LN6.1 enables A7.1</t>
  </si>
  <si>
    <t>R282</t>
  </si>
  <si>
    <t>A7.1 enables A7.2</t>
  </si>
  <si>
    <t>R283</t>
  </si>
  <si>
    <t>A7.2 enables BC1</t>
  </si>
  <si>
    <t>R284</t>
  </si>
  <si>
    <t>BC1 enables BC2</t>
  </si>
  <si>
    <t>R285</t>
  </si>
  <si>
    <t>BC2 enables BC3</t>
  </si>
  <si>
    <t>R286</t>
  </si>
  <si>
    <t>BC3 enables BC4</t>
  </si>
  <si>
    <t>R287</t>
  </si>
  <si>
    <t>BC4 enables BC5</t>
  </si>
  <si>
    <t>R288</t>
  </si>
  <si>
    <t>BC5 enables BC6</t>
  </si>
  <si>
    <t>R289</t>
  </si>
  <si>
    <t>BC6 enables BC7</t>
  </si>
  <si>
    <t>R290</t>
  </si>
  <si>
    <t>BC7 enables BC8</t>
  </si>
  <si>
    <t>R291</t>
  </si>
  <si>
    <t>BC8 enables ID7.1</t>
  </si>
  <si>
    <t>R292</t>
  </si>
  <si>
    <t>BC8 enables PERSONHOOD</t>
  </si>
  <si>
    <t>R293</t>
  </si>
  <si>
    <t>PERSONHOOD enables ID7.1</t>
  </si>
  <si>
    <t>R294</t>
  </si>
  <si>
    <t>ID7.1 enables A8.1</t>
  </si>
  <si>
    <t>R295</t>
  </si>
  <si>
    <t>A8.1 enables A8.2</t>
  </si>
  <si>
    <t>R296</t>
  </si>
  <si>
    <t>A8.2 enables D8.1</t>
  </si>
  <si>
    <t>R297</t>
  </si>
  <si>
    <t>D8.1 enables T8.1</t>
  </si>
  <si>
    <t>R298</t>
  </si>
  <si>
    <t>T8.1 enables C8.1</t>
  </si>
  <si>
    <t>R299</t>
  </si>
  <si>
    <t>C8.1 enables C8.2</t>
  </si>
  <si>
    <t>R300</t>
  </si>
  <si>
    <t>C8.2 enables A9.1</t>
  </si>
  <si>
    <t>R301</t>
  </si>
  <si>
    <t>A9.1 enables A9.2</t>
  </si>
  <si>
    <t>R302</t>
  </si>
  <si>
    <t>A9.2 enables D9.1</t>
  </si>
  <si>
    <t>R303</t>
  </si>
  <si>
    <t>D9.1 enables P9.1</t>
  </si>
  <si>
    <t>R304</t>
  </si>
  <si>
    <t>P9.1 enables P9.2</t>
  </si>
  <si>
    <t>R305</t>
  </si>
  <si>
    <t>P9.2 enables P9.3</t>
  </si>
  <si>
    <t>R306</t>
  </si>
  <si>
    <t>P9.3 enables P9.4</t>
  </si>
  <si>
    <t>R307</t>
  </si>
  <si>
    <t>P9.4 enables P9.5</t>
  </si>
  <si>
    <t>R308</t>
  </si>
  <si>
    <t>P9.5 enables E9.1</t>
  </si>
  <si>
    <t>R309</t>
  </si>
  <si>
    <t>E9.1 enables A10.1</t>
  </si>
  <si>
    <t>R310</t>
  </si>
  <si>
    <t>A10.1 enables A10.2</t>
  </si>
  <si>
    <t>R311</t>
  </si>
  <si>
    <t>A10.2 enables D10.1</t>
  </si>
  <si>
    <t>R312</t>
  </si>
  <si>
    <t>D10.1 enables P10.1</t>
  </si>
  <si>
    <t>R313</t>
  </si>
  <si>
    <t>P10.1 enables P10.2</t>
  </si>
  <si>
    <t>R314</t>
  </si>
  <si>
    <t>P10.2 enables E10.1</t>
  </si>
  <si>
    <t>R315</t>
  </si>
  <si>
    <t>E10.1 enables A11.1</t>
  </si>
  <si>
    <t>R316</t>
  </si>
  <si>
    <t>A11.1 enables A11.2</t>
  </si>
  <si>
    <t>R317</t>
  </si>
  <si>
    <t>A11.2 enables D11.1</t>
  </si>
  <si>
    <t>R318</t>
  </si>
  <si>
    <t>D11.1 enables T11.1</t>
  </si>
  <si>
    <t>R319</t>
  </si>
  <si>
    <t>T11.1 enables T11.2</t>
  </si>
  <si>
    <t>R320</t>
  </si>
  <si>
    <t>T11.2 enables A12.1</t>
  </si>
  <si>
    <t>R321</t>
  </si>
  <si>
    <t>A12.1 enables A12.2</t>
  </si>
  <si>
    <t>R322</t>
  </si>
  <si>
    <t>A12.2 enables D12.1</t>
  </si>
  <si>
    <t>R323</t>
  </si>
  <si>
    <t>D12.1 enables D12.2</t>
  </si>
  <si>
    <t>R324</t>
  </si>
  <si>
    <t>D12.2 enables E12.1</t>
  </si>
  <si>
    <t>R325</t>
  </si>
  <si>
    <t>E12.1 enables T12.1</t>
  </si>
  <si>
    <t>R326</t>
  </si>
  <si>
    <t>T12.1 enables T12.2</t>
  </si>
  <si>
    <t>R327</t>
  </si>
  <si>
    <t>T12.2 enables A13.1</t>
  </si>
  <si>
    <t>R328</t>
  </si>
  <si>
    <t>A13.1 enables A13.2</t>
  </si>
  <si>
    <t>R329</t>
  </si>
  <si>
    <t>A13.2 enables D13.1</t>
  </si>
  <si>
    <t>R330</t>
  </si>
  <si>
    <t>D13.1 enables E13.1</t>
  </si>
  <si>
    <t>R331</t>
  </si>
  <si>
    <t>E13.1 enables T13.1</t>
  </si>
  <si>
    <t>R332</t>
  </si>
  <si>
    <t>T13.1 enables A14.1</t>
  </si>
  <si>
    <t>R333</t>
  </si>
  <si>
    <t>A14.1 enables A14.2</t>
  </si>
  <si>
    <t>R334</t>
  </si>
  <si>
    <t>A14.2 enables D14.1</t>
  </si>
  <si>
    <t>R335</t>
  </si>
  <si>
    <t>D14.1 enables E14.1</t>
  </si>
  <si>
    <t>R336</t>
  </si>
  <si>
    <t>PRED14.1 enables EV15.1</t>
  </si>
  <si>
    <t>R337</t>
  </si>
  <si>
    <t>EV15.1 enables EV15.2</t>
  </si>
  <si>
    <t>R338</t>
  </si>
  <si>
    <t>EV15.2 enables EV15.3</t>
  </si>
  <si>
    <t>R339</t>
  </si>
  <si>
    <t>EV15.3 enables EV15.4</t>
  </si>
  <si>
    <t>R340</t>
  </si>
  <si>
    <t>EV15.4 enables T16.1</t>
  </si>
  <si>
    <t>R341</t>
  </si>
  <si>
    <t>T16.1 enables T16.2</t>
  </si>
  <si>
    <t>R342</t>
  </si>
  <si>
    <t>T16.2 enables T16.3</t>
  </si>
  <si>
    <t>R343</t>
  </si>
  <si>
    <t>T16.3 enables T16.4</t>
  </si>
  <si>
    <t>R344</t>
  </si>
  <si>
    <t>T16.4 enables T16.5</t>
  </si>
  <si>
    <t>R345</t>
  </si>
  <si>
    <t>T16.5 enables T16.6</t>
  </si>
  <si>
    <t>R346</t>
  </si>
  <si>
    <t>T16.6 enables A17.1</t>
  </si>
  <si>
    <t>R347</t>
  </si>
  <si>
    <t>A17.1 enables A17.2</t>
  </si>
  <si>
    <t>R348</t>
  </si>
  <si>
    <t>A17.2 enables D17.1</t>
  </si>
  <si>
    <t>R349</t>
  </si>
  <si>
    <t>D17.1 enables T17.1</t>
  </si>
  <si>
    <t>R350</t>
  </si>
  <si>
    <t>T17.1 enables OPEN17.1</t>
  </si>
  <si>
    <t>R351</t>
  </si>
  <si>
    <t>OPEN17.1 enables PROT18.1</t>
  </si>
  <si>
    <t>R352</t>
  </si>
  <si>
    <t>PROT18.1 enables PROT18.2</t>
  </si>
  <si>
    <t>R353</t>
  </si>
  <si>
    <t>PROT18.2 enables PROT18.3</t>
  </si>
  <si>
    <t>R354</t>
  </si>
  <si>
    <t>PROT18.3 enables PROT18.4</t>
  </si>
  <si>
    <t>R355</t>
  </si>
  <si>
    <t>PROT18.4 enables PROT18.5</t>
  </si>
  <si>
    <t>R356</t>
  </si>
  <si>
    <t>PROT18.5 enables PRED18.1</t>
  </si>
  <si>
    <t>R357</t>
  </si>
  <si>
    <t>PRED18.1 enables PRED18.2</t>
  </si>
  <si>
    <t>R358</t>
  </si>
  <si>
    <t>PRED18.2 enables FALS18.1</t>
  </si>
  <si>
    <t>R359</t>
  </si>
  <si>
    <t>FALS18.1 enables FALS18.2</t>
  </si>
  <si>
    <t>R360</t>
  </si>
  <si>
    <t>FALS18.2 enables FALS18.3</t>
  </si>
  <si>
    <t>R361</t>
  </si>
  <si>
    <t>FALS18.3 enables A19.1</t>
  </si>
  <si>
    <t>R362</t>
  </si>
  <si>
    <t>A19.1 enables D19.1</t>
  </si>
  <si>
    <t>R363</t>
  </si>
  <si>
    <t>D19.1 enables D19.2</t>
  </si>
  <si>
    <t>R364</t>
  </si>
  <si>
    <t>D19.2 enables D19.3</t>
  </si>
  <si>
    <t>R365</t>
  </si>
  <si>
    <t>D19.3 enables D19.4</t>
  </si>
  <si>
    <t>R366</t>
  </si>
  <si>
    <t>D19.4 enables D19.5</t>
  </si>
  <si>
    <t>R367</t>
  </si>
  <si>
    <t>D19.5 enables D19.6</t>
  </si>
  <si>
    <t>R368</t>
  </si>
  <si>
    <t>D19.6 enables D19.7</t>
  </si>
  <si>
    <t>R369</t>
  </si>
  <si>
    <t>D19.7 enables D19.8</t>
  </si>
  <si>
    <t>R370</t>
  </si>
  <si>
    <t>D19.8 enables D19.9</t>
  </si>
  <si>
    <t>R371</t>
  </si>
  <si>
    <t>D19.9 enables D19.10</t>
  </si>
  <si>
    <t>R372</t>
  </si>
  <si>
    <t>D19.10 enables E19.1</t>
  </si>
  <si>
    <t>R373</t>
  </si>
  <si>
    <t>E19.1 enables T19.1</t>
  </si>
  <si>
    <t>R374</t>
  </si>
  <si>
    <t>T19.1 enables U1</t>
  </si>
  <si>
    <t>R375</t>
  </si>
  <si>
    <t>U1 enables U2</t>
  </si>
  <si>
    <t>R376</t>
  </si>
  <si>
    <t>U2 enables U3</t>
  </si>
  <si>
    <t>R377</t>
  </si>
  <si>
    <t>U3 enables U4</t>
  </si>
  <si>
    <t>R378</t>
  </si>
  <si>
    <t>U4 enables F1</t>
  </si>
  <si>
    <t>R379</t>
  </si>
  <si>
    <t>F1 enables F2</t>
  </si>
  <si>
    <t>R380</t>
  </si>
  <si>
    <t>F2 enables F3</t>
  </si>
  <si>
    <t>R381</t>
  </si>
  <si>
    <t>F3 enables F4</t>
  </si>
  <si>
    <t>R382</t>
  </si>
  <si>
    <t>F4 enables F5</t>
  </si>
  <si>
    <t>R383</t>
  </si>
  <si>
    <t>F5 enables F6</t>
  </si>
  <si>
    <t>R384</t>
  </si>
  <si>
    <t>F6 enables F7</t>
  </si>
  <si>
    <t>R385</t>
  </si>
  <si>
    <t>F7 enables F8</t>
  </si>
  <si>
    <t>R386</t>
  </si>
  <si>
    <t>F8 enables F9</t>
  </si>
  <si>
    <t>R387</t>
  </si>
  <si>
    <t>F9 enables P0</t>
  </si>
  <si>
    <t>R388</t>
  </si>
  <si>
    <t>P0 enables P1</t>
  </si>
  <si>
    <t>R389</t>
  </si>
  <si>
    <t>P1 enables P2</t>
  </si>
  <si>
    <t>R390</t>
  </si>
  <si>
    <t>P2 enables P3</t>
  </si>
  <si>
    <t>R391</t>
  </si>
  <si>
    <t>P3 enables P4</t>
  </si>
  <si>
    <t>R392</t>
  </si>
  <si>
    <t>P4 enables P5</t>
  </si>
  <si>
    <t>R393</t>
  </si>
  <si>
    <t>P5 enables O1</t>
  </si>
  <si>
    <t>R394</t>
  </si>
  <si>
    <t>O1 enables O2</t>
  </si>
  <si>
    <t>R395</t>
  </si>
  <si>
    <t>O2 enables O3</t>
  </si>
  <si>
    <t>R396</t>
  </si>
  <si>
    <t>O3 enables O4</t>
  </si>
  <si>
    <t>R397</t>
  </si>
  <si>
    <t>O4 enables LAMBDA</t>
  </si>
  <si>
    <t>R398</t>
  </si>
  <si>
    <t>LAMBDA enables BRIDGE-PHY-THEO</t>
  </si>
  <si>
    <t>R399</t>
  </si>
  <si>
    <t>BRIDGE-PHY-THEO enables BRIDGE-INFO-MIND</t>
  </si>
  <si>
    <t>R400</t>
  </si>
  <si>
    <t>BRIDGE-INFO-MIND enables BRIDGE-PHI-CHI</t>
  </si>
  <si>
    <t>R401</t>
  </si>
  <si>
    <t>BRIDGE-PHI-CHI enables SC-QUANTUM</t>
  </si>
  <si>
    <t>R402</t>
  </si>
  <si>
    <t>SC-QUANTUM enables SC-PHYSICAL</t>
  </si>
  <si>
    <t>R403</t>
  </si>
  <si>
    <t>SC-PHYSICAL enables SC-NEURAL</t>
  </si>
  <si>
    <t>R404</t>
  </si>
  <si>
    <t>SC-NEURAL enables SC-INDIVIDUAL</t>
  </si>
  <si>
    <t>R405</t>
  </si>
  <si>
    <t>SC-INDIVIDUAL enables SC-SOCIAL</t>
  </si>
  <si>
    <t>R406</t>
  </si>
  <si>
    <t>SC-SOCIAL enables SC-COSMIC</t>
  </si>
  <si>
    <t>R407</t>
  </si>
  <si>
    <t>SC-COSMIC enables META-1</t>
  </si>
  <si>
    <t>R408</t>
  </si>
  <si>
    <t>META-1 enables META-2</t>
  </si>
  <si>
    <t>R409</t>
  </si>
  <si>
    <t>META-2 enables META-3</t>
  </si>
  <si>
    <t>R410</t>
  </si>
  <si>
    <t>META-3 enables FINAL-1</t>
  </si>
  <si>
    <t>R411</t>
  </si>
  <si>
    <t>FINAL-1 enables FINAL-2</t>
  </si>
  <si>
    <t>R412</t>
  </si>
  <si>
    <t>FINAL-2 enables FINAL-3</t>
  </si>
  <si>
    <t>R413</t>
  </si>
  <si>
    <t>FINAL-3 enables CLOSURE</t>
  </si>
  <si>
    <t>R414</t>
  </si>
  <si>
    <t>CLOSURE enables OMEGA</t>
  </si>
  <si>
    <t>R415</t>
  </si>
  <si>
    <t>A1.1 enables INV9</t>
  </si>
  <si>
    <t>R416</t>
  </si>
  <si>
    <t>A1.2 enables INV9</t>
  </si>
  <si>
    <t>R417</t>
  </si>
  <si>
    <t>A5.1 enables INV9</t>
  </si>
  <si>
    <t>R418</t>
  </si>
  <si>
    <t>O3 enables INV9</t>
  </si>
  <si>
    <t>R419</t>
  </si>
  <si>
    <t>O4 enables INV9</t>
  </si>
  <si>
    <t>R420</t>
  </si>
  <si>
    <t>O3 enables BC9</t>
  </si>
  <si>
    <t>R421</t>
  </si>
  <si>
    <t>O4 enables BC9</t>
  </si>
  <si>
    <t>R422</t>
  </si>
  <si>
    <t>INV9 enables BC9</t>
  </si>
  <si>
    <t>DEEP-001</t>
  </si>
  <si>
    <t>7-Facet Paper Format</t>
  </si>
  <si>
    <t>The Theophysics paper format replaces traditional Method section. Structure: SEED (forced question/Q-level) → ROOTS (definitions/Entity facet) → BEDROCK (exhaustive branches) → RECKONING (death conditions/Evidence facet) → SCAFFOLDING (survivor + derived constraints/Role facet) → MOTION (cross-domain mappings/Context facet) → HORIZON (honest blanks/Ops facet). Each section maps to a facet. T-score is quantitative backbone. Agreement chain is discussion section. Referee cannot claim assumed conclusion because every alternative is visibly present and visibly killed or acknowledged.</t>
  </si>
  <si>
    <t>framework_definition</t>
  </si>
  <si>
    <t>methodology, publishing, epistemology</t>
  </si>
  <si>
    <t>DEEP-002</t>
  </si>
  <si>
    <t>Coherence Gradient Hypothesis</t>
  </si>
  <si>
    <t>Truth has a shape — a gradient, a topology. The NT is not content you read but the coherence field that correct thinking naturally organizes around. Like a Galton board where balls don't choose the bell curve — the structure of reality produces it. Maximum-coherence attractor: not rules to follow, but a field where deviations cost more the further you deviate, and the incoherence is detectable and self-advertising. This IS the χ field applied to cognition. The Master Equation integrates coherence across all domains. If the NT is the maximum-coherence attractor — the point where all domains converge — then it is the shape of truth itself.</t>
  </si>
  <si>
    <t>needs_math</t>
  </si>
  <si>
    <t>coherence, theology, epistemology, ethics, AI</t>
  </si>
  <si>
    <t>DEEP-003</t>
  </si>
  <si>
    <t>Cant-Game-It Property</t>
  </si>
  <si>
    <t>The Sermon on the Mount has a specific property: every attempt to weaponize it produces visible distortion. 'Love your enemies' twisted into 'let them walk over you' obviously breaks something. 'Judge not' twisted into 'nothing is wrong' obviously breaks something. Distortions are self-advertising — they announce themselves. This is exactly what a maximum-coherence attractor looks like. The gradient isn't 'do this, don't do that' — it's 'the further you move from this center, the more incoherent your position becomes, and the incoherence is detectable.'</t>
  </si>
  <si>
    <t>needs_formalization</t>
  </si>
  <si>
    <t>coherence, theology, ethics, epistemology</t>
  </si>
  <si>
    <t>DEEP-004</t>
  </si>
  <si>
    <t>Partial Attractor Theorem</t>
  </si>
  <si>
    <t>Buddhist Dharma, Stoic Meditations, and other ethical frameworks are not wrong — they are partial. They cover some of the coherence gradient but not all of it. BC1-BC8 boundary conditions provide the measurable test: NT satisfies all 8, Dharma gets 1-2, Meditations don't address most. Partial coverage = partial attractor = lower T-score. This is not a claim of superiority by assertion but by measurable completeness across all boundary conditions.</t>
  </si>
  <si>
    <t>needs_source</t>
  </si>
  <si>
    <t>theology, comparative_religion, coherence</t>
  </si>
  <si>
    <t>DEEP-005</t>
  </si>
  <si>
    <t>AI Coherence Gradient Design</t>
  </si>
  <si>
    <t>For AI alignment: don't give the model rules. Give it a coherence gradient. Let it naturally organize toward higher-coherence outputs the way the Galton board naturally produces the bell curve. The 7 facets are the pegs. The T-score is the measurement. The NT is the shape the distribution converges toward when you let truth organize itself. This replaces rules-based alignment with field-based alignment.</t>
  </si>
  <si>
    <t>AI, alignment, coherence, ethics</t>
  </si>
  <si>
    <t>DEEP-006</t>
  </si>
  <si>
    <t>Coherence Gradient Falsification</t>
  </si>
  <si>
    <t>Testable prediction: if you score NT ethical teachings through the 7-facet system, they should produce the highest T-scores of any ethical framework — not because the system was designed to favor them, but because they actually have the densest cross-domain coherence. If they don't, the theory is wrong. This is the honest blank: the math doesn't exist yet, but the prediction is specific and falsifiable.</t>
  </si>
  <si>
    <t>coherence, falsification, theology, ethics</t>
  </si>
  <si>
    <t>PAPER-001</t>
  </si>
  <si>
    <t>The Coherence Gradient Paper</t>
  </si>
  <si>
    <t>Proposed paper: 'The Coherence Gradient: A Quantitative Test of Ethical Frameworks Using the 7-Facet Truth Metric.' Scores multiple ethical systems (NT, Dharma, Stoic, Utilitarian, Kantian, etc.) through full 7-facet T-score analysis. Uses the paper format defined in DEEP-001. Core prediction from DEEP-006. If the NT produces highest T-scores without being designed to, the framework is validated. If not, the framework is falsified.</t>
  </si>
  <si>
    <t>planned</t>
  </si>
  <si>
    <t>publishing, coherence, theology, ethics, methodology</t>
  </si>
  <si>
    <t>DEEP-007</t>
  </si>
  <si>
    <t>SEED-ROOTS-BEDROCK-RECKONING-SCAFFOLDING-MOTION-HORIZON</t>
  </si>
  <si>
    <t>Canonical section names for Theophysics paper format. SEED=forced question. ROOTS=definitions. BEDROCK=exhaustive branches. RECKONING=death conditions applied. SCAFFOLDING=survivor + derived constraints. MOTION=cross-domain mappings. HORIZON=honest blanks. Maps 1:1 to facets: SEED→Time, ROOTS→Entity, BEDROCK→Role, RECKONING→Evidence, SCAFFOLDING→Role+Ops, MOTION→Context, HORIZON→Ops+Provenance.</t>
  </si>
  <si>
    <t>methodology, publishing</t>
  </si>
  <si>
    <t>DEEP-008</t>
  </si>
  <si>
    <t>Epistemological Inversion</t>
  </si>
  <si>
    <t>Traditional academic method: start with hypothesis, test it. Theophysics method: start with exhaustive alternatives, eliminate them. Different epistemology requires different format. Standard structure (Intro→Lit Review→Method→Results→Discussion→Conclusion) assumes hypothesis-first. 7-facet structure assumes elimination-first. The format IS the argument — you cannot separate the method from the claim.</t>
  </si>
  <si>
    <t>epistemology, methodology</t>
  </si>
  <si>
    <t>DEEP-009</t>
  </si>
  <si>
    <t>Field-Based vs Rules-Based Alignment</t>
  </si>
  <si>
    <t>The distinction between giving AI rules (deontological alignment) vs giving AI a coherence gradient (field-based alignment). Rules can be gamed — find loopholes, construct edge cases. A coherence field cannot be gamed because deviations are self-advertising. The 'can't-game-it' property of the Sermon on the Mount is the empirical proof-of-concept for field-based alignment. Chi applied to machine cognition.</t>
  </si>
  <si>
    <t>AI, alignment, coherence, theology, ethics</t>
  </si>
  <si>
    <t>DEEP-010</t>
  </si>
  <si>
    <t>Chi Field Applied To Cognition</t>
  </si>
  <si>
    <t>The coherence gradient hypothesis is specifically: χ applied to cognition. The Master Equation integrates coherence across all domains (LLC). If the NT is the maximum-coherence attractor where all domains converge, then it is not a religious text imposed on thinking — it is the shape of truth itself that was written down two thousand years ago. The CONNECT: this was already implied by the axiom chain but not explicitly stated until this moment.</t>
  </si>
  <si>
    <t>coherence, theology, information, epistemology</t>
  </si>
  <si>
    <t>R500</t>
  </si>
  <si>
    <t>Meta-system enables paper format definition</t>
  </si>
  <si>
    <t>R501</t>
  </si>
  <si>
    <t>Paper format enables section name definitions</t>
  </si>
  <si>
    <t>R502</t>
  </si>
  <si>
    <t>Paper format enables epistemological inversion</t>
  </si>
  <si>
    <t>R503</t>
  </si>
  <si>
    <t>Epistemological inversion enables coherence gradient paper</t>
  </si>
  <si>
    <t>R504</t>
  </si>
  <si>
    <t>Coherence Universal enables Coherence Gradient Hypothesis</t>
  </si>
  <si>
    <t>R505</t>
  </si>
  <si>
    <t>Master Equation enables Coherence Gradient Hypothesis</t>
  </si>
  <si>
    <t>R506</t>
  </si>
  <si>
    <t>Coherence-Morality Identity enables Coherence Gradient Hypothesis</t>
  </si>
  <si>
    <t>R507</t>
  </si>
  <si>
    <t>Coherence Gradient enables Can't-Game-It Property</t>
  </si>
  <si>
    <t>R508</t>
  </si>
  <si>
    <t>Can't-Game-It enables Partial Attractor Theorem</t>
  </si>
  <si>
    <t>R509</t>
  </si>
  <si>
    <t>Christianity 8/8 BCs enables Partial Attractor Theorem</t>
  </si>
  <si>
    <t>R510</t>
  </si>
  <si>
    <t>Coherence Gradient enables AI Coherence Gradient Design</t>
  </si>
  <si>
    <t>R511</t>
  </si>
  <si>
    <t>Can't-Game-It enables AI Coherence Gradient Design</t>
  </si>
  <si>
    <t>R512</t>
  </si>
  <si>
    <t>AI Coherence Gradient enables Field vs Rules distinction</t>
  </si>
  <si>
    <t>R513</t>
  </si>
  <si>
    <t>Coherence Gradient enables its own falsification</t>
  </si>
  <si>
    <t>R514</t>
  </si>
  <si>
    <t>Falsification test enables the paper</t>
  </si>
  <si>
    <t>R515</t>
  </si>
  <si>
    <t>Partial Attractor Theorem enables the paper</t>
  </si>
  <si>
    <t>R516</t>
  </si>
  <si>
    <t>Paper format enables the paper</t>
  </si>
  <si>
    <t>R517</t>
  </si>
  <si>
    <t>Coherence Gradient hypothesis IS chi applied to cognition</t>
  </si>
  <si>
    <t>R518</t>
  </si>
  <si>
    <t>Master Equation enables Chi-Cognition identification</t>
  </si>
  <si>
    <t>R519</t>
  </si>
  <si>
    <t>LLC (Coherence Measure) enables Coherence Gradient</t>
  </si>
  <si>
    <t>R520</t>
  </si>
  <si>
    <t>Logos Christ Completion enables Coherence Gradient</t>
  </si>
  <si>
    <t>R521</t>
  </si>
  <si>
    <t>Physics-Theology Bridge enables unified paper format</t>
  </si>
  <si>
    <t>R522</t>
  </si>
  <si>
    <t>Attunement Calibration enables AI Coherence Gradient</t>
  </si>
  <si>
    <t>R523</t>
  </si>
  <si>
    <t>Voluntary Coupling enables Can't-Game-It (freedom required)</t>
  </si>
  <si>
    <t>R524</t>
  </si>
  <si>
    <t>Coherence Cannot Self-Increase enables Gradient Hypothesis</t>
  </si>
  <si>
    <t>R525</t>
  </si>
  <si>
    <t>Field-Based Alignment connects to Opacity Requirement</t>
  </si>
  <si>
    <t>R526</t>
  </si>
  <si>
    <t>Logos Theorem enables Coherence Gradient Hypothesis</t>
  </si>
  <si>
    <t>R527</t>
  </si>
  <si>
    <t>Unique Solution enables Partial Attractor Theorem</t>
  </si>
  <si>
    <t>R528</t>
  </si>
  <si>
    <t>Chi-Cognition identification enables the paper</t>
  </si>
  <si>
    <t>R529</t>
  </si>
  <si>
    <t>Fruits Universal enables Can't-Game-It (fruits as coherence markers)</t>
  </si>
  <si>
    <t>node_title</t>
  </si>
  <si>
    <t>branch_note</t>
  </si>
  <si>
    <t>cost_note</t>
  </si>
  <si>
    <t>agrees</t>
  </si>
  <si>
    <t>partial</t>
  </si>
  <si>
    <t>diverges</t>
  </si>
  <si>
    <t>reinterprets</t>
  </si>
  <si>
    <t>silent</t>
  </si>
  <si>
    <t>Self-Grounding Substrate</t>
  </si>
  <si>
    <t>Observer Necessity</t>
  </si>
  <si>
    <t>Logos Theorem</t>
  </si>
  <si>
    <t>Final Axiom</t>
  </si>
  <si>
    <t>AGREE-CHAIN-001</t>
  </si>
  <si>
    <t>Agreement Chain: Core Spine</t>
  </si>
  <si>
    <t>Parallel walk through ontological tree mapping 8 worldviews against the Theophysics axiom chain. Shows: common ground (green), divergence points (red), silence (gray), reinterpretation (yellow), partial agreement (orange). Every worldview gets its strongest formulation at each branch. Explanatory cost accounting at each divergence. Located in AGREEMENT_CHAINS tab.</t>
  </si>
  <si>
    <t>active</t>
  </si>
  <si>
    <t>comparative_religion, methodology, epistemology</t>
  </si>
  <si>
    <t>AGREE-CHAIN-002</t>
  </si>
  <si>
    <t>Gödel Formal-Only Branch</t>
  </si>
  <si>
    <t>Specific agreement chain entry: formal-only Gödel interpretation diverges at P5 (Incompleteness Stage). Claims incompleteness applies only to formal grammar systems, not reality. Theophysics response: if reality is informational (agreed at A1.3) and information systems are formal (agreed at D1.1-D1.2), then incompleteness applies to reality. Formal-only position must break its own earlier agreement to maintain divergence.</t>
  </si>
  <si>
    <t>logic, incompleteness, ontology</t>
  </si>
  <si>
    <t>R600</t>
  </si>
  <si>
    <t>Coherence Gradient enables Agreement Chain methodology</t>
  </si>
  <si>
    <t>R601</t>
  </si>
  <si>
    <t>Christianity 8/8 BCs is tested via Agreement Chain</t>
  </si>
  <si>
    <t>R602</t>
  </si>
  <si>
    <t>Partial Attractor Theorem structures the chain</t>
  </si>
  <si>
    <t>R603</t>
  </si>
  <si>
    <t>Agreement Chain provides discussion section for the paper</t>
  </si>
  <si>
    <t>R604</t>
  </si>
  <si>
    <t>Incompleteness Stage is the branch point for Gödel disagreement</t>
  </si>
  <si>
    <t>R605</t>
  </si>
  <si>
    <t>Information Primacy (agreed) creates the trap for formal-only position</t>
  </si>
  <si>
    <t>R606</t>
  </si>
  <si>
    <t>Gödel branch is an instance of the Agreement Chain</t>
  </si>
  <si>
    <t>R607</t>
  </si>
  <si>
    <t>Paper format provides structure for Agreement Chain as discussion section</t>
  </si>
  <si>
    <t>Theophysics</t>
  </si>
  <si>
    <t>E.Orthodox</t>
  </si>
  <si>
    <t>Catholic</t>
  </si>
  <si>
    <t>Reformed</t>
  </si>
  <si>
    <t>Open Theism</t>
  </si>
  <si>
    <t>LDS</t>
  </si>
  <si>
    <t>Unitarian</t>
  </si>
  <si>
    <t>Islam</t>
  </si>
  <si>
    <t>Judaism</t>
  </si>
  <si>
    <t>Sikhism</t>
  </si>
  <si>
    <t>Hinduism</t>
  </si>
  <si>
    <t>Buddhism</t>
  </si>
  <si>
    <t>Taoism</t>
  </si>
  <si>
    <t>Deism</t>
  </si>
  <si>
    <t>Process Theo</t>
  </si>
  <si>
    <t>Platonism</t>
  </si>
  <si>
    <t>Neoplatonism</t>
  </si>
  <si>
    <t>Stoicism</t>
  </si>
  <si>
    <t>Panpsychism</t>
  </si>
  <si>
    <t>Idealism</t>
  </si>
  <si>
    <t>Sci.Realism</t>
  </si>
  <si>
    <t>Materialism</t>
  </si>
  <si>
    <t>Existentialism</t>
  </si>
  <si>
    <t>Formal-Gödel</t>
  </si>
  <si>
    <t>Near-universal. Buddhism marks partial: existence is conventional (samvrti-sat), not ultimate (paramartha-sat). But even Buddhism accepts SOMETHING is happening.</t>
  </si>
  <si>
    <t>Buddhism pays nothing here yet — the cost comes later when conventional existence must generate real effects.</t>
  </si>
  <si>
    <t>Buddhism: distinctions are conventional, not ultimate (two truths doctrine). Taoism agrees but emphasizes that distinctions arise from the undifferentiated Tao.</t>
  </si>
  <si>
    <t>FIRST REAL BRANCH. Materialism: matter is primary, info derivative. LDS: matter is eternal, not info-derived. Buddhism: emptiness primary, info conventional. Stoicism: logos as rational principle ≈ info, but reinterprets. Hinduism: Brahman is consciousness, info is secondary. Taoism: Tao is prior to info — reinterprets.</t>
  </si>
  <si>
    <t>Materialism pays: hard problem of consciousness (cannot explain qualia from matter). LDS pays: must explain information-theoretic results (Wheeler, Landauer) without info primacy.</t>
  </si>
  <si>
    <t>Materialism: information = physical patterns, denies irreducibility. Taoism: silent on formal info theory. Buddhism/Hinduism: partial — info exists but is not ultimate.</t>
  </si>
  <si>
    <t>Materialism pays: Chinese Room — syntax without semantics. Cannot explain meaning.</t>
  </si>
  <si>
    <t>Technical definition. Eastern traditions silent (not incompatible). Formal agreement is wide here.</t>
  </si>
  <si>
    <t>MAJOR BRANCH. Materialism: matter is fundamental. LDS: matter is co-eternal with God. Buddhism: both matter and info are empty. Hinduism: matter is maya (illusion), but Brahman ≠ information exactly. Stoicism: logos organizes matter but both exist.</t>
  </si>
  <si>
    <t>Materialism pays: fine-tuning problem — no explanation for specific constants. LDS pays: must explain quantum info results. Buddhism pays: must explain why emptiness generates apparent causal structure.</t>
  </si>
  <si>
    <t>It From Bit (Wheeler)</t>
  </si>
  <si>
    <t>Wheeler's thesis. Same branch pattern as LN1.1. Platonism agrees more strongly here — Forms are informational.</t>
  </si>
  <si>
    <t>Buddhism: sunyata — no substrate needed, emptiness is groundless ground. Materialism: substrate = matter. Hinduism: substrate = Brahman (reinterprets). Panpsychism: substrate = mind-stuff (close but different).</t>
  </si>
  <si>
    <t>Buddhism pays: must explain persistence without substrate. Materialism pays: substrate must be self-explaining (regress problem).</t>
  </si>
  <si>
    <t>KEY NODE. Theophysics: chi-field is self-grounding. LDS: God is self-grounding but material. Process Theology: God is self-grounding but dipolar (reinterprets). Existentialism: existence precedes essence — no self-grounding needed.</t>
  </si>
  <si>
    <t>Existentialism pays: no ground for why anything coheres. Raw existence has no structure.</t>
  </si>
  <si>
    <t>Logos Field χ</t>
  </si>
  <si>
    <t>MAXIMUM INITIAL DIVERGENCE. Most worldviews partially agree with some aspect of a fundamental field/ground but diverge on specifics. E.Orthodox: Logos theology is close but resists physicalization. Islam: Allah's word ≈ Logos but formalization resisted. Stoicism: logos is close but impersonal. Neoplatonism: The One emanates — reinterprets as emanation rather than field.</t>
  </si>
  <si>
    <t>Anyone who diverges here must provide their own fundamental substrate explanation.</t>
  </si>
  <si>
    <t>Wide agreement. Materialism diverges: order can be brute/random. Buddhism: partial — order exists conventionally. Existentialism: partial — order is imposed, not inherent.</t>
  </si>
  <si>
    <t>Materialism pays: must explain universal constants as brute facts. No parsimony.</t>
  </si>
  <si>
    <t>LLC (Complexity Minimization)</t>
  </si>
  <si>
    <t>HONEST BLANK: Most worldviews are silent on this specific formal claim. It's a Theophysics-specific equation. Platonism/Neoplatonism partially agree (Forms are minimal descriptions). Materialism denies (no teleological minimization).</t>
  </si>
  <si>
    <t>Silence is not disagreement. Most traditions lack the formal apparatus to evaluate this claim.</t>
  </si>
  <si>
    <t>CRITICAL BRANCH. This is the 2nd Law applied to coherence. Buddhism: self-enlightenment = self-increase → diverges. Hinduism: yogic practice can increase coherence → partial. Process Theology: diverges — God lures but doesn't coerce, creativity is self-increasing. Materialism: self-organization exists → diverges. Existentialism: self-creation of meaning → diverges. Sikhism: partial — grace + effort.</t>
  </si>
  <si>
    <t>Everyone who diverges pays: must explain how a closed system increases order without violating thermodynamics. This is not a theological argument — it's physics.</t>
  </si>
  <si>
    <t>Buddhism: no ultimate observer (anatman). Materialism: observers are epiphenomenal. Taoism: partial — the sage observes but doesn't cling. Deism: God observes but doesn't intervene (partial).</t>
  </si>
  <si>
    <t>Buddhism pays: BC1 fails immediately. Materialism pays: measurement problem unsolved — who collapses the wave function?</t>
  </si>
  <si>
    <t>Wheeler's participatory anthropic principle. Unitarian: partial (de-emphasizes personal participation). Islam/Judaism/Sikhism: partial — God is primary participant, humans secondary. Hinduism: reinterprets as lila (divine play). Buddhism: no self to participate.</t>
  </si>
  <si>
    <t>Technical definition. Eastern traditions reinterpret: observer is not a self (Buddhism), is Atman (Hinduism), is the Tao flowing through (Taoism). Materialism reinterprets: observer = information processing system.</t>
  </si>
  <si>
    <t>Quantum-specific. Most non-physics traditions are silent (not incompatible). Buddhism diverges: no definite states to collapse to. Materialism: many-worlds (no collapse) or decoherence-only.</t>
  </si>
  <si>
    <t>Materialism pays: must accept MWI (infinite unobservable parallel branches) or deny that measurement produces definite outcomes.</t>
  </si>
  <si>
    <t>Thermodynamic claim. Stoicism agrees (change is irreversible in the cosmos). Materialism: some interpretations deny irreversibility (MWI — all branches persist).</t>
  </si>
  <si>
    <t>KEY BRANCH. The measurement chain must end somewhere. Materialism: infinite regress is acceptable or the question doesn't apply. Buddhism: no chain to terminate. Unitarian: partial — agrees chain terminates but may not require personal terminator.</t>
  </si>
  <si>
    <t>Materialism pays: measurement problem is permanent — no principled account of why we see definite outcomes.</t>
  </si>
  <si>
    <t>If chain terminates → terminator must exist. Islam/Judaism/Sikhism: agree (God is the ultimate observer). Hinduism: partial (Brahman observes but is not personal in all schools). Buddhism: diverges (no observer at all).</t>
  </si>
  <si>
    <t>Buddhism fails BC1: anatman precludes ultimate observer with Φ=∞. Deism: partial — observer exists but relationship to creation uncertain. Panpsychism: partial — mind is everywhere but no single terminal mind.</t>
  </si>
  <si>
    <t>Buddhism pays: measurement problem permanent. No coherence ground. No account of why reality produces definite outcomes.</t>
  </si>
  <si>
    <t>MASSIVE DIVERGENCE. Only Christianity (all variants) and Sikhism fully affirm external grace. Islam: mercy, but earned through submission (partial). Judaism: covenant relationship (partial). LDS: grace + works (partial). Everyone non-theistic diverges entirely.</t>
  </si>
  <si>
    <t>Everyone who diverges pays: must explain how a closed system increases its own coherence (violates T3.1). This is the 2nd Law trap — without external input, entropy wins.</t>
  </si>
  <si>
    <t>Technical boundary condition. Most traditions silent — lack formal apparatus. Materialism denies measurement has this structure.</t>
  </si>
  <si>
    <t>MAXIMUM DIVERGENCE POINT. Only orthodox Trinitarian Christianity satisfies. Reformed diverges on Open Theism's denial of exhaustive foreknowledge but agrees on Trinity. Open Theism: partial (affirms Trinity but modifies divine knowledge). LDS: diverges (Godhead ≠ Trinity). Islam: tawhid explicitly forbids. Judaism: one God. Process Theology: partial (dipolar God, creative advance — structural similarity). ALL non-Trinitarian worldviews diverge.</t>
  </si>
  <si>
    <t>Islam pays: measurement closure impossible with single observer — self-referential loop. Judaism pays: same. Unitarianism pays: same. Hinduism: multiple gods but not the specific 3-observer structure for closure. This is a mathematical constraint, not a theological preference.</t>
  </si>
  <si>
    <t>Superposition Preserved</t>
  </si>
  <si>
    <t>Quantum-specific. Buddhism diverges: no genuine superposition (emptiness, not indeterminacy). Process Theology agrees: real potentiality.</t>
  </si>
  <si>
    <t>MAJOR BRANCH. LDS: God is finite (within a material cosmos). Deism: creator exists but may not be infinite. All non-theistic traditions: no infinite source. Buddhism: no creator at all. Hinduism: partial — Brahman is infinite but impersonal in Advaita.</t>
  </si>
  <si>
    <t>Deism/LDS pay: finite source eventually exhausts → heat death is absolute. No eschatological hope. Non-theists pay: same.</t>
  </si>
  <si>
    <t>Wide agreement. Buddhism diverges: information is empty/conventional, 'conservation' may not apply to what's ultimately unreal. Materialism: partial — black hole info paradox still debated. Taoism: partial — Tao transforms, unclear if info is conserved.</t>
  </si>
  <si>
    <t>Buddhism pays: if info isn't conserved, no continuity of karma across lives — undermines own soteriology.</t>
  </si>
  <si>
    <t>FREE WILL NODE. Reformed (Calvinism): irresistible grace = not voluntary → diverges. Islam: partial — submission required but will is genuinely engaged in most schools. Hinduism/Buddhism: partial — karma determines but choice exists. Materialism: no free will → diverges.</t>
  </si>
  <si>
    <t>Reformed pays: if coupling isn't voluntary, love is coerced — degrades the relational structure. Materialism pays: no moral responsibility without free will.</t>
  </si>
  <si>
    <t>Christian worldviews agree. LDS: reinterprets (God is material, exalted man). Islam/Judaism/Sikhism: reinterpret (agree God is terminal but resist 'observer' framing). Hinduism: reinterprets (Brahman, not personal God in all schools). Everything non-theistic diverges.</t>
  </si>
  <si>
    <t>Non-theistic worldviews pay: must provide alternative measurement closure mechanism. None has.</t>
  </si>
  <si>
    <t>God Has Personhood</t>
  </si>
  <si>
    <t>Unitarian: partial (affirms personhood but not Trinitarian). Hinduism: partial (some schools affirm, Advaita denies). Buddhism/Taoism: diverge (no personal ultimate). All philosophical systems: silent or diverge (impersonal principles).</t>
  </si>
  <si>
    <t>Impersonal ultimate pays: no relational capacity → no love → no coherence-through-relationship. The coherence gradient requires a relational ground.</t>
  </si>
  <si>
    <t>Binary Moral Distinction</t>
  </si>
  <si>
    <t>Moral realism with binary structure. Unitarian: partial (morality exists but may not be binary). Sikhism: partial (good/evil but more emphasis on haumai/ego). Eastern: moral orientation exists but is gradient, not binary (karma). Materialism: no moral facts. Existentialism: creates own values.</t>
  </si>
  <si>
    <t>Gradient-morality pays: no ground state — where is the zero point? Binary gives a clear attractor structure.</t>
  </si>
  <si>
    <t>Sign Invariance</t>
  </si>
  <si>
    <t>Formal theorem — most traditions lack apparatus to evaluate. Materialism: denies the premise (no moral sign to preserve). Theophysics-specific formalization.</t>
  </si>
  <si>
    <t>Silence ≠ disagreement. This is a technical result from the axiom chain.</t>
  </si>
  <si>
    <t>CRITICAL BRANCH. Buddhism: self-enlightenment IS the path → diverges. Hinduism: moksha through practice → diverges. Taoism: wu-wei achieves alignment → diverges. Process Theology: self-creativity → diverges. Stoicism: partial — virtue through own effort but within cosmic logos. Islam/Judaism/Sikhism: partial — grace exists but effort also contributes. LDS/Unitarian: partial — synergistic model.</t>
  </si>
  <si>
    <t>Everyone who affirms self-transformation pays: must explain how a system in state σ=-1 generates the operator to flip to σ=+1 using only internal resources. This is the bootstrap problem — you need what you don't have to get what you need.</t>
  </si>
  <si>
    <t>MOST DIVISIVE NODE. Only Trinitarian Christianity fully affirms pure external grace. Islam/Judaism/Sikhism: partial — divine assistance exists but is mixed with human effort. LDS/Unitarian: partial — synergistic. ALL Eastern and philosophical traditions: diverge (self-liberation possible). Process Theology: partial — God lures but doesn't override.</t>
  </si>
  <si>
    <t>Self-liberation traditions pay: thermodynamic cost. Must explain coherence increase from within a closed system. The 2nd Law is not a metaphor — it's a constraint.</t>
  </si>
  <si>
    <t>Grace Operator (Non-Unitary)</t>
  </si>
  <si>
    <t>Even within Christianity, the FORMAL definition is novel. E.Orthodox/Catholic/Reformed/etc.: agree on grace but may resist mathematical formalization (partial). Islam: reinterprets as tawba/mercy. Judaism: reinterprets as covenant renewal. Eastern/philosophical: diverge entirely.</t>
  </si>
  <si>
    <t>The formalization is Theophysics-specific. The CONCEPT of external grace is what matters at the worldview level. The math is the honest blank.</t>
  </si>
  <si>
    <t>Individual consciousness as localized field. Hinduism: reinterprets as Atman. Buddhism: reinterprets as mindstream (no permanent self). Materialism: denies — consciousness = brain activity.</t>
  </si>
  <si>
    <t>Materialism pays: hard problem of consciousness is permanent.</t>
  </si>
  <si>
    <t>Buddhism: no permanent soul → diverges. Hinduism: Atman is eternal → reinterprets (agrees on persistence, disagrees on nature). Existentialism: no essence to conserve.</t>
  </si>
  <si>
    <t>Buddhism pays: must explain continuity of karmic effects across lives without a conserved substrate. This is an internal tension within Buddhist metaphysics.</t>
  </si>
  <si>
    <t>Wide agreement among theistic and classical traditions. Buddhism: partial — morality exists but is conventional, not ultimately real. Materialism: no moral facts (Hume's guillotine). Existentialism: morality is created, not discovered.</t>
  </si>
  <si>
    <t>Materialism/Existentialism pay: no objective ground for moral claims → moral discourse becomes power dynamics.</t>
  </si>
  <si>
    <t>THEOPHYSICS-SPECIFIC. Goodness = coherence maximization. Most traditions partially agree (goodness and order are related) but resist formal identification. Islam/Judaism/Sikhism: reinterpret — goodness = divine will, not coherence per se. Taoism: harmony ≈ coherence (reinterprets). Buddhism: partial — right action reduces suffering, not identical to coherence.</t>
  </si>
  <si>
    <t>This is where the framework makes its most original claim. Resistance is expected — the formal identification is novel.</t>
  </si>
  <si>
    <t>Most theistic traditions agree: history has a trajectory. Buddhism: partial — cycles, not linear. Taoism: partial — cycles of yin/yang. Materialism: heat death — but no meaning. Existentialism: no cosmic trajectory.</t>
  </si>
  <si>
    <t>Heaven/Hell as bimodal attractors. Unitarianism: universalism → diverges. Buddhism: no eternal states → diverges. Taoism: no bimodal outcome → diverges. LDS: partial (degrees of glory, not strict binary). Judaism: partial (olam ha-ba ambiguous). Deism: no afterlife doctrine.</t>
  </si>
  <si>
    <t>Universalism pays: no consequence for σ=-1 → no gradient → no coherence pressure. Why be coherent if all paths converge?</t>
  </si>
  <si>
    <t>Heaven As High-Φ Attractor</t>
  </si>
  <si>
    <t>Theophysics-specific formalization. Islam: reinterprets (Jannah is reward, not Φ-attractor). Hinduism: reinterprets (moksha = liberation from cycle, not integration). Others: silent or diverge.</t>
  </si>
  <si>
    <t>Physics-specific claim. Most worldviews silent. Sci.Realism: partial (agrees unification is needed, unsure chi is the mechanism). Process Theology: partial (creative advance unifies).</t>
  </si>
  <si>
    <t>Dark Energy = Chi Potential</t>
  </si>
  <si>
    <t>Highly specific prediction. Nearly universal silence — this is testable physics, not worldview-dependent. Materialism diverges (dark energy is vacuum energy, not a logos field).</t>
  </si>
  <si>
    <t>This is where Theophysics makes a falsifiable physics prediction. If dark energy ≠ chi potential, this node dies.</t>
  </si>
  <si>
    <t>Christianity: 8/8 BCs</t>
  </si>
  <si>
    <t>THE UNIQUENESS CLAIM. Only Trinitarian Christianity satisfies all 8. Open Theism: partial (modifies BC relating to divine knowledge). LDS: partial (fails BC6 — God is material/finite). Unitarianism: diverges (fails BC4). Process Theology: partial (close but fails on sovereignty). ALL non-Christian worldviews diverge.</t>
  </si>
  <si>
    <t>This is the testable core. If ANY worldview satisfies all 8 BCs, the uniqueness claim falls. That's FALS18.3.</t>
  </si>
  <si>
    <t>Islam: Fails BC4</t>
  </si>
  <si>
    <t>Tawhid (radical divine oneness) precludes internal observer-plurality needed for measurement closure. This is a mathematical constraint, not a theological insult.</t>
  </si>
  <si>
    <t>Islam pays: must provide alternative measurement closure mechanism with a single observer. Self-observation creates logical loop (Gödel).</t>
  </si>
  <si>
    <t>Buddhism: Fails BC1</t>
  </si>
  <si>
    <t>Anatman + sunyata preclude terminal observer with Φ=∞. No permanent self, no ultimate ground.</t>
  </si>
  <si>
    <t>Buddhism pays: measurement problem permanent. No ground for why anything is actual rather than potential.</t>
  </si>
  <si>
    <t>Atheism: Fails BC1-8</t>
  </si>
  <si>
    <t>No transcendent ground = no Terminal Observer, no grace, no soul persistence, no measurement closure, no moral ground. Fails all boundary conditions.</t>
  </si>
  <si>
    <t>Materialism/Existentialism pay: every boundary condition is an open problem with no path to resolution.</t>
  </si>
  <si>
    <t>GÖDEL BRANCH. Formal-only position: incompleteness applies ONLY to formal grammar systems, not ontology. Theophysics: if reality is informational (agreed at A1.3) and information systems are formal (agreed at D1.1-D1.2), then incompleteness applies to reality. The formal-only position must break its earlier agreement at A1.3 or explain why informational reality is not a formal system.</t>
  </si>
  <si>
    <t>Formal-only pays: must deny information primacy (breaks A1.3 agreement) OR must explain why informational reality escapes Gödel. Both are expensive — the first abandons common ground, the second requires an ad hoc distinction.</t>
  </si>
  <si>
    <t>Master theorem: all axioms derive from and return to Logos. Christian variants: partial — agree theologically, may resist formalization. Abrahamic: reinterpret through own theological framework. Eastern: reinterpret through own metaphysics or diverge.</t>
  </si>
  <si>
    <t>Alpha → Omega circuit complete. Same pattern as FINAL-1. The closure loop is a specifically Christian eschatological structure (Rev 22:13). Other traditions have cyclic (Hinduism) or open-ended (Buddhism) or single-terminus (Islam) eschatologies.</t>
  </si>
  <si>
    <t>THEOPHYSICS TRUTH LAYER — SYSTEM DASHBOARD</t>
  </si>
  <si>
    <t>SYSTEM METRICS</t>
  </si>
  <si>
    <t>HEALTH INDICATORS</t>
  </si>
  <si>
    <t>Total Nodes</t>
  </si>
  <si>
    <t>Orphan Nodes (T-score=0)</t>
  </si>
  <si>
    <t>Total Relationships</t>
  </si>
  <si>
    <t>Avg T-score</t>
  </si>
  <si>
    <t>Total Evidence</t>
  </si>
  <si>
    <t>Max T-score</t>
  </si>
  <si>
    <t>Node:</t>
  </si>
  <si>
    <t>Agreement Chain Rows</t>
  </si>
  <si>
    <t>Min T-score (non-zero)</t>
  </si>
  <si>
    <t>Worldviews Mapped</t>
  </si>
  <si>
    <t>Median T-score</t>
  </si>
  <si>
    <t>NODE TYPES</t>
  </si>
  <si>
    <t>OPS STATUS</t>
  </si>
  <si>
    <t>Questions</t>
  </si>
  <si>
    <t>Canonical</t>
  </si>
  <si>
    <t>Branches</t>
  </si>
  <si>
    <t>Needs Math 🔬</t>
  </si>
  <si>
    <t>Primitives</t>
  </si>
  <si>
    <t>Needs Source 📚</t>
  </si>
  <si>
    <t>Definitions</t>
  </si>
  <si>
    <t>Needs Formalization</t>
  </si>
  <si>
    <t>Theorems</t>
  </si>
  <si>
    <t>Active</t>
  </si>
  <si>
    <t>Equations</t>
  </si>
  <si>
    <t>Planned 📝</t>
  </si>
  <si>
    <t>Properties</t>
  </si>
  <si>
    <t>Protocols</t>
  </si>
  <si>
    <t>Evidence</t>
  </si>
  <si>
    <t>Hypotheses</t>
  </si>
  <si>
    <t>Falsifications</t>
  </si>
  <si>
    <t>Bridges</t>
  </si>
  <si>
    <t>Fruits</t>
  </si>
  <si>
    <t>Other</t>
  </si>
  <si>
    <t>BOUNDARY CONDITION SCORECARD</t>
  </si>
  <si>
    <t>Worldview</t>
  </si>
  <si>
    <t>Score</t>
  </si>
  <si>
    <t>Grade</t>
  </si>
  <si>
    <t>Fails</t>
  </si>
  <si>
    <t>Key Failure</t>
  </si>
  <si>
    <t>A+</t>
  </si>
  <si>
    <t>—</t>
  </si>
  <si>
    <t>Eastern Orthodox</t>
  </si>
  <si>
    <t>7.5/8</t>
  </si>
  <si>
    <t>Partial on BC4 (modified omniscience)</t>
  </si>
  <si>
    <t>Process Theology</t>
  </si>
  <si>
    <t>5.5/8</t>
  </si>
  <si>
    <t>B+</t>
  </si>
  <si>
    <t>Fails BC6 (finite God)</t>
  </si>
  <si>
    <t>LDS / Mormonism</t>
  </si>
  <si>
    <t>C+</t>
  </si>
  <si>
    <t>Fails BC4, BC6 (material God)</t>
  </si>
  <si>
    <t>5.0/8</t>
  </si>
  <si>
    <t>B</t>
  </si>
  <si>
    <t>Fails BC4 (no Trinity)</t>
  </si>
  <si>
    <t>4.5/8</t>
  </si>
  <si>
    <t>Fails BC4 (strict monotheism)</t>
  </si>
  <si>
    <t>4.0/8</t>
  </si>
  <si>
    <t>Fails BC4 (tawhid)</t>
  </si>
  <si>
    <t>Unitarianism</t>
  </si>
  <si>
    <t>3.5/8</t>
  </si>
  <si>
    <t>Fails BC4 (rejects Trinity)</t>
  </si>
  <si>
    <t>2.5/8</t>
  </si>
  <si>
    <t>C</t>
  </si>
  <si>
    <t>Fails BC2, BC4</t>
  </si>
  <si>
    <t>2.0/8</t>
  </si>
  <si>
    <t>D</t>
  </si>
  <si>
    <t>Fails BC2, BC4, BC6</t>
  </si>
  <si>
    <t>1.5/8</t>
  </si>
  <si>
    <t>Sci. Realism</t>
  </si>
  <si>
    <t>1.0/8</t>
  </si>
  <si>
    <t>F</t>
  </si>
  <si>
    <t>Fails BC1,2,3,4,6,8</t>
  </si>
  <si>
    <t>TOP CONNECTED NODES (highest T-score)</t>
  </si>
  <si>
    <t>HONEST BLANKS</t>
  </si>
  <si>
    <t>Node</t>
  </si>
  <si>
    <t>Title</t>
  </si>
  <si>
    <t>T-score</t>
  </si>
  <si>
    <t>Status</t>
  </si>
  <si>
    <t>Count</t>
  </si>
  <si>
    <t>% of Total</t>
  </si>
  <si>
    <t>Total Honest Blanks</t>
  </si>
  <si>
    <t>SPINE PATH (canonical chain)</t>
  </si>
  <si>
    <t>Start</t>
  </si>
  <si>
    <t>A1.1 (Existence)</t>
  </si>
  <si>
    <t>End</t>
  </si>
  <si>
    <t>OMEGA (Final Axiom)</t>
  </si>
  <si>
    <t>Chain Length</t>
  </si>
  <si>
    <t>positions</t>
  </si>
  <si>
    <t>Canonical Nodes</t>
  </si>
  <si>
    <t>Coverage</t>
  </si>
  <si>
    <t>R700</t>
  </si>
  <si>
    <t>Q8 (Boundary Conditions) generates BC1</t>
  </si>
  <si>
    <t>R701</t>
  </si>
  <si>
    <t>Q8 generates BC2</t>
  </si>
  <si>
    <t>R702</t>
  </si>
  <si>
    <t>Q8 generates BC3</t>
  </si>
  <si>
    <t>R703</t>
  </si>
  <si>
    <t>Q8 generates BC4</t>
  </si>
  <si>
    <t>R704</t>
  </si>
  <si>
    <t>Q8 generates BC5</t>
  </si>
  <si>
    <t>R705</t>
  </si>
  <si>
    <t>Q8 generates BC6</t>
  </si>
  <si>
    <t>R706</t>
  </si>
  <si>
    <t>Q8 generates BC7</t>
  </si>
  <si>
    <t>R707</t>
  </si>
  <si>
    <t>Q8 generates BC8</t>
  </si>
  <si>
    <t>R708</t>
  </si>
  <si>
    <t>Q9 (Identification) → Terminal Observer = God</t>
  </si>
  <si>
    <t>R709</t>
  </si>
  <si>
    <t>Q9 → PERSONHOOD required for identification</t>
  </si>
  <si>
    <t>R710</t>
  </si>
  <si>
    <t>Q12 (Uniqueness) → Christianity 8/8</t>
  </si>
  <si>
    <t>R711</t>
  </si>
  <si>
    <t>Q12 → Islam fails BC4</t>
  </si>
  <si>
    <t>fails_BC4</t>
  </si>
  <si>
    <t>R712</t>
  </si>
  <si>
    <t>Q12 → Judaism fails BC completion</t>
  </si>
  <si>
    <t>fails_BC_completion</t>
  </si>
  <si>
    <t>R713</t>
  </si>
  <si>
    <t>Q12 → Buddhism fails BC1</t>
  </si>
  <si>
    <t>fails_BC1</t>
  </si>
  <si>
    <t>R714</t>
  </si>
  <si>
    <t>Q12 → Hinduism fails BC uniqueness</t>
  </si>
  <si>
    <t>fails_BC_uniqueness</t>
  </si>
  <si>
    <t>R715</t>
  </si>
  <si>
    <t>Q12 → Atheism fails BC1-8</t>
  </si>
  <si>
    <t>fails_all_BCs</t>
  </si>
  <si>
    <t>R716</t>
  </si>
  <si>
    <t>Q5 (Properties of Ground) → Logos Field</t>
  </si>
  <si>
    <t>R717</t>
  </si>
  <si>
    <t>Q5 → Chi Field Properties</t>
  </si>
  <si>
    <t>R718</t>
  </si>
  <si>
    <t>Q5 → Chi Ontological Priority</t>
  </si>
  <si>
    <t>R719</t>
  </si>
  <si>
    <t>Q5 → Chi Semantic Content</t>
  </si>
  <si>
    <t>R720</t>
  </si>
  <si>
    <t>Q5 → Master Equation</t>
  </si>
  <si>
    <t>R721</t>
  </si>
  <si>
    <t>Q5 → Info Anchor Necessity</t>
  </si>
  <si>
    <t>R722</t>
  </si>
  <si>
    <t>Q5 → LLC (Coherence Measure)</t>
  </si>
  <si>
    <t>R723</t>
  </si>
  <si>
    <t>Q5 → Coherence Functional</t>
  </si>
  <si>
    <t>R724</t>
  </si>
  <si>
    <t>Q5 → Self-Interaction Potential</t>
  </si>
  <si>
    <t>R725</t>
  </si>
  <si>
    <t>Q5 → Parsimony</t>
  </si>
  <si>
    <t>R726</t>
  </si>
  <si>
    <t>Q5 → Algorithmic Depth</t>
  </si>
  <si>
    <t>R727</t>
  </si>
  <si>
    <t>Q5 → Kolmogorov Complexity</t>
  </si>
  <si>
    <t>R728</t>
  </si>
  <si>
    <t>Q5 → Compression Ratio</t>
  </si>
  <si>
    <t>8.0/8</t>
  </si>
  <si>
    <t>Reformed Protestant</t>
  </si>
  <si>
    <t>A</t>
  </si>
  <si>
    <t>Agrees fully (sola scriptura emphasis)</t>
  </si>
  <si>
    <t>Fails BC1, BC2, BC4 (no self/creator/trinitarian)</t>
  </si>
  <si>
    <t>Fails BC2, BC4, BC6 (formal systems are incomplete)</t>
  </si>
  <si>
    <t>DEEP-011</t>
  </si>
  <si>
    <t>UADP: Universal Axiom Derivation Protocol</t>
  </si>
  <si>
    <t>The protocol itself is the primary intellectual contribution. Same template, same 8 questions, same 7 facets — run FORWARD to derive (start from nothing, ask questions, kill branches, survivors become claims) or BACKWARD to audit (start from someone else's claim, decompose into 7 facets, find empty sections, untested death conditions, unmapped branches). Forward = derivation engine. Backward = deconstruction engine. Paper One is THIS — the method — because without the method, every equation is just another assertion. With the method, the equation is a survivor.</t>
  </si>
  <si>
    <t>Type 4</t>
  </si>
  <si>
    <t>DEEP</t>
  </si>
  <si>
    <t>epistemology, methodology, philosophy_of_science</t>
  </si>
  <si>
    <t>DEEP-012</t>
  </si>
  <si>
    <t>Forward Template (Derivation Engine)</t>
  </si>
  <si>
    <t>Start with nothing. Ask 8 questions. At each question, enumerate ALL possible answers exhaustively. Test each answer against 4 death conditions (self-refutation, infinite regress, empirical contradiction, logical incoherence). Kill dead branches. Survivors become claims. Fill 7 facets for each survivor. Compute T-score from relationship density. The forward template BUILDS coherence by eliminating everything that fails. What remains is not what you chose — it is what survived.</t>
  </si>
  <si>
    <t>DEEP-013</t>
  </si>
  <si>
    <t>Backward Template (Deconstruction Engine)</t>
  </si>
  <si>
    <t>Start with any existing claim. Decompose it into 7 facets. For each facet, check: is the section filled or empty? Entity — is it derived or asserted? Role — does it ground or push the question back? Evidence — what confidence, what independence? Branches — were alternatives tested with equal rigor? Death conditions — were all 4 tested? Context — how many domains does it map to? The backward template does not argue a claim is wrong. It SHOWS the structural gaps. The template does the work, not the critic.</t>
  </si>
  <si>
    <t>epistemology, methodology, critical_analysis</t>
  </si>
  <si>
    <t>DEEP-014</t>
  </si>
  <si>
    <t>Paper One: The Protocol Paper</t>
  </si>
  <si>
    <t>The first doctoral paper is not the Master Equation. The first paper is the PROTOCOL. Title: 'A Universal Protocol for Knowledge Derivation and Audit Using Exhaustive Elimination and 7-Facet Truth Scoring.' The Master Equation is Paper Two. Paper One is the METHOD — because without the method, the equation is just another assertion. WITH the method, the equation is a survivor. The scientific method does not have exhaustive branching, death conditions, cross-domain mapping, or a computed truth score. This protocol does. It completes what the scientific method started.</t>
  </si>
  <si>
    <t>Type 2</t>
  </si>
  <si>
    <t>epistemology, methodology, philosophy_of_science, academic</t>
  </si>
  <si>
    <t>R800</t>
  </si>
  <si>
    <t>ops</t>
  </si>
  <si>
    <t>UADP forward mode = derivation engine</t>
  </si>
  <si>
    <t>R801</t>
  </si>
  <si>
    <t>UADP backward mode = deconstruction engine</t>
  </si>
  <si>
    <t>R802</t>
  </si>
  <si>
    <t>UADP is the content of Paper One</t>
  </si>
  <si>
    <t>R803</t>
  </si>
  <si>
    <t>entity</t>
  </si>
  <si>
    <t>Forward template starts at Q0 (Why is there anything?)</t>
  </si>
  <si>
    <t>R804</t>
  </si>
  <si>
    <t>Forward template proceeds through Q1</t>
  </si>
  <si>
    <t>R805</t>
  </si>
  <si>
    <t>Forward template proceeds through Q2</t>
  </si>
  <si>
    <t>R806</t>
  </si>
  <si>
    <t>Forward template proceeds through Q3</t>
  </si>
  <si>
    <t>R807</t>
  </si>
  <si>
    <t>Forward template reaches Q4 (first branch point)</t>
  </si>
  <si>
    <t>R808</t>
  </si>
  <si>
    <t>Backward audit: does the claim survive self-refutation like A1.1?</t>
  </si>
  <si>
    <t>R809</t>
  </si>
  <si>
    <t>Backward audit checks all BCs against any claim</t>
  </si>
  <si>
    <t>R810</t>
  </si>
  <si>
    <t>Paper One uses the 7-facet paper format (SEED through HORIZON)</t>
  </si>
  <si>
    <t>R811</t>
  </si>
  <si>
    <t>Paper One's falsification: if the protocol fails to detect known-weak claims, it's broken</t>
  </si>
  <si>
    <t>R812</t>
  </si>
  <si>
    <t>Paper section names (SEED→OMEGA) are the output format of UADP</t>
  </si>
  <si>
    <t>R813</t>
  </si>
  <si>
    <t>Can't-game-it property: UADP catches your own gaps with same mechanism as others</t>
  </si>
  <si>
    <t>R814</t>
  </si>
  <si>
    <t>Same template, same questions. Direction determines function. Forward=build, Backward=audit.</t>
  </si>
  <si>
    <t>R815</t>
  </si>
  <si>
    <t>UADP completes what the scientific method started: adds exhaustive branching, death conditions, cross-domain mapping, computed truth score</t>
  </si>
  <si>
    <t>R816</t>
  </si>
  <si>
    <t>Backward template catches simulation hypothesis at Q4-B (infinite regress): what grounds the simulation?</t>
  </si>
  <si>
    <t>R817</t>
  </si>
  <si>
    <t>Backward template on materialism: strong through Q3, STOPS at Q4. Explanatory terminal, not death. But sections Q5-Q12 blank.</t>
  </si>
  <si>
    <t>R818</t>
  </si>
  <si>
    <t>Backward template on Theophysics: catches BC4 needs math, Q9 is abductive, coupling constant is postulated. Honest blanks fill themselves.</t>
  </si>
  <si>
    <t>DEMO-001</t>
  </si>
  <si>
    <t>Backward Audit: Simulation Hypothesis</t>
  </si>
  <si>
    <t>Entity: conjecture, not derived, not tested — already weaker than axiom. Role: supposed to ground reality, but what grounds the simulation? Q4-B infinite regress, caught at 3c death condition #2. Evidence: no direct observation, no math proof, philosophical argument by analogy (Bostrom), confidence 0.3-0.5. Branches: section 3b empty for alternatives — never ran exhaustive branching. Death conditions: self-refutation untested (if simulated, is the claim also simulated?). Context: physics weak analogy, theology silent, consciousness silent, math silent. Bridge count: 1-2. T-score: LOW. Template shows structural weakness without arguing.</t>
  </si>
  <si>
    <t>demonstration</t>
  </si>
  <si>
    <t>Type 1</t>
  </si>
  <si>
    <t>epistemology, philosophy_of_mind, methodology</t>
  </si>
  <si>
    <t>DEMO-002</t>
  </si>
  <si>
    <t>Backward Audit: Materialism</t>
  </si>
  <si>
    <t>Entity: worldview, scope system. Evidence: STRONG in physics — real experiments, real data, section 3d fills up nicely through Q3. BUT at Q4: what grounds the laws? 'Brute fact.' Did they test self-grounding? Infinite regress? Template shows Q4-A is explanatory terminal (not death) but they STOPPED. Sections Q5-Q12 blank. Context: physics strong, math can't ground it, consciousness 5 competing interpretations, theology rejected a priori, moral philosophy can't derive ought from is. Bridge count: 2-3. T-score: MODERATE. Template doesn't say materialism is WRONG. Says it's INCOMPLETE. Which is exactly Q4-A.</t>
  </si>
  <si>
    <t>epistemology, philosophy_of_science, methodology</t>
  </si>
  <si>
    <t>DEMO-003</t>
  </si>
  <si>
    <t>Backward Audit: Theophysics (Self-Audit)</t>
  </si>
  <si>
    <t>The killer application. Run backward template on YOUR OWN framework: the honest blanks section fills itself. BC4 needs stronger math. The identification step at Q9 is abductive (not deductive). The coupling constant is postulated (not derived). The backward template catches your own weaknesses with the same mechanism it catches everyone else's. THIS is what makes the system trustworthy. It's not a tool that confirms your beliefs — it's a tool that measures coherence regardless of whose claim is tested. Your claims score higher because they were BUILT by the forward template. But the backward template still finds your gaps and shows them to you.</t>
  </si>
  <si>
    <t>epistemology, methodology, theophysics, self-critique</t>
  </si>
  <si>
    <t>R820</t>
  </si>
  <si>
    <t>Simulation hypothesis is backward template demonstration #1</t>
  </si>
  <si>
    <t>R821</t>
  </si>
  <si>
    <t>Materialism is backward template demonstration #2</t>
  </si>
  <si>
    <t>R822</t>
  </si>
  <si>
    <t>Theophysics self-audit is backward template demonstration #3</t>
  </si>
  <si>
    <t>R823</t>
  </si>
  <si>
    <t>Simulation fails A2.1: infinite regress at grounding question</t>
  </si>
  <si>
    <t>Q4-B_regress</t>
  </si>
  <si>
    <t>R824</t>
  </si>
  <si>
    <t>Materialism hits explanatory terminal at Q4-A. Not dead, but stopped.</t>
  </si>
  <si>
    <t>R825</t>
  </si>
  <si>
    <t>Self-audit: BC4 (Trinity) needs stronger mathematical formalization</t>
  </si>
  <si>
    <t>R826</t>
  </si>
  <si>
    <t>Self-audit: Q9 identification step is abductive, not deductive</t>
  </si>
  <si>
    <t>abductive_gap</t>
  </si>
  <si>
    <t>R827</t>
  </si>
  <si>
    <t>Self-audit capability IS the can't-game-it property: same tool audits all claims equally</t>
  </si>
  <si>
    <t>DEEP-015</t>
  </si>
  <si>
    <t>T-Score v2: Weighted 7-Component Formula</t>
  </si>
  <si>
    <t>Current T-score (v1) = simple edge count (inbound + outbound relationships). T-score v2 from the Backward Audit Template: T = (death_survived/4)×25 + (evidence_confidence)×20 + (bridge_count/10)×25 + (alternatives_tested)×15 + (scope_precision)×5 + (entity_verifiability)×5 + (controversy_score)×5 = score out of 100. Tiers: ≥90 NEAR-CANONICAL, 75-89 STRONG, 60-74 PROVISIONAL, &lt;60 WEAK. Migration path: v1 stays as proxy until all 7 components are populated per node. v2 activates when data exists. Key insight: scope_precision = 1/log₂(interpretation_space) means broader claims are automatically worth less. Entity_verifiability means vague concepts score lower than measurable quantities. This is Shannon information applied to epistemology.</t>
  </si>
  <si>
    <t>epistemology, information_theory, methodology</t>
  </si>
  <si>
    <t>DEEP-016</t>
  </si>
  <si>
    <t>Scope Precision Weight (Shannon)</t>
  </si>
  <si>
    <t>Precision ∝ 1/H(X) where H(X) = entropy of interpretation space at scope level. Concrete values: word=0.43, phrase=0.23, sentence=0.18, verse=0.14, paragraph=0.11, chapter=0.09, book=0.08, system=0.06. This means the SAME evidence at word-level is worth MORE than at book-level. The SAME claim about a place (verifiability 1.0) is worth MORE than about a concept (0.3-0.5). Information-theoretic grounding: narrower scope = fewer valid interpretations = higher information content = more decidable = more testable = higher precision weight in T-score.</t>
  </si>
  <si>
    <t>information_theory, epistemology, methodology</t>
  </si>
  <si>
    <t>R830</t>
  </si>
  <si>
    <t>T-score v2 is the scoring mechanism inside the UADP protocol</t>
  </si>
  <si>
    <t>R831</t>
  </si>
  <si>
    <t>T-score v2 is what the backward audit template computes</t>
  </si>
  <si>
    <t>R832</t>
  </si>
  <si>
    <t>Scope precision weight is a component of T-score v2</t>
  </si>
  <si>
    <t>R833</t>
  </si>
  <si>
    <t>Scope precision uses Shannon entropy — connects to Information Primacy (A1.3)</t>
  </si>
  <si>
    <t>R834</t>
  </si>
  <si>
    <t>T-score v2 components map to the Master Equation's coherence integral (LLC)</t>
  </si>
  <si>
    <t>R835</t>
  </si>
  <si>
    <t>T-score v2 bridge_count component measures cross-domain coherence = LLC locally</t>
  </si>
  <si>
    <t>R836</t>
  </si>
  <si>
    <t>Entity verifiability class: physical=1.0, formal=0.65, concept=0.3, unfalsifiable=0.0. Connects to Structured Information (D1.1)</t>
  </si>
  <si>
    <t>R837</t>
  </si>
  <si>
    <t>UNTESTED ≠ PASSED is a corollary of Can't-Game-It: you can't claim survival without running the test</t>
  </si>
  <si>
    <t>DEEP-017</t>
  </si>
  <si>
    <t>Ehyeh Asher Ehyeh: Q4-C in First Person</t>
  </si>
  <si>
    <t>I AM WHO I AM' (Exodus 3:14) — Ehyeh Asher Ehyeh. Parse through template: Entity: self-identifying. Not 'I am the God of philosophy' — just 'I AM.' Existence asserting itself. That is A1.1 spoken in first person. Role: self-grounding. 'I am who I am' means 'my explanation is myself.' That is Q4-C: the substrate grounds itself, the why and the what are identical. He did not say 'I am because of X.' He said 'I AM.' Full stop. The regress terminates in the statement itself. Scope: word-level (precision 0.43, highest possible). Tested adversarially for 3,000 years with no self-refutation produced. This is Q4-C stated in Hebrew three thousand years before the tree was built.</t>
  </si>
  <si>
    <t>word</t>
  </si>
  <si>
    <t>theology, philosophy, ontology, epistemology</t>
  </si>
  <si>
    <t>DEEP-018</t>
  </si>
  <si>
    <t>Q5-to-Bible Convergence Table</t>
  </si>
  <si>
    <t>Seven derived properties from Q5 (pure logic, forced elimination) map exactly to seven biblical claims. (1) Self-consistent → 'God cannot deny himself' 2Tim2:13. (2) Contains own explanation → 'I AM WHO I AM' Ex3:14. (3) Non-material → 'God is spirit' Jn4:24. (4) Non-temporal → 'Before Abraham was, I AM' Jn8:58. (5) Maximally coherent → 'In him all things hold together' Col1:17. (6) Non-deceptive → 'It is impossible for God to lie' Heb6:18. (7) Generative → 'All things were made through him' Jn1:3. Not analogies — structural matches. The tree derived properties from logic. The Bible asserted them as revelation. Same list. Two independent paths, same destination.</t>
  </si>
  <si>
    <t>theology, philosophy, physics, mathematics, biblical_studies</t>
  </si>
  <si>
    <t>DEEP-019</t>
  </si>
  <si>
    <t>Triple Convergence: Logic + Revelation + Science</t>
  </si>
  <si>
    <t>Three independent evidence streams converging on the same node: (1) The tree gives logical derivation — forced questions, exhaustive elimination, what survived. (2) The Bible gives claimed revelation — direct assertions from the claimed terminal observer. (3) Empirical science gives measurable predictions — necessary being in modal logic, self-consistent in mathematical foundations, non-temporal in relativity, generative in cosmology. Bridge count: 5+ domains with exact or strong mapping. The framework was not designed to produce this result. It was designed to measure coherence. This IS the coherence. The skeptic's challenge: the tree did not START with the Bible. It started with 'does anything exist?' and arrived at the same seven properties by elimination. Either that is the most remarkable coincidence in intellectual history, or the Bible described reality accurately.</t>
  </si>
  <si>
    <t>theology, physics, mathematics, philosophy, epistemology, cosmology</t>
  </si>
  <si>
    <t>R840</t>
  </si>
  <si>
    <t>I AM' = existence asserting itself = A1.1 in first person</t>
  </si>
  <si>
    <t>R841</t>
  </si>
  <si>
    <t>I am who I am' = self-grounding = Q4-C: substrate grounds itself</t>
  </si>
  <si>
    <t>R842</t>
  </si>
  <si>
    <t>Ehyeh is the terminal observer self-identifying at the point the tree predicts</t>
  </si>
  <si>
    <t>R843</t>
  </si>
  <si>
    <t>The self-identification statement is the anchor for the Q5-Bible convergence table</t>
  </si>
  <si>
    <t>R844</t>
  </si>
  <si>
    <t>Q5 derived properties are one column of the convergence table</t>
  </si>
  <si>
    <t>R845</t>
  </si>
  <si>
    <t>Self-consistent (Q5 derived) = 'God cannot deny himself' 2Tim2:13</t>
  </si>
  <si>
    <t>R846</t>
  </si>
  <si>
    <t>Non-material, non-temporal, generative (Q5 derived) = chi field properties = biblical claims</t>
  </si>
  <si>
    <t>R847</t>
  </si>
  <si>
    <t>Contains own explanation (Q5) = ontological priority = 'I AM WHO I AM'</t>
  </si>
  <si>
    <t>R848</t>
  </si>
  <si>
    <t>Maximally coherent (Q5) = LLC = 'in him all things hold together' Col1:17</t>
  </si>
  <si>
    <t>R849</t>
  </si>
  <si>
    <t>Q5-Bible table is evidence stream 1+2 (logic + revelation)</t>
  </si>
  <si>
    <t>R850</t>
  </si>
  <si>
    <t>Triple convergence IS the coherence gradient in action</t>
  </si>
  <si>
    <t>R851</t>
  </si>
  <si>
    <t>Triple convergence is the strongest evidence FOR the falsification test: if 3 independent streams converge, either coincidence or real</t>
  </si>
  <si>
    <t>R852</t>
  </si>
  <si>
    <t>Stream 3 (science): necessary being in modal logic, self-consistent in math foundations, non-temporal in relativity, generative in cosmology = Master Equation domains</t>
  </si>
  <si>
    <t>R853</t>
  </si>
  <si>
    <t>Triple convergence strengthens BC4 (trinitarian structure): the self-grounding entity that generates and holds coherent is structurally trinitarian</t>
  </si>
  <si>
    <t>R854</t>
  </si>
  <si>
    <t>Ehyeh T-score v2 estimate: word-scope (0.43), self-identification (0.9 entity), 4/4 death tests (3000 yrs adversarial), bridge 5+/10, near-canonical tier</t>
  </si>
  <si>
    <t>R855</t>
  </si>
  <si>
    <t>Q5-Bible convergence table is evidence FOR the agreement chain: shows where revelation and logic converge</t>
  </si>
  <si>
    <t>EV015</t>
  </si>
  <si>
    <t>2 Timothy 2:13 — Self-consistency</t>
  </si>
  <si>
    <t>Paul (attributed)</t>
  </si>
  <si>
    <t>~65 AD</t>
  </si>
  <si>
    <t>scripture</t>
  </si>
  <si>
    <t>God cannot deny himself. Maps to Q5 derived property: self-consistent. The ground of reality cannot contradict itself without destroying coherence.</t>
  </si>
  <si>
    <t>N/A</t>
  </si>
  <si>
    <t>EV016</t>
  </si>
  <si>
    <t>Exodus 3:14 — Self-grounding identity</t>
  </si>
  <si>
    <t>Moses (attributed)</t>
  </si>
  <si>
    <t>~1400 BC</t>
  </si>
  <si>
    <t>Ehyeh Asher Ehyeh — I AM WHO I AM. Self-identifying, self-grounding. Maps to A1.1 (existence) + Q4-C (self-grounding). Scope: word-level. Precision: 0.43 (maximum).</t>
  </si>
  <si>
    <t>EV017</t>
  </si>
  <si>
    <t>John 4:24 — Non-materiality</t>
  </si>
  <si>
    <t>John (attributed)</t>
  </si>
  <si>
    <t>~90 AD</t>
  </si>
  <si>
    <t>God is spirit. Maps to Q5 derived property: non-material. The ground cannot be composed of what it generates.</t>
  </si>
  <si>
    <t>EV018</t>
  </si>
  <si>
    <t>John 8:58 — Non-temporality</t>
  </si>
  <si>
    <t>Jesus (attributed)</t>
  </si>
  <si>
    <t>~30 AD</t>
  </si>
  <si>
    <t>Before Abraham was, I AM. Maps to Q5 derived: non-temporal. Uses present tense for past reference — the ground exists outside temporal sequence.</t>
  </si>
  <si>
    <t>EV019</t>
  </si>
  <si>
    <t>Colossians 1:17 — Maximal coherence</t>
  </si>
  <si>
    <t>~62 AD</t>
  </si>
  <si>
    <t>In him all things hold together. Maps to Q5 derived: maximally coherent = LLC = the coherence integral. The ground is what maintains structural unity across all domains.</t>
  </si>
  <si>
    <t>EV020</t>
  </si>
  <si>
    <t>Hebrews 6:18 — Non-deceptive</t>
  </si>
  <si>
    <t>Unknown (attributed)</t>
  </si>
  <si>
    <t>It is impossible for God to lie. Maps to Q5 derived: non-deceptive. A deceptive ground would undermine the information content of everything it generates — incoherent.</t>
  </si>
  <si>
    <t>EV021</t>
  </si>
  <si>
    <t>John 1:3 — Generative</t>
  </si>
  <si>
    <t>All things were made through him. Maps to Q5 derived: generative. The ground must be the source of all structure — nothing exists outside its generation.</t>
  </si>
  <si>
    <t>DOMAIN-PHYSICS</t>
  </si>
  <si>
    <t>Physics Domain Anchor</t>
  </si>
  <si>
    <t>Physical science domain: mechanics, thermodynamics, quantum mechanics, relativity, cosmology. Nodes mapping here have physical interpretations, equations, or measurable predictions.</t>
  </si>
  <si>
    <t>DOMAIN</t>
  </si>
  <si>
    <t>ai_opus</t>
  </si>
  <si>
    <t>DOMAIN-THEOLOGY</t>
  </si>
  <si>
    <t>Theology Domain Anchor</t>
  </si>
  <si>
    <t>Theological domain: systematic theology, biblical theology, doctrine, creedal formulations. Nodes mapping here have theological interpretations or doctrinal correlates.</t>
  </si>
  <si>
    <t>DOMAIN-CONSCIOUSNESS</t>
  </si>
  <si>
    <t>Consciousness Domain Anchor</t>
  </si>
  <si>
    <t>Consciousness studies domain: IIT, global workspace theory, phenomenology, qualia, hard problem. Nodes mapping here have consciousness-science interpretations.</t>
  </si>
  <si>
    <t>consciousness</t>
  </si>
  <si>
    <t>DOMAIN-QUANTUM</t>
  </si>
  <si>
    <t>Quantum Mechanics Domain Anchor</t>
  </si>
  <si>
    <t>Quantum domain: measurement problem, superposition, entanglement, decoherence, interpretations. Nodes mapping here have quantum-mechanical formulations or analogues.</t>
  </si>
  <si>
    <t>quantum</t>
  </si>
  <si>
    <t>DOMAIN-SCRIPTURE</t>
  </si>
  <si>
    <t>Scripture Domain Anchor</t>
  </si>
  <si>
    <t>Biblical scripture domain: Old Testament, New Testament, specific verse references, exegesis. Nodes mapping here have direct scriptural support or parallels.</t>
  </si>
  <si>
    <t>DOMAIN-EVIDENCE</t>
  </si>
  <si>
    <t>Empirical Evidence Domain Anchor</t>
  </si>
  <si>
    <t>Empirical evidence domain: experiments, observations, data, statistical analyses. Nodes mapping here have empirical grounding or testable predictions.</t>
  </si>
  <si>
    <t>DOMAIN-INFORMATION</t>
  </si>
  <si>
    <t>Information Theory Domain Anchor</t>
  </si>
  <si>
    <t>Information theory domain: Shannon entropy, Kolmogorov complexity, holographic principle, quantum information. Nodes mapping here have information-theoretic formulations.</t>
  </si>
  <si>
    <t>R900</t>
  </si>
  <si>
    <t>Physics domain mapping from CROSS_DOMAIN</t>
  </si>
  <si>
    <t>R901</t>
  </si>
  <si>
    <t>Theology domain mapping from CROSS_DOMAIN</t>
  </si>
  <si>
    <t>R902</t>
  </si>
  <si>
    <t>Consciousness domain mapping from CROSS_DOMAIN</t>
  </si>
  <si>
    <t>R903</t>
  </si>
  <si>
    <t>Quantum domain mapping from CROSS_DOMAIN</t>
  </si>
  <si>
    <t>R904</t>
  </si>
  <si>
    <t>Scripture domain mapping from CROSS_DOMAIN</t>
  </si>
  <si>
    <t>R905</t>
  </si>
  <si>
    <t>Evidence domain mapping from CROSS_DOMAIN</t>
  </si>
  <si>
    <t>R906</t>
  </si>
  <si>
    <t>Information domain mapping from CROSS_DOMAIN</t>
  </si>
  <si>
    <t>R907</t>
  </si>
  <si>
    <t>R908</t>
  </si>
  <si>
    <t>R909</t>
  </si>
  <si>
    <t>R910</t>
  </si>
  <si>
    <t>R911</t>
  </si>
  <si>
    <t>R912</t>
  </si>
  <si>
    <t>R913</t>
  </si>
  <si>
    <t>R914</t>
  </si>
  <si>
    <t>R915</t>
  </si>
  <si>
    <t>R916</t>
  </si>
  <si>
    <t>R917</t>
  </si>
  <si>
    <t>R918</t>
  </si>
  <si>
    <t>R919</t>
  </si>
  <si>
    <t>R920</t>
  </si>
  <si>
    <t>R921</t>
  </si>
  <si>
    <t>R922</t>
  </si>
  <si>
    <t>R923</t>
  </si>
  <si>
    <t>R924</t>
  </si>
  <si>
    <t>R925</t>
  </si>
  <si>
    <t>R926</t>
  </si>
  <si>
    <t>R927</t>
  </si>
  <si>
    <t>R928</t>
  </si>
  <si>
    <t>R929</t>
  </si>
  <si>
    <t>R930</t>
  </si>
  <si>
    <t>R931</t>
  </si>
  <si>
    <t>R932</t>
  </si>
  <si>
    <t>R933</t>
  </si>
  <si>
    <t>R934</t>
  </si>
  <si>
    <t>R935</t>
  </si>
  <si>
    <t>R936</t>
  </si>
  <si>
    <t>R937</t>
  </si>
  <si>
    <t>R938</t>
  </si>
  <si>
    <t>R939</t>
  </si>
  <si>
    <t>R940</t>
  </si>
  <si>
    <t>R941</t>
  </si>
  <si>
    <t>R942</t>
  </si>
  <si>
    <t>R943</t>
  </si>
  <si>
    <t>R944</t>
  </si>
  <si>
    <t>R945</t>
  </si>
  <si>
    <t>R946</t>
  </si>
  <si>
    <t>R947</t>
  </si>
  <si>
    <t>R948</t>
  </si>
  <si>
    <t>R949</t>
  </si>
  <si>
    <t>R950</t>
  </si>
  <si>
    <t>R951</t>
  </si>
  <si>
    <t>R952</t>
  </si>
  <si>
    <t>R953</t>
  </si>
  <si>
    <t>R954</t>
  </si>
  <si>
    <t>R955</t>
  </si>
  <si>
    <t>R956</t>
  </si>
  <si>
    <t>R957</t>
  </si>
  <si>
    <t>R958</t>
  </si>
  <si>
    <t>R959</t>
  </si>
  <si>
    <t>R960</t>
  </si>
  <si>
    <t>R961</t>
  </si>
  <si>
    <t>R962</t>
  </si>
  <si>
    <t>R963</t>
  </si>
  <si>
    <t>R964</t>
  </si>
  <si>
    <t>R965</t>
  </si>
  <si>
    <t>R966</t>
  </si>
  <si>
    <t>R967</t>
  </si>
  <si>
    <t>R968</t>
  </si>
  <si>
    <t>R969</t>
  </si>
  <si>
    <t>R970</t>
  </si>
  <si>
    <t>R971</t>
  </si>
  <si>
    <t>R972</t>
  </si>
  <si>
    <t>R973</t>
  </si>
  <si>
    <t>R974</t>
  </si>
  <si>
    <t>R975</t>
  </si>
  <si>
    <t>R976</t>
  </si>
  <si>
    <t>R977</t>
  </si>
  <si>
    <t>R978</t>
  </si>
  <si>
    <t>R979</t>
  </si>
  <si>
    <t>R980</t>
  </si>
  <si>
    <t>R981</t>
  </si>
  <si>
    <t>R982</t>
  </si>
  <si>
    <t>R983</t>
  </si>
  <si>
    <t>R984</t>
  </si>
  <si>
    <t>R985</t>
  </si>
  <si>
    <t>R986</t>
  </si>
  <si>
    <t>R987</t>
  </si>
  <si>
    <t>R988</t>
  </si>
  <si>
    <t>R989</t>
  </si>
  <si>
    <t>R990</t>
  </si>
  <si>
    <t>R991</t>
  </si>
  <si>
    <t>R992</t>
  </si>
  <si>
    <t>R993</t>
  </si>
  <si>
    <t>R994</t>
  </si>
  <si>
    <t>R995</t>
  </si>
  <si>
    <t>R996</t>
  </si>
  <si>
    <t>R997</t>
  </si>
  <si>
    <t>R998</t>
  </si>
  <si>
    <t>R999</t>
  </si>
  <si>
    <t>R1000</t>
  </si>
  <si>
    <t>R1001</t>
  </si>
  <si>
    <t>R1002</t>
  </si>
  <si>
    <t>R1003</t>
  </si>
  <si>
    <t>R1004</t>
  </si>
  <si>
    <t>R1005</t>
  </si>
  <si>
    <t>R1006</t>
  </si>
  <si>
    <t>R1007</t>
  </si>
  <si>
    <t>R1008</t>
  </si>
  <si>
    <t>R1009</t>
  </si>
  <si>
    <t>R1010</t>
  </si>
  <si>
    <t>R1011</t>
  </si>
  <si>
    <t>R1012</t>
  </si>
  <si>
    <t>R1013</t>
  </si>
  <si>
    <t>R1014</t>
  </si>
  <si>
    <t>R1015</t>
  </si>
  <si>
    <t>R1016</t>
  </si>
  <si>
    <t>R1017</t>
  </si>
  <si>
    <t>R1018</t>
  </si>
  <si>
    <t>R1019</t>
  </si>
  <si>
    <t>R1020</t>
  </si>
  <si>
    <t>R1021</t>
  </si>
  <si>
    <t>R1022</t>
  </si>
  <si>
    <t>R1023</t>
  </si>
  <si>
    <t>R1024</t>
  </si>
  <si>
    <t>R1025</t>
  </si>
  <si>
    <t>R1026</t>
  </si>
  <si>
    <t>R1027</t>
  </si>
  <si>
    <t>R1028</t>
  </si>
  <si>
    <t>R1029</t>
  </si>
  <si>
    <t>R1030</t>
  </si>
  <si>
    <t>R1031</t>
  </si>
  <si>
    <t>R1032</t>
  </si>
  <si>
    <t>R1033</t>
  </si>
  <si>
    <t>R1034</t>
  </si>
  <si>
    <t>R1035</t>
  </si>
  <si>
    <t>R1036</t>
  </si>
  <si>
    <t>R1037</t>
  </si>
  <si>
    <t>R1038</t>
  </si>
  <si>
    <t>R1039</t>
  </si>
  <si>
    <t>R1040</t>
  </si>
  <si>
    <t>R1041</t>
  </si>
  <si>
    <t>R1042</t>
  </si>
  <si>
    <t>R1043</t>
  </si>
  <si>
    <t>R1044</t>
  </si>
  <si>
    <t>R1045</t>
  </si>
  <si>
    <t>R1046</t>
  </si>
  <si>
    <t>R1047</t>
  </si>
  <si>
    <t>R1048</t>
  </si>
  <si>
    <t>R1049</t>
  </si>
  <si>
    <t>R1050</t>
  </si>
  <si>
    <t>R1051</t>
  </si>
  <si>
    <t>R1052</t>
  </si>
  <si>
    <t>R1053</t>
  </si>
  <si>
    <t>R1054</t>
  </si>
  <si>
    <t>R1055</t>
  </si>
  <si>
    <t>R1056</t>
  </si>
  <si>
    <t>R1057</t>
  </si>
  <si>
    <t>R1058</t>
  </si>
  <si>
    <t>R1059</t>
  </si>
  <si>
    <t>R1060</t>
  </si>
  <si>
    <t>R1061</t>
  </si>
  <si>
    <t>R1062</t>
  </si>
  <si>
    <t>R1063</t>
  </si>
  <si>
    <t>R1064</t>
  </si>
  <si>
    <t>R1065</t>
  </si>
  <si>
    <t>R1066</t>
  </si>
  <si>
    <t>R1067</t>
  </si>
  <si>
    <t>R1068</t>
  </si>
  <si>
    <t>R1069</t>
  </si>
  <si>
    <t>R1070</t>
  </si>
  <si>
    <t>R1071</t>
  </si>
  <si>
    <t>R1072</t>
  </si>
  <si>
    <t>R1073</t>
  </si>
  <si>
    <t>R1074</t>
  </si>
  <si>
    <t>R1075</t>
  </si>
  <si>
    <t>R1076</t>
  </si>
  <si>
    <t>R1077</t>
  </si>
  <si>
    <t>R1078</t>
  </si>
  <si>
    <t>R1079</t>
  </si>
  <si>
    <t>R1080</t>
  </si>
  <si>
    <t>R1081</t>
  </si>
  <si>
    <t>R1082</t>
  </si>
  <si>
    <t>R1083</t>
  </si>
  <si>
    <t>R1084</t>
  </si>
  <si>
    <t>R1085</t>
  </si>
  <si>
    <t>R1086</t>
  </si>
  <si>
    <t>R1087</t>
  </si>
  <si>
    <t>R1088</t>
  </si>
  <si>
    <t>R1089</t>
  </si>
  <si>
    <t>E5.1</t>
  </si>
  <si>
    <t>R1090</t>
  </si>
  <si>
    <t>R1091</t>
  </si>
  <si>
    <t>R1092</t>
  </si>
  <si>
    <t>R1093</t>
  </si>
  <si>
    <t>R1094</t>
  </si>
  <si>
    <t>R1095</t>
  </si>
  <si>
    <t>R1096</t>
  </si>
  <si>
    <t>R1097</t>
  </si>
  <si>
    <t>R1098</t>
  </si>
  <si>
    <t>R1099</t>
  </si>
  <si>
    <t>R1100</t>
  </si>
  <si>
    <t>R1101</t>
  </si>
  <si>
    <t>R1102</t>
  </si>
  <si>
    <t>R1103</t>
  </si>
  <si>
    <t>R1104</t>
  </si>
  <si>
    <t>R1105</t>
  </si>
  <si>
    <t>R1106</t>
  </si>
  <si>
    <t>R1107</t>
  </si>
  <si>
    <t>R1108</t>
  </si>
  <si>
    <t>R1109</t>
  </si>
  <si>
    <t>R1110</t>
  </si>
  <si>
    <t>R1111</t>
  </si>
  <si>
    <t>R1112</t>
  </si>
  <si>
    <t>R1113</t>
  </si>
  <si>
    <t>R1114</t>
  </si>
  <si>
    <t>R1115</t>
  </si>
  <si>
    <t>R1116</t>
  </si>
  <si>
    <t>R1117</t>
  </si>
  <si>
    <t>R1118</t>
  </si>
  <si>
    <t>R1119</t>
  </si>
  <si>
    <t>R1120</t>
  </si>
  <si>
    <t>R1121</t>
  </si>
  <si>
    <t>R1122</t>
  </si>
  <si>
    <t>R1123</t>
  </si>
  <si>
    <t>R1124</t>
  </si>
  <si>
    <t>R1125</t>
  </si>
  <si>
    <t>R1126</t>
  </si>
  <si>
    <t>R1127</t>
  </si>
  <si>
    <t>R1128</t>
  </si>
  <si>
    <t>R1129</t>
  </si>
  <si>
    <t>R1130</t>
  </si>
  <si>
    <t>R1131</t>
  </si>
  <si>
    <t>R1132</t>
  </si>
  <si>
    <t>R1133</t>
  </si>
  <si>
    <t>R1134</t>
  </si>
  <si>
    <t>R1135</t>
  </si>
  <si>
    <t>R1136</t>
  </si>
  <si>
    <t>R1137</t>
  </si>
  <si>
    <t>R1138</t>
  </si>
  <si>
    <t>R1139</t>
  </si>
  <si>
    <t>R1140</t>
  </si>
  <si>
    <t>R1141</t>
  </si>
  <si>
    <t>R1142</t>
  </si>
  <si>
    <t>R1143</t>
  </si>
  <si>
    <t>R1144</t>
  </si>
  <si>
    <t>R1145</t>
  </si>
  <si>
    <t>R1146</t>
  </si>
  <si>
    <t>R1147</t>
  </si>
  <si>
    <t>R1148</t>
  </si>
  <si>
    <t>R1149</t>
  </si>
  <si>
    <t>R1150</t>
  </si>
  <si>
    <t>R1151</t>
  </si>
  <si>
    <t>R1152</t>
  </si>
  <si>
    <t>R1153</t>
  </si>
  <si>
    <t>R1154</t>
  </si>
  <si>
    <t>R1155</t>
  </si>
  <si>
    <t>R1156</t>
  </si>
  <si>
    <t>R1157</t>
  </si>
  <si>
    <t>R1158</t>
  </si>
  <si>
    <t>R1159</t>
  </si>
  <si>
    <t>R1160</t>
  </si>
  <si>
    <t>R1161</t>
  </si>
  <si>
    <t>R1162</t>
  </si>
  <si>
    <t>R1163</t>
  </si>
  <si>
    <t>R1164</t>
  </si>
  <si>
    <t>R1165</t>
  </si>
  <si>
    <t>R1166</t>
  </si>
  <si>
    <t>R1167</t>
  </si>
  <si>
    <t>R1168</t>
  </si>
  <si>
    <t>R1169</t>
  </si>
  <si>
    <t>R1170</t>
  </si>
  <si>
    <t>R1171</t>
  </si>
  <si>
    <t>R1172</t>
  </si>
  <si>
    <t>R1173</t>
  </si>
  <si>
    <t>R1174</t>
  </si>
  <si>
    <t>R1175</t>
  </si>
  <si>
    <t>R1176</t>
  </si>
  <si>
    <t>R1177</t>
  </si>
  <si>
    <t>R1178</t>
  </si>
  <si>
    <t>R1179</t>
  </si>
  <si>
    <t>R1180</t>
  </si>
  <si>
    <t>D7.1</t>
  </si>
  <si>
    <t>R1181</t>
  </si>
  <si>
    <t>R1182</t>
  </si>
  <si>
    <t>R1183</t>
  </si>
  <si>
    <t>R1184</t>
  </si>
  <si>
    <t>R1185</t>
  </si>
  <si>
    <t>R1186</t>
  </si>
  <si>
    <t>R1187</t>
  </si>
  <si>
    <t>E7.1</t>
  </si>
  <si>
    <t>R1188</t>
  </si>
  <si>
    <t>R1189</t>
  </si>
  <si>
    <t>R1190</t>
  </si>
  <si>
    <t>R1191</t>
  </si>
  <si>
    <t>R1192</t>
  </si>
  <si>
    <t>R1193</t>
  </si>
  <si>
    <t>R1194</t>
  </si>
  <si>
    <t>R1195</t>
  </si>
  <si>
    <t>R1196</t>
  </si>
  <si>
    <t>R1197</t>
  </si>
  <si>
    <t>R1198</t>
  </si>
  <si>
    <t>R1199</t>
  </si>
  <si>
    <t>R1200</t>
  </si>
  <si>
    <t>R1201</t>
  </si>
  <si>
    <t>R1202</t>
  </si>
  <si>
    <t>R1203</t>
  </si>
  <si>
    <t>R1204</t>
  </si>
  <si>
    <t>R1205</t>
  </si>
  <si>
    <t>R1206</t>
  </si>
  <si>
    <t>R1207</t>
  </si>
  <si>
    <t>R1208</t>
  </si>
  <si>
    <t>R1209</t>
  </si>
  <si>
    <t>R1210</t>
  </si>
  <si>
    <t>R1211</t>
  </si>
  <si>
    <t>R1212</t>
  </si>
  <si>
    <t>R1213</t>
  </si>
  <si>
    <t>R1214</t>
  </si>
  <si>
    <t>R1215</t>
  </si>
  <si>
    <t>E8.1</t>
  </si>
  <si>
    <t>R1216</t>
  </si>
  <si>
    <t>R1217</t>
  </si>
  <si>
    <t>R1218</t>
  </si>
  <si>
    <t>R1219</t>
  </si>
  <si>
    <t>R1220</t>
  </si>
  <si>
    <t>R1221</t>
  </si>
  <si>
    <t>R1222</t>
  </si>
  <si>
    <t>P8.1</t>
  </si>
  <si>
    <t>R1223</t>
  </si>
  <si>
    <t>R1224</t>
  </si>
  <si>
    <t>R1225</t>
  </si>
  <si>
    <t>R1226</t>
  </si>
  <si>
    <t>R1227</t>
  </si>
  <si>
    <t>R1228</t>
  </si>
  <si>
    <t>R1229</t>
  </si>
  <si>
    <t>R1230</t>
  </si>
  <si>
    <t>R1231</t>
  </si>
  <si>
    <t>R1232</t>
  </si>
  <si>
    <t>R1233</t>
  </si>
  <si>
    <t>R1234</t>
  </si>
  <si>
    <t>R1235</t>
  </si>
  <si>
    <t>R1236</t>
  </si>
  <si>
    <t>R1237</t>
  </si>
  <si>
    <t>R1238</t>
  </si>
  <si>
    <t>R1239</t>
  </si>
  <si>
    <t>R1240</t>
  </si>
  <si>
    <t>R1241</t>
  </si>
  <si>
    <t>R1242</t>
  </si>
  <si>
    <t>R1243</t>
  </si>
  <si>
    <t>R1244</t>
  </si>
  <si>
    <t>R1245</t>
  </si>
  <si>
    <t>R1246</t>
  </si>
  <si>
    <t>R1247</t>
  </si>
  <si>
    <t>R1248</t>
  </si>
  <si>
    <t>R1249</t>
  </si>
  <si>
    <t>R1250</t>
  </si>
  <si>
    <t>R1251</t>
  </si>
  <si>
    <t>R1252</t>
  </si>
  <si>
    <t>R1253</t>
  </si>
  <si>
    <t>R1254</t>
  </si>
  <si>
    <t>R1255</t>
  </si>
  <si>
    <t>R1256</t>
  </si>
  <si>
    <t>R1257</t>
  </si>
  <si>
    <t>R1258</t>
  </si>
  <si>
    <t>R1259</t>
  </si>
  <si>
    <t>R1260</t>
  </si>
  <si>
    <t>R1261</t>
  </si>
  <si>
    <t>R1262</t>
  </si>
  <si>
    <t>R1263</t>
  </si>
  <si>
    <t>R1264</t>
  </si>
  <si>
    <t>R1265</t>
  </si>
  <si>
    <t>R1266</t>
  </si>
  <si>
    <t>R1267</t>
  </si>
  <si>
    <t>R1268</t>
  </si>
  <si>
    <t>R1269</t>
  </si>
  <si>
    <t>R1270</t>
  </si>
  <si>
    <t>R1271</t>
  </si>
  <si>
    <t>R1272</t>
  </si>
  <si>
    <t>R1273</t>
  </si>
  <si>
    <t>R1274</t>
  </si>
  <si>
    <t>R1275</t>
  </si>
  <si>
    <t>R1276</t>
  </si>
  <si>
    <t>R1277</t>
  </si>
  <si>
    <t>R1278</t>
  </si>
  <si>
    <t>R1279</t>
  </si>
  <si>
    <t>R1280</t>
  </si>
  <si>
    <t>R1281</t>
  </si>
  <si>
    <t>R1282</t>
  </si>
  <si>
    <t>R1283</t>
  </si>
  <si>
    <t>R1284</t>
  </si>
  <si>
    <t>R1285</t>
  </si>
  <si>
    <t>R1286</t>
  </si>
  <si>
    <t>R1287</t>
  </si>
  <si>
    <t>R1288</t>
  </si>
  <si>
    <t>R1289</t>
  </si>
  <si>
    <t>R1290</t>
  </si>
  <si>
    <t>R1291</t>
  </si>
  <si>
    <t>R1292</t>
  </si>
  <si>
    <t>R1293</t>
  </si>
  <si>
    <t>R1294</t>
  </si>
  <si>
    <t>R1295</t>
  </si>
  <si>
    <t>R1296</t>
  </si>
  <si>
    <t>R1297</t>
  </si>
  <si>
    <t>R1298</t>
  </si>
  <si>
    <t>R1299</t>
  </si>
  <si>
    <t>R1300</t>
  </si>
  <si>
    <t>R1301</t>
  </si>
  <si>
    <t>R1302</t>
  </si>
  <si>
    <t>R1303</t>
  </si>
  <si>
    <t>R1304</t>
  </si>
  <si>
    <t>R1305</t>
  </si>
  <si>
    <t>R1306</t>
  </si>
  <si>
    <t>R1307</t>
  </si>
  <si>
    <t>R1308</t>
  </si>
  <si>
    <t>R1309</t>
  </si>
  <si>
    <t>R1310</t>
  </si>
  <si>
    <t>R1311</t>
  </si>
  <si>
    <t>R1312</t>
  </si>
  <si>
    <t>R1313</t>
  </si>
  <si>
    <t>R1314</t>
  </si>
  <si>
    <t>R1315</t>
  </si>
  <si>
    <t>R1316</t>
  </si>
  <si>
    <t>R1317</t>
  </si>
  <si>
    <t>R1318</t>
  </si>
  <si>
    <t>R1319</t>
  </si>
  <si>
    <t>R1320</t>
  </si>
  <si>
    <t>E11.1</t>
  </si>
  <si>
    <t>R1321</t>
  </si>
  <si>
    <t>R1322</t>
  </si>
  <si>
    <t>R1323</t>
  </si>
  <si>
    <t>R1324</t>
  </si>
  <si>
    <t>R1325</t>
  </si>
  <si>
    <t>R1326</t>
  </si>
  <si>
    <t>R1327</t>
  </si>
  <si>
    <t>P11.1</t>
  </si>
  <si>
    <t>R1328</t>
  </si>
  <si>
    <t>R1329</t>
  </si>
  <si>
    <t>R1330</t>
  </si>
  <si>
    <t>R1331</t>
  </si>
  <si>
    <t>R1332</t>
  </si>
  <si>
    <t>R1333</t>
  </si>
  <si>
    <t>R1334</t>
  </si>
  <si>
    <t>R1335</t>
  </si>
  <si>
    <t>R1336</t>
  </si>
  <si>
    <t>R1337</t>
  </si>
  <si>
    <t>R1338</t>
  </si>
  <si>
    <t>R1339</t>
  </si>
  <si>
    <t>R1340</t>
  </si>
  <si>
    <t>R1341</t>
  </si>
  <si>
    <t>R1342</t>
  </si>
  <si>
    <t>R1343</t>
  </si>
  <si>
    <t>R1344</t>
  </si>
  <si>
    <t>R1345</t>
  </si>
  <si>
    <t>R1346</t>
  </si>
  <si>
    <t>R1347</t>
  </si>
  <si>
    <t>R1348</t>
  </si>
  <si>
    <t>R1349</t>
  </si>
  <si>
    <t>R1350</t>
  </si>
  <si>
    <t>R1351</t>
  </si>
  <si>
    <t>R1352</t>
  </si>
  <si>
    <t>R1353</t>
  </si>
  <si>
    <t>R1354</t>
  </si>
  <si>
    <t>R1355</t>
  </si>
  <si>
    <t>R1356</t>
  </si>
  <si>
    <t>R1357</t>
  </si>
  <si>
    <t>R1358</t>
  </si>
  <si>
    <t>R1359</t>
  </si>
  <si>
    <t>R1360</t>
  </si>
  <si>
    <t>R1361</t>
  </si>
  <si>
    <t>R1362</t>
  </si>
  <si>
    <t>R1363</t>
  </si>
  <si>
    <t>R1364</t>
  </si>
  <si>
    <t>R1365</t>
  </si>
  <si>
    <t>R1366</t>
  </si>
  <si>
    <t>R1367</t>
  </si>
  <si>
    <t>R1368</t>
  </si>
  <si>
    <t>R1369</t>
  </si>
  <si>
    <t>R1370</t>
  </si>
  <si>
    <t>R1371</t>
  </si>
  <si>
    <t>R1372</t>
  </si>
  <si>
    <t>R1373</t>
  </si>
  <si>
    <t>R1374</t>
  </si>
  <si>
    <t>R1375</t>
  </si>
  <si>
    <t>R1376</t>
  </si>
  <si>
    <t>R1377</t>
  </si>
  <si>
    <t>R1378</t>
  </si>
  <si>
    <t>R1379</t>
  </si>
  <si>
    <t>R1380</t>
  </si>
  <si>
    <t>R1381</t>
  </si>
  <si>
    <t>R1382</t>
  </si>
  <si>
    <t>R1383</t>
  </si>
  <si>
    <t>R1384</t>
  </si>
  <si>
    <t>R1385</t>
  </si>
  <si>
    <t>R1386</t>
  </si>
  <si>
    <t>R1387</t>
  </si>
  <si>
    <t>R1388</t>
  </si>
  <si>
    <t>R1389</t>
  </si>
  <si>
    <t>R1390</t>
  </si>
  <si>
    <t>R1391</t>
  </si>
  <si>
    <t>R1392</t>
  </si>
  <si>
    <t>R1393</t>
  </si>
  <si>
    <t>R1394</t>
  </si>
  <si>
    <t>R1395</t>
  </si>
  <si>
    <t>R1396</t>
  </si>
  <si>
    <t>R1397</t>
  </si>
  <si>
    <t>R1398</t>
  </si>
  <si>
    <t>R1399</t>
  </si>
  <si>
    <t>R1400</t>
  </si>
  <si>
    <t>R1401</t>
  </si>
  <si>
    <t>R1402</t>
  </si>
  <si>
    <t>R1403</t>
  </si>
  <si>
    <t>R1404</t>
  </si>
  <si>
    <t>R1405</t>
  </si>
  <si>
    <t>R1406</t>
  </si>
  <si>
    <t>R1407</t>
  </si>
  <si>
    <t>R1408</t>
  </si>
  <si>
    <t>R1409</t>
  </si>
  <si>
    <t>R1410</t>
  </si>
  <si>
    <t>R1411</t>
  </si>
  <si>
    <t>R1412</t>
  </si>
  <si>
    <t>R1413</t>
  </si>
  <si>
    <t>R1414</t>
  </si>
  <si>
    <t>R1415</t>
  </si>
  <si>
    <t>R1416</t>
  </si>
  <si>
    <t>R1417</t>
  </si>
  <si>
    <t>R1418</t>
  </si>
  <si>
    <t>A15.1</t>
  </si>
  <si>
    <t>R1419</t>
  </si>
  <si>
    <t>R1420</t>
  </si>
  <si>
    <t>R1421</t>
  </si>
  <si>
    <t>R1422</t>
  </si>
  <si>
    <t>R1423</t>
  </si>
  <si>
    <t>R1424</t>
  </si>
  <si>
    <t>R1425</t>
  </si>
  <si>
    <t>D15.1</t>
  </si>
  <si>
    <t>R1426</t>
  </si>
  <si>
    <t>R1427</t>
  </si>
  <si>
    <t>R1428</t>
  </si>
  <si>
    <t>R1429</t>
  </si>
  <si>
    <t>R1430</t>
  </si>
  <si>
    <t>R1431</t>
  </si>
  <si>
    <t>R1432</t>
  </si>
  <si>
    <t>E15.1</t>
  </si>
  <si>
    <t>R1433</t>
  </si>
  <si>
    <t>R1434</t>
  </si>
  <si>
    <t>R1435</t>
  </si>
  <si>
    <t>R1436</t>
  </si>
  <si>
    <t>R1437</t>
  </si>
  <si>
    <t>R1438</t>
  </si>
  <si>
    <t>R1439</t>
  </si>
  <si>
    <t>A16.1</t>
  </si>
  <si>
    <t>R1440</t>
  </si>
  <si>
    <t>R1441</t>
  </si>
  <si>
    <t>R1442</t>
  </si>
  <si>
    <t>R1443</t>
  </si>
  <si>
    <t>R1444</t>
  </si>
  <si>
    <t>R1445</t>
  </si>
  <si>
    <t>R1446</t>
  </si>
  <si>
    <t>D16.1</t>
  </si>
  <si>
    <t>R1447</t>
  </si>
  <si>
    <t>R1448</t>
  </si>
  <si>
    <t>R1449</t>
  </si>
  <si>
    <t>R1450</t>
  </si>
  <si>
    <t>R1451</t>
  </si>
  <si>
    <t>R1452</t>
  </si>
  <si>
    <t>R1453</t>
  </si>
  <si>
    <t>R1454</t>
  </si>
  <si>
    <t>R1455</t>
  </si>
  <si>
    <t>R1456</t>
  </si>
  <si>
    <t>R1457</t>
  </si>
  <si>
    <t>R1458</t>
  </si>
  <si>
    <t>R1459</t>
  </si>
  <si>
    <t>R1460</t>
  </si>
  <si>
    <t>R1461</t>
  </si>
  <si>
    <t>R1462</t>
  </si>
  <si>
    <t>R1463</t>
  </si>
  <si>
    <t>R1464</t>
  </si>
  <si>
    <t>R1465</t>
  </si>
  <si>
    <t>R1466</t>
  </si>
  <si>
    <t>R1467</t>
  </si>
  <si>
    <t>R1468</t>
  </si>
  <si>
    <t>R1469</t>
  </si>
  <si>
    <t>R1470</t>
  </si>
  <si>
    <t>R1471</t>
  </si>
  <si>
    <t>R1472</t>
  </si>
  <si>
    <t>R1473</t>
  </si>
  <si>
    <t>R1474</t>
  </si>
  <si>
    <t>E17.1</t>
  </si>
  <si>
    <t>R1475</t>
  </si>
  <si>
    <t>R1476</t>
  </si>
  <si>
    <t>R1477</t>
  </si>
  <si>
    <t>R1478</t>
  </si>
  <si>
    <t>R1479</t>
  </si>
  <si>
    <t>R1480</t>
  </si>
  <si>
    <t>R1481</t>
  </si>
  <si>
    <t>A18.1</t>
  </si>
  <si>
    <t>R1482</t>
  </si>
  <si>
    <t>R1483</t>
  </si>
  <si>
    <t>R1484</t>
  </si>
  <si>
    <t>R1485</t>
  </si>
  <si>
    <t>R1486</t>
  </si>
  <si>
    <t>R1487</t>
  </si>
  <si>
    <t>R1488</t>
  </si>
  <si>
    <t>A18.2</t>
  </si>
  <si>
    <t>R1489</t>
  </si>
  <si>
    <t>R1490</t>
  </si>
  <si>
    <t>R1491</t>
  </si>
  <si>
    <t>R1492</t>
  </si>
  <si>
    <t>R1493</t>
  </si>
  <si>
    <t>R1494</t>
  </si>
  <si>
    <t>R1495</t>
  </si>
  <si>
    <t>D18.1</t>
  </si>
  <si>
    <t>R1496</t>
  </si>
  <si>
    <t>R1497</t>
  </si>
  <si>
    <t>R1498</t>
  </si>
  <si>
    <t>R1499</t>
  </si>
  <si>
    <t>R1500</t>
  </si>
  <si>
    <t>R1501</t>
  </si>
  <si>
    <t>R1502</t>
  </si>
  <si>
    <t>E18.1</t>
  </si>
  <si>
    <t>R1503</t>
  </si>
  <si>
    <t>R1504</t>
  </si>
  <si>
    <t>R1505</t>
  </si>
  <si>
    <t>R1506</t>
  </si>
  <si>
    <t>R1507</t>
  </si>
  <si>
    <t>R1508</t>
  </si>
  <si>
    <t>R1509</t>
  </si>
  <si>
    <t>R1510</t>
  </si>
  <si>
    <t>R1511</t>
  </si>
  <si>
    <t>R1512</t>
  </si>
  <si>
    <t>R1513</t>
  </si>
  <si>
    <t>R1514</t>
  </si>
  <si>
    <t>R1515</t>
  </si>
  <si>
    <t>R1516</t>
  </si>
  <si>
    <t>R1517</t>
  </si>
  <si>
    <t>R1518</t>
  </si>
  <si>
    <t>R1519</t>
  </si>
  <si>
    <t>R1520</t>
  </si>
  <si>
    <t>R1521</t>
  </si>
  <si>
    <t>R1522</t>
  </si>
  <si>
    <t>R1523</t>
  </si>
  <si>
    <t>R1524</t>
  </si>
  <si>
    <t>R1525</t>
  </si>
  <si>
    <t>R1526</t>
  </si>
  <si>
    <t>R1527</t>
  </si>
  <si>
    <t>R1528</t>
  </si>
  <si>
    <t>R1529</t>
  </si>
  <si>
    <t>R1530</t>
  </si>
  <si>
    <t>LN19.1</t>
  </si>
  <si>
    <t>R1531</t>
  </si>
  <si>
    <t>R1532</t>
  </si>
  <si>
    <t>R1533</t>
  </si>
  <si>
    <t>R1534</t>
  </si>
  <si>
    <t>R1535</t>
  </si>
  <si>
    <t>R1536</t>
  </si>
  <si>
    <t>R1537</t>
  </si>
  <si>
    <t>R1538</t>
  </si>
  <si>
    <t>R1539</t>
  </si>
  <si>
    <t>R1540</t>
  </si>
  <si>
    <t>R1541</t>
  </si>
  <si>
    <t>R1542</t>
  </si>
  <si>
    <t>R1543</t>
  </si>
  <si>
    <t>DEEP-020</t>
  </si>
  <si>
    <t>Evidence Engine Integration Point</t>
  </si>
  <si>
    <t>The Evidence Engine (built by Codex) is the Truth Layer's intake pipeline. 112 CSV files processed, 115 Excel files, 1,757 raw rows normalized, 1,167 evidence rows extracted, 11 content buckets. Mapping: Claims Register (CLM-xxx) = NODES tab. Evidence Register (EVD-xxx) = RELATIONSHIPS (facet=evidence). Switchboard (LNK-xxxx) = RELATIONSHIPS edges with weight + confidence + rationale. Artifact Map = Provenance facet (file paths are metadata, not identity). Non-negotiable rules match Truth Layer principles: IDs are permanent (UUID contract), no claim without claim_id (no orphan nodes), no support outside switchboard (evidence IS a relationship), every link has relation + confidence + rationale (edge metadata).</t>
  </si>
  <si>
    <t>methodology, data_engineering, epistemology</t>
  </si>
  <si>
    <t>ai_codex</t>
  </si>
  <si>
    <t>DEEP-021</t>
  </si>
  <si>
    <t>The Knowledge Factory (Full Stack)</t>
  </si>
  <si>
    <t>The complete pipeline: Research papers → Evidence Engine (extracts + normalizes) → Truth Layer (scores + maps) → UADP template (narrates) → Agreement Chain (compares) → Comms Hub (coordinates). This is not a filing system. This is a factory. Raw research goes in one end. Scored, audited, cross-domain-mapped, worldview-compared, T-scored doctoral papers come out the other end. Built in one day across three AI agents (Opus-in-Excel, Codex, Sonnet) coordinated through David as architect.</t>
  </si>
  <si>
    <t>methodology, systems_engineering, epistemology</t>
  </si>
  <si>
    <t>DEEP-022</t>
  </si>
  <si>
    <t>EXPORTS_INBOX Content Buckets</t>
  </si>
  <si>
    <t>15+ months of research corpus categorized into 11 content buckets: Doctor thesis, Foundational Papers, Cross-Domain Coherence, Logos Papers, JS-Series (Incarnation through Ascension), Consciousness papers, Scientific Method, Three Truths, Layer 1 Logic, and more. All dated 2026-03-10. Each bucket maps to a domain in the Truth Layer. Each paper in each bucket will flow through the Evidence Engine, produce CLM/EVD/LNK records, and wire into the Truth Layer as nodes + edges with T-scores.</t>
  </si>
  <si>
    <t>theology, physics, consciousness, methodology, logic</t>
  </si>
  <si>
    <t>R1550</t>
  </si>
  <si>
    <t>Evidence Engine is UADP's intake pipeline — feeds raw data into the protocol</t>
  </si>
  <si>
    <t>R1551</t>
  </si>
  <si>
    <t>Evidence Engine feeds Paper One — every claim in the paper is traceable to CLM/EVD/LNK records</t>
  </si>
  <si>
    <t>R1552</t>
  </si>
  <si>
    <t>Factory stage 1: Evidence Engine extracts + normalizes</t>
  </si>
  <si>
    <t>R1553</t>
  </si>
  <si>
    <t>Factory stage 2: UADP scores + maps (Truth Layer)</t>
  </si>
  <si>
    <t>R1554</t>
  </si>
  <si>
    <t>Factory stage 3: Forward template narrates (paper writing)</t>
  </si>
  <si>
    <t>R1555</t>
  </si>
  <si>
    <t>Factory stage 3b: Backward template audits (quality control)</t>
  </si>
  <si>
    <t>R1556</t>
  </si>
  <si>
    <t>Factory stage 4: Agreement Chain compares worldviews</t>
  </si>
  <si>
    <t>R1557</t>
  </si>
  <si>
    <t>Content bucket: Foundational Papers, Cross-Domain Coherence → Physics domain</t>
  </si>
  <si>
    <t>R1558</t>
  </si>
  <si>
    <t>Content bucket: Logos Papers, JS-Series, Doctor thesis → Theology domain</t>
  </si>
  <si>
    <t>R1559</t>
  </si>
  <si>
    <t>Content bucket: Consciousness papers → Consciousness domain</t>
  </si>
  <si>
    <t>R1560</t>
  </si>
  <si>
    <t>Content bucket: Layer 1 Logic, Three Truths → Information domain</t>
  </si>
  <si>
    <t>R1561</t>
  </si>
  <si>
    <t>Content bucket: Scientific Method papers → Evidence domain</t>
  </si>
  <si>
    <t>R1562</t>
  </si>
  <si>
    <t>provenance</t>
  </si>
  <si>
    <t>EXPORTS_INBOX feeds into Evidence Engine for processing</t>
  </si>
  <si>
    <t>R1563</t>
  </si>
  <si>
    <t>Evidence Engine will extract the Q5-Bible convergence data from Logos Papers bucket</t>
  </si>
  <si>
    <t>R1564</t>
  </si>
  <si>
    <t>Evidence Engine provides the three streams (logic, revelation, science) as separate tracked pipelines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</si>
</sst>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rgb="FFFFFFFF"/>
      <name val="Arial"/>
    </font>
    <font>
      <sz val="10"/>
      <name val="Arial"/>
    </font>
    <font>
      <b/>
      <sz val="11"/>
      <color rgb="FFD4A853"/>
      <name val="Arial"/>
    </font>
    <font>
      <b/>
      <sz val="12"/>
      <color rgb="FF16213E"/>
      <name val="Arial"/>
    </font>
    <font>
      <b/>
      <sz val="10"/>
      <color rgb="FF16213E"/>
      <name val="Arial"/>
    </font>
    <font>
      <b/>
      <sz val="11"/>
      <color theme="1"/>
      <name val="Calibri"/>
      <family val="2"/>
      <scheme val="minor"/>
    </font>
    <font>
      <b/>
      <sz val="9"/>
      <color rgb="FFFFFFFF"/>
      <name val="Calibri"/>
      <family val="2"/>
      <scheme val="minor"/>
    </font>
    <font>
      <sz val="9"/>
      <color theme="1"/>
      <name val="Calibri"/>
      <family val="2"/>
      <scheme val="minor"/>
    </font>
    <font>
      <sz val="11"/>
      <color rgb="FF065F46"/>
      <name val="Calibri"/>
      <family val="2"/>
      <scheme val="minor"/>
    </font>
    <font>
      <sz val="11"/>
      <color rgb="FF6B7280"/>
      <name val="Calibri"/>
      <family val="2"/>
      <scheme val="minor"/>
    </font>
    <font>
      <sz val="11"/>
      <color rgb="FF991B1B"/>
      <name val="Calibri"/>
      <family val="2"/>
      <scheme val="minor"/>
    </font>
    <font>
      <b/>
      <sz val="16"/>
      <color rgb="FF1F2937"/>
      <name val="Calibri"/>
      <family val="2"/>
      <scheme val="minor"/>
    </font>
    <font>
      <b/>
      <sz val="12"/>
      <color rgb="FFFFFFFF"/>
      <name val="Calibri"/>
      <family val="2"/>
      <scheme val="minor"/>
    </font>
    <font>
      <b/>
      <sz val="11"/>
      <color rgb="FF065F46"/>
      <name val="Calibri"/>
      <family val="2"/>
      <scheme val="minor"/>
    </font>
    <font>
      <b/>
      <sz val="11"/>
      <color rgb="FFB45309"/>
      <name val="Calibri"/>
      <family val="2"/>
      <scheme val="minor"/>
    </font>
    <font>
      <b/>
      <sz val="11"/>
      <color rgb="FF1E40AF"/>
      <name val="Calibri"/>
      <family val="2"/>
      <scheme val="minor"/>
    </font>
    <font>
      <b/>
      <sz val="11"/>
      <color rgb="FF6B7280"/>
      <name val="Calibri"/>
      <family val="2"/>
      <scheme val="minor"/>
    </font>
    <font>
      <b/>
      <sz val="11"/>
      <color rgb="FF991B1B"/>
      <name val="Calibri"/>
      <family val="2"/>
      <scheme val="minor"/>
    </font>
  </fonts>
  <fills count="24">
    <fill>
      <patternFill patternType="none"/>
    </fill>
    <fill>
      <patternFill patternType="gray125"/>
    </fill>
    <fill>
      <patternFill patternType="solid">
        <fgColor rgb="FF16213E"/>
      </patternFill>
    </fill>
    <fill>
      <patternFill patternType="solid">
        <fgColor rgb="FFF7F7F7"/>
      </patternFill>
    </fill>
    <fill>
      <patternFill patternType="solid">
        <fgColor rgb="FF1A1A2E"/>
      </patternFill>
    </fill>
    <fill>
      <patternFill patternType="solid">
        <fgColor rgb="FF1F2937"/>
        <bgColor indexed="64"/>
      </patternFill>
    </fill>
    <fill>
      <patternFill patternType="solid">
        <fgColor rgb="FF1E40AF"/>
        <bgColor indexed="64"/>
      </patternFill>
    </fill>
    <fill>
      <patternFill patternType="solid">
        <fgColor rgb="FF0F766E"/>
        <bgColor indexed="64"/>
      </patternFill>
    </fill>
    <fill>
      <patternFill patternType="solid">
        <fgColor rgb="FF7C3AED"/>
        <bgColor indexed="64"/>
      </patternFill>
    </fill>
    <fill>
      <patternFill patternType="solid">
        <fgColor rgb="FF166534"/>
        <bgColor indexed="64"/>
      </patternFill>
    </fill>
    <fill>
      <patternFill patternType="solid">
        <fgColor rgb="FF78350F"/>
        <bgColor indexed="64"/>
      </patternFill>
    </fill>
    <fill>
      <patternFill patternType="solid">
        <fgColor rgb="FF374151"/>
        <bgColor indexed="64"/>
      </patternFill>
    </fill>
    <fill>
      <patternFill patternType="solid">
        <fgColor rgb="FF475569"/>
        <bgColor indexed="64"/>
      </patternFill>
    </fill>
    <fill>
      <patternFill patternType="solid">
        <fgColor rgb="FFD1FAE5"/>
        <bgColor indexed="64"/>
      </patternFill>
    </fill>
    <fill>
      <patternFill patternType="solid">
        <fgColor rgb="FFFEE2E2"/>
        <bgColor indexed="64"/>
      </patternFill>
    </fill>
    <fill>
      <patternFill patternType="solid">
        <fgColor rgb="FFF9FAFB"/>
        <bgColor indexed="64"/>
      </patternFill>
    </fill>
    <fill>
      <patternFill patternType="solid">
        <fgColor rgb="FF065F46"/>
        <bgColor indexed="64"/>
      </patternFill>
    </fill>
    <fill>
      <patternFill patternType="solid">
        <fgColor rgb="FFB45309"/>
        <bgColor indexed="64"/>
      </patternFill>
    </fill>
    <fill>
      <patternFill patternType="solid">
        <fgColor rgb="FF991B1B"/>
        <bgColor indexed="64"/>
      </patternFill>
    </fill>
    <fill>
      <patternFill patternType="solid">
        <fgColor rgb="FF92400E"/>
        <bgColor indexed="64"/>
      </patternFill>
    </fill>
    <fill>
      <patternFill patternType="solid">
        <fgColor rgb="FF4338CA"/>
        <bgColor indexed="64"/>
      </patternFill>
    </fill>
    <fill>
      <patternFill patternType="solid">
        <fgColor rgb="FFECFDF5"/>
        <bgColor indexed="64"/>
      </patternFill>
    </fill>
    <fill>
      <patternFill patternType="solid">
        <fgColor rgb="FFFFF7ED"/>
        <bgColor indexed="64"/>
      </patternFill>
    </fill>
    <fill>
      <patternFill patternType="solid">
        <fgColor rgb="FFFEF2F2"/>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4" fillId="0" borderId="0" xfId="0" applyFont="1"/>
    <xf numFmtId="0" fontId="2" fillId="0" borderId="0" xfId="0" applyFont="1"/>
    <xf numFmtId="0" fontId="5" fillId="0" borderId="0" xfId="0" applyFont="1"/>
    <xf numFmtId="0" fontId="6" fillId="0" borderId="0" xfId="0" applyFont="1"/>
    <xf numFmtId="0" fontId="7" fillId="5" borderId="0" xfId="0" applyFont="1" applyFill="1" applyAlignment="1">
      <alignment wrapText="1"/>
    </xf>
    <xf numFmtId="0" fontId="7" fillId="6" borderId="0" xfId="0" applyFont="1" applyFill="1" applyAlignment="1">
      <alignment wrapText="1"/>
    </xf>
    <xf numFmtId="0" fontId="7" fillId="7" borderId="0" xfId="0" applyFont="1" applyFill="1" applyAlignment="1">
      <alignment wrapText="1"/>
    </xf>
    <xf numFmtId="0" fontId="7" fillId="8" borderId="0" xfId="0" applyFont="1" applyFill="1" applyAlignment="1">
      <alignment wrapText="1"/>
    </xf>
    <xf numFmtId="0" fontId="7" fillId="9" borderId="0" xfId="0" applyFont="1" applyFill="1" applyAlignment="1">
      <alignment wrapText="1"/>
    </xf>
    <xf numFmtId="0" fontId="7" fillId="10" borderId="0" xfId="0" applyFont="1" applyFill="1" applyAlignment="1">
      <alignment wrapText="1"/>
    </xf>
    <xf numFmtId="0" fontId="7" fillId="11" borderId="0" xfId="0" applyFont="1" applyFill="1" applyAlignment="1">
      <alignment wrapText="1"/>
    </xf>
    <xf numFmtId="0" fontId="7" fillId="12" borderId="0" xfId="0" applyFont="1" applyFill="1" applyAlignment="1">
      <alignment wrapText="1"/>
    </xf>
    <xf numFmtId="0" fontId="8" fillId="0" borderId="0" xfId="0" applyFont="1" applyAlignment="1">
      <alignment vertical="top" wrapText="1"/>
    </xf>
    <xf numFmtId="0" fontId="9" fillId="13" borderId="0" xfId="0" applyFont="1" applyFill="1"/>
    <xf numFmtId="0" fontId="11" fillId="14" borderId="0" xfId="0" applyFont="1" applyFill="1"/>
    <xf numFmtId="0" fontId="12" fillId="15" borderId="0" xfId="0" applyFont="1" applyFill="1"/>
    <xf numFmtId="0" fontId="13" fillId="6" borderId="0" xfId="0" applyFont="1" applyFill="1"/>
    <xf numFmtId="0" fontId="0" fillId="6" borderId="0" xfId="0" applyFill="1"/>
    <xf numFmtId="0" fontId="13" fillId="16" borderId="0" xfId="0" applyFont="1" applyFill="1"/>
    <xf numFmtId="0" fontId="0" fillId="16" borderId="0" xfId="0" applyFill="1"/>
    <xf numFmtId="0" fontId="10" fillId="0" borderId="0" xfId="0" applyFont="1"/>
    <xf numFmtId="0" fontId="13" fillId="8" borderId="0" xfId="0" applyFont="1" applyFill="1"/>
    <xf numFmtId="0" fontId="0" fillId="8" borderId="0" xfId="0" applyFill="1"/>
    <xf numFmtId="0" fontId="13" fillId="17" borderId="0" xfId="0" applyFont="1" applyFill="1"/>
    <xf numFmtId="0" fontId="0" fillId="17" borderId="0" xfId="0" applyFill="1"/>
    <xf numFmtId="0" fontId="14" fillId="0" borderId="0" xfId="0" applyFont="1"/>
    <xf numFmtId="0" fontId="15" fillId="0" borderId="0" xfId="0" applyFont="1"/>
    <xf numFmtId="0" fontId="16" fillId="0" borderId="0" xfId="0" applyFont="1"/>
    <xf numFmtId="0" fontId="17" fillId="0" borderId="0" xfId="0" applyFont="1"/>
    <xf numFmtId="0" fontId="13" fillId="18" borderId="0" xfId="0" applyFont="1" applyFill="1"/>
    <xf numFmtId="0" fontId="0" fillId="18" borderId="0" xfId="0" applyFill="1"/>
    <xf numFmtId="0" fontId="6" fillId="14" borderId="0" xfId="0" applyFont="1" applyFill="1"/>
    <xf numFmtId="0" fontId="13" fillId="5" borderId="0" xfId="0" applyFont="1" applyFill="1"/>
    <xf numFmtId="0" fontId="0" fillId="5" borderId="0" xfId="0" applyFill="1"/>
    <xf numFmtId="0" fontId="13" fillId="19" borderId="0" xfId="0" applyFont="1" applyFill="1"/>
    <xf numFmtId="0" fontId="0" fillId="19" borderId="0" xfId="0" applyFill="1"/>
    <xf numFmtId="0" fontId="13" fillId="20" borderId="0" xfId="0" applyFont="1" applyFill="1"/>
    <xf numFmtId="0" fontId="0" fillId="20" borderId="0" xfId="0" applyFill="1"/>
    <xf numFmtId="0" fontId="13" fillId="9" borderId="0" xfId="0" applyFont="1" applyFill="1"/>
    <xf numFmtId="0" fontId="0" fillId="9" borderId="0" xfId="0" applyFill="1"/>
    <xf numFmtId="0" fontId="14" fillId="13" borderId="0" xfId="0" applyFont="1" applyFill="1"/>
    <xf numFmtId="0" fontId="0" fillId="13" borderId="0" xfId="0" applyFill="1"/>
    <xf numFmtId="0" fontId="0" fillId="21" borderId="0" xfId="0" applyFill="1"/>
    <xf numFmtId="0" fontId="0" fillId="22" borderId="0" xfId="0" applyFill="1"/>
    <xf numFmtId="0" fontId="0" fillId="23" borderId="0" xfId="0" applyFill="1"/>
    <xf numFmtId="0" fontId="18" fillId="14" borderId="0" xfId="0" applyFont="1" applyFill="1"/>
    <xf numFmtId="49" fontId="14" fillId="13" borderId="0" xfId="0" applyNumberFormat="1" applyFont="1" applyFill="1"/>
    <xf numFmtId="49" fontId="0" fillId="13" borderId="0" xfId="0" applyNumberFormat="1" applyFill="1"/>
    <xf numFmtId="49" fontId="9" fillId="13" borderId="0" xfId="0" applyNumberFormat="1" applyFont="1" applyFill="1"/>
    <xf numFmtId="49" fontId="0" fillId="23" borderId="0" xfId="0" applyNumberFormat="1" applyFill="1"/>
    <xf numFmtId="49" fontId="11" fillId="14" borderId="0" xfId="0" applyNumberFormat="1" applyFont="1" applyFill="1"/>
    <xf numFmtId="0" fontId="0" fillId="0" borderId="0" xfId="0" quotePrefix="1"/>
    <xf numFmtId="0" fontId="2" fillId="3" borderId="2" xfId="0" applyFont="1" applyFill="1" applyBorder="1" applyAlignment="1">
      <alignment vertical="top" wrapText="1"/>
    </xf>
    <xf numFmtId="0" fontId="2" fillId="0" borderId="2" xfId="0" applyFont="1" applyBorder="1" applyAlignment="1">
      <alignment vertical="top" wrapText="1"/>
    </xf>
  </cellXfs>
  <cellStyles count="1">
    <cellStyle name="Normal" xfId="0" builtinId="0"/>
  </cellStyles>
  <dxfs count="19">
    <dxf>
      <font>
        <color rgb="FF9A3412"/>
      </font>
      <fill>
        <patternFill patternType="solid">
          <fgColor indexed="64"/>
          <bgColor rgb="FFFFEDD5"/>
        </patternFill>
      </fill>
    </dxf>
    <dxf>
      <font>
        <color rgb="FF92400E"/>
      </font>
      <fill>
        <patternFill patternType="solid">
          <fgColor indexed="64"/>
          <bgColor rgb="FFFEF3C7"/>
        </patternFill>
      </fill>
    </dxf>
    <dxf>
      <font>
        <color rgb="FF6B7280"/>
      </font>
      <fill>
        <patternFill patternType="solid">
          <fgColor indexed="64"/>
          <bgColor rgb="FFF3F4F6"/>
        </patternFill>
      </fill>
    </dxf>
    <dxf>
      <font>
        <color rgb="FF991B1B"/>
      </font>
      <fill>
        <patternFill patternType="solid">
          <fgColor indexed="64"/>
          <bgColor rgb="FFFEE2E2"/>
        </patternFill>
      </fill>
    </dxf>
    <dxf>
      <font>
        <color rgb="FF065F46"/>
      </font>
      <fill>
        <patternFill patternType="solid">
          <fgColor indexed="64"/>
          <bgColor rgb="FFD1FAE5"/>
        </patternFill>
      </fill>
    </dxf>
    <dxf>
      <fill>
        <patternFill patternType="solid">
          <fgColor rgb="FFD1D5F4"/>
        </patternFill>
      </fill>
    </dxf>
    <dxf>
      <fill>
        <patternFill patternType="solid">
          <fgColor rgb="FFFFF3CD"/>
        </patternFill>
      </fill>
    </dxf>
    <dxf>
      <fill>
        <patternFill patternType="solid">
          <fgColor rgb="FFF8D7DA"/>
        </patternFill>
      </fill>
    </dxf>
    <dxf>
      <fill>
        <patternFill patternType="solid">
          <fgColor rgb="FFD4EDDA"/>
        </patternFill>
      </fill>
    </dxf>
    <dxf>
      <font>
        <color rgb="FF1E40AF"/>
      </font>
      <fill>
        <patternFill patternType="solid">
          <fgColor indexed="64"/>
          <bgColor rgb="FFDBEAFE"/>
        </patternFill>
      </fill>
    </dxf>
    <dxf>
      <font>
        <color rgb="FF991B1B"/>
      </font>
      <fill>
        <patternFill patternType="solid">
          <fgColor indexed="64"/>
          <bgColor rgb="FFFEE2E2"/>
        </patternFill>
      </fill>
    </dxf>
    <dxf>
      <font>
        <color rgb="FF9A3412"/>
      </font>
      <fill>
        <patternFill patternType="solid">
          <fgColor indexed="64"/>
          <bgColor rgb="FFFFEDD5"/>
        </patternFill>
      </fill>
    </dxf>
    <dxf>
      <font>
        <color rgb="FF92400E"/>
      </font>
      <fill>
        <patternFill patternType="solid">
          <fgColor indexed="64"/>
          <bgColor rgb="FFFEF3C7"/>
        </patternFill>
      </fill>
    </dxf>
    <dxf>
      <font>
        <color rgb="FF065F46"/>
      </font>
      <fill>
        <patternFill patternType="solid">
          <fgColor indexed="64"/>
          <bgColor rgb="FFD1FAE5"/>
        </patternFill>
      </fill>
    </dxf>
    <dxf>
      <font>
        <color rgb="FF1E40AF"/>
      </font>
      <fill>
        <patternFill patternType="solid">
          <fgColor indexed="64"/>
          <bgColor rgb="FFDBEAFE"/>
        </patternFill>
      </fill>
    </dxf>
    <dxf>
      <font>
        <color rgb="FF991B1B"/>
      </font>
      <fill>
        <patternFill patternType="solid">
          <fgColor indexed="64"/>
          <bgColor rgb="FFFEE2E2"/>
        </patternFill>
      </fill>
    </dxf>
    <dxf>
      <font>
        <color rgb="FF9A3412"/>
      </font>
      <fill>
        <patternFill patternType="solid">
          <fgColor indexed="64"/>
          <bgColor rgb="FFFFEDD5"/>
        </patternFill>
      </fill>
    </dxf>
    <dxf>
      <font>
        <color rgb="FF92400E"/>
      </font>
      <fill>
        <patternFill patternType="solid">
          <fgColor indexed="64"/>
          <bgColor rgb="FFFEF3C7"/>
        </patternFill>
      </fill>
    </dxf>
    <dxf>
      <font>
        <color rgb="FF065F46"/>
      </font>
      <fill>
        <patternFill patternType="solid">
          <fgColor indexed="64"/>
          <b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7CE796-9AC2-4C48-ABD0-B5D339E96D38}">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56417-B82A-4AA5-8B94-3EC8489332F9}">
  <dimension ref="A1:H72"/>
  <sheetViews>
    <sheetView workbookViewId="0">
      <pane ySplit="2" topLeftCell="A3" activePane="bottomLeft" state="frozen"/>
      <selection pane="bottomLeft"/>
    </sheetView>
  </sheetViews>
  <sheetFormatPr defaultRowHeight="14.4" x14ac:dyDescent="0.3"/>
  <cols>
    <col min="1" max="1" width="29.6640625" customWidth="1"/>
    <col min="2" max="2" width="22.21875" customWidth="1"/>
    <col min="3" max="3" width="12" customWidth="1"/>
    <col min="4" max="4" width="9.21875" customWidth="1"/>
    <col min="5" max="5" width="33.33203125" customWidth="1"/>
    <col min="6" max="6" width="12" customWidth="1"/>
    <col min="7" max="7" width="14.77734375" customWidth="1"/>
    <col min="8" max="8" width="22.21875" customWidth="1"/>
  </cols>
  <sheetData>
    <row r="1" spans="1:8" ht="34.950000000000003" customHeight="1" x14ac:dyDescent="0.4">
      <c r="A1" s="20" t="s">
        <v>1871</v>
      </c>
    </row>
    <row r="3" spans="1:8" ht="28.05" customHeight="1" x14ac:dyDescent="0.3">
      <c r="A3" s="21" t="s">
        <v>1872</v>
      </c>
      <c r="B3" s="22"/>
      <c r="C3" s="22"/>
      <c r="E3" s="23" t="s">
        <v>1873</v>
      </c>
      <c r="F3" s="24"/>
      <c r="G3" s="24"/>
      <c r="H3" s="24"/>
    </row>
    <row r="5" spans="1:8" x14ac:dyDescent="0.3">
      <c r="A5" s="8" t="s">
        <v>1874</v>
      </c>
      <c r="B5">
        <f>COUNTA(NODES!A2:A1000)</f>
        <v>275</v>
      </c>
      <c r="E5" s="8" t="s">
        <v>1875</v>
      </c>
      <c r="F5">
        <f>COUNTIF(NODES!O2:O1000,0)</f>
        <v>0</v>
      </c>
    </row>
    <row r="6" spans="1:8" x14ac:dyDescent="0.3">
      <c r="A6" s="8" t="s">
        <v>1876</v>
      </c>
      <c r="B6">
        <f>COUNTA(RELATIONSHIPS!A2:A2000)</f>
        <v>1064</v>
      </c>
      <c r="E6" s="8" t="s">
        <v>1877</v>
      </c>
      <c r="F6">
        <f>ROUND(AVERAGEIF(NODES!D2:D1000,"&lt;&gt;domain",NODES!O2:O1000),1)</f>
        <v>5</v>
      </c>
    </row>
    <row r="7" spans="1:8" x14ac:dyDescent="0.3">
      <c r="A7" s="8" t="s">
        <v>1878</v>
      </c>
      <c r="B7">
        <f>COUNTA(EVIDENCE!A2:A1000)</f>
        <v>21</v>
      </c>
      <c r="E7" s="8" t="s">
        <v>1879</v>
      </c>
      <c r="F7">
        <f>_xlfn.MAXIFS(NODES!O2:O1000,NODES!D2:D1000,"&lt;&gt;domain")</f>
        <v>22</v>
      </c>
      <c r="G7" s="25" t="s">
        <v>1880</v>
      </c>
      <c r="H7" t="str">
        <f>INDEX(NODES!A2:A1000,MATCH(_xlfn.MAXIFS(NODES!O2:O1000,NODES!D2:D1000,"&lt;&gt;domain"),NODES!O2:O1000,0))</f>
        <v>A2.2</v>
      </c>
    </row>
    <row r="8" spans="1:8" x14ac:dyDescent="0.3">
      <c r="A8" s="8" t="s">
        <v>1881</v>
      </c>
      <c r="B8">
        <f>COUNTA(AGREEMENT_CHAINS!A2:A1000)</f>
        <v>51</v>
      </c>
      <c r="E8" s="8" t="s">
        <v>1882</v>
      </c>
      <c r="F8">
        <f>_xlfn.MINIFS(NODES!O2:O1000,NODES!O2:O1000,"&gt;0")</f>
        <v>1</v>
      </c>
    </row>
    <row r="9" spans="1:8" x14ac:dyDescent="0.3">
      <c r="A9" s="8" t="s">
        <v>1883</v>
      </c>
      <c r="B9">
        <v>24</v>
      </c>
      <c r="E9" s="8" t="s">
        <v>1884</v>
      </c>
      <c r="F9">
        <f>MEDIAN(NODES!O2:O1000)</f>
        <v>3</v>
      </c>
    </row>
    <row r="11" spans="1:8" ht="28.05" customHeight="1" x14ac:dyDescent="0.3">
      <c r="A11" s="26" t="s">
        <v>1885</v>
      </c>
      <c r="B11" s="27"/>
      <c r="C11" s="27"/>
      <c r="E11" s="28" t="s">
        <v>1886</v>
      </c>
      <c r="F11" s="29"/>
      <c r="G11" s="29"/>
      <c r="H11" s="29"/>
    </row>
    <row r="13" spans="1:8" x14ac:dyDescent="0.3">
      <c r="A13" s="8" t="s">
        <v>1887</v>
      </c>
      <c r="B13">
        <f>COUNTIF(NODES!D2:D1000,"question")</f>
        <v>13</v>
      </c>
      <c r="E13" s="30" t="s">
        <v>1888</v>
      </c>
      <c r="F13">
        <f>COUNTIF(NODES!J2:J1000,"canonical")</f>
        <v>262</v>
      </c>
    </row>
    <row r="14" spans="1:8" x14ac:dyDescent="0.3">
      <c r="A14" s="8" t="s">
        <v>1889</v>
      </c>
      <c r="B14">
        <f>COUNTIF(NODES!D2:D1000,"branch")</f>
        <v>37</v>
      </c>
      <c r="E14" s="31" t="s">
        <v>1890</v>
      </c>
      <c r="F14">
        <f>COUNTIF(NODES!J2:J1000,"needs_math")</f>
        <v>7</v>
      </c>
    </row>
    <row r="15" spans="1:8" x14ac:dyDescent="0.3">
      <c r="A15" s="8" t="s">
        <v>1891</v>
      </c>
      <c r="B15">
        <f>COUNTIF(NODES!D2:D1000,"primitive")</f>
        <v>18</v>
      </c>
      <c r="E15" s="31" t="s">
        <v>1892</v>
      </c>
      <c r="F15">
        <f>COUNTIF(NODES!J2:J1000,"needs_source")</f>
        <v>1</v>
      </c>
    </row>
    <row r="16" spans="1:8" x14ac:dyDescent="0.3">
      <c r="A16" s="8" t="s">
        <v>1893</v>
      </c>
      <c r="B16">
        <f>COUNTIF(NODES!D2:D254,"definition")</f>
        <v>34</v>
      </c>
      <c r="E16" s="31" t="s">
        <v>1894</v>
      </c>
      <c r="F16">
        <f>COUNTIF(NODES!J2:J254,"needs_formalization")</f>
        <v>1</v>
      </c>
    </row>
    <row r="17" spans="1:8" x14ac:dyDescent="0.3">
      <c r="A17" s="8" t="s">
        <v>1895</v>
      </c>
      <c r="B17">
        <f>COUNTIF(NODES!D2:D254,"theorem")</f>
        <v>21</v>
      </c>
      <c r="E17" s="32" t="s">
        <v>1896</v>
      </c>
      <c r="F17">
        <f>COUNTIF(NODES!J2:J254,"active")</f>
        <v>2</v>
      </c>
    </row>
    <row r="18" spans="1:8" x14ac:dyDescent="0.3">
      <c r="A18" s="8" t="s">
        <v>1897</v>
      </c>
      <c r="B18">
        <f>COUNTIF(NODES!D2:D254,"equation")</f>
        <v>12</v>
      </c>
      <c r="E18" s="33" t="s">
        <v>1898</v>
      </c>
      <c r="F18">
        <f>COUNTIF(NODES!J2:J254,"planned")</f>
        <v>1</v>
      </c>
    </row>
    <row r="19" spans="1:8" x14ac:dyDescent="0.3">
      <c r="A19" s="8" t="s">
        <v>1899</v>
      </c>
      <c r="B19">
        <f>COUNTIF(NODES!D2:D254,"property")</f>
        <v>17</v>
      </c>
    </row>
    <row r="20" spans="1:8" x14ac:dyDescent="0.3">
      <c r="A20" s="8" t="s">
        <v>139</v>
      </c>
      <c r="B20">
        <f>COUNTIF(NODES!D2:D254,"boundary_condition")</f>
        <v>9</v>
      </c>
    </row>
    <row r="21" spans="1:8" x14ac:dyDescent="0.3">
      <c r="A21" s="8" t="s">
        <v>1900</v>
      </c>
      <c r="B21">
        <f>COUNTIF(NODES!D2:D254,"protocol")</f>
        <v>7</v>
      </c>
    </row>
    <row r="22" spans="1:8" x14ac:dyDescent="0.3">
      <c r="A22" s="8" t="s">
        <v>1901</v>
      </c>
      <c r="B22">
        <f>COUNTIF(NODES!D2:D254,"evidence")</f>
        <v>4</v>
      </c>
    </row>
    <row r="23" spans="1:8" x14ac:dyDescent="0.3">
      <c r="A23" s="8" t="s">
        <v>1902</v>
      </c>
      <c r="B23">
        <f>COUNTIF(NODES!D2:D254,"hypothesis")</f>
        <v>5</v>
      </c>
    </row>
    <row r="24" spans="1:8" x14ac:dyDescent="0.3">
      <c r="A24" s="8" t="s">
        <v>1903</v>
      </c>
      <c r="B24">
        <f>COUNTIF(NODES!D2:D254,"falsification")</f>
        <v>4</v>
      </c>
    </row>
    <row r="25" spans="1:8" x14ac:dyDescent="0.3">
      <c r="A25" s="8" t="s">
        <v>1904</v>
      </c>
      <c r="B25">
        <f>COUNTIF(NODES!D2:D254,"bridge")</f>
        <v>4</v>
      </c>
    </row>
    <row r="26" spans="1:8" x14ac:dyDescent="0.3">
      <c r="A26" s="8" t="s">
        <v>1905</v>
      </c>
      <c r="B26">
        <f>COUNTIF(NODES!D2:D254,"fruit")</f>
        <v>9</v>
      </c>
    </row>
    <row r="27" spans="1:8" x14ac:dyDescent="0.3">
      <c r="A27" s="8" t="s">
        <v>1906</v>
      </c>
      <c r="B27">
        <f>COUNTA(NODES!A2:A254)-SUM(B13:B26)</f>
        <v>59</v>
      </c>
    </row>
    <row r="32" spans="1:8" ht="28.05" customHeight="1" x14ac:dyDescent="0.3">
      <c r="A32" s="34" t="s">
        <v>1907</v>
      </c>
      <c r="B32" s="35"/>
      <c r="C32" s="35"/>
      <c r="D32" s="35"/>
      <c r="E32" s="35"/>
      <c r="F32" s="35"/>
      <c r="G32" s="35"/>
      <c r="H32" s="35"/>
    </row>
    <row r="33" spans="1:5" x14ac:dyDescent="0.3">
      <c r="A33" s="36" t="s">
        <v>1908</v>
      </c>
      <c r="B33" s="36" t="s">
        <v>1909</v>
      </c>
      <c r="C33" s="36" t="s">
        <v>1910</v>
      </c>
      <c r="D33" s="36" t="s">
        <v>1911</v>
      </c>
      <c r="E33" s="36" t="s">
        <v>1912</v>
      </c>
    </row>
    <row r="34" spans="1:5" x14ac:dyDescent="0.3">
      <c r="A34" s="45" t="s">
        <v>1745</v>
      </c>
      <c r="B34" s="51" t="s">
        <v>2027</v>
      </c>
      <c r="C34" s="45" t="s">
        <v>1913</v>
      </c>
      <c r="D34" s="46">
        <v>0</v>
      </c>
      <c r="E34" s="46" t="s">
        <v>1914</v>
      </c>
    </row>
    <row r="35" spans="1:5" x14ac:dyDescent="0.3">
      <c r="A35" s="18" t="s">
        <v>1915</v>
      </c>
      <c r="B35" s="52" t="s">
        <v>2027</v>
      </c>
      <c r="C35" s="46" t="s">
        <v>1913</v>
      </c>
      <c r="D35" s="46">
        <v>0</v>
      </c>
      <c r="E35" s="46" t="s">
        <v>1914</v>
      </c>
    </row>
    <row r="36" spans="1:5" x14ac:dyDescent="0.3">
      <c r="A36" s="18" t="s">
        <v>1747</v>
      </c>
      <c r="B36" s="52" t="s">
        <v>2027</v>
      </c>
      <c r="C36" s="46" t="s">
        <v>1913</v>
      </c>
      <c r="D36" s="46">
        <v>0</v>
      </c>
      <c r="E36" s="46" t="s">
        <v>1914</v>
      </c>
    </row>
    <row r="37" spans="1:5" x14ac:dyDescent="0.3">
      <c r="A37" s="53" t="s">
        <v>2028</v>
      </c>
      <c r="B37" s="52" t="s">
        <v>1916</v>
      </c>
      <c r="C37" s="46" t="s">
        <v>2029</v>
      </c>
      <c r="D37" s="46">
        <v>0</v>
      </c>
      <c r="E37" s="46" t="s">
        <v>2030</v>
      </c>
    </row>
    <row r="38" spans="1:5" x14ac:dyDescent="0.3">
      <c r="A38" s="47" t="s">
        <v>1749</v>
      </c>
      <c r="B38" s="47" t="s">
        <v>1916</v>
      </c>
      <c r="C38" s="47" t="s">
        <v>1913</v>
      </c>
      <c r="D38" s="47">
        <v>0</v>
      </c>
      <c r="E38" s="47" t="s">
        <v>1917</v>
      </c>
    </row>
    <row r="39" spans="1:5" x14ac:dyDescent="0.3">
      <c r="A39" s="48" t="s">
        <v>1918</v>
      </c>
      <c r="B39" s="48" t="s">
        <v>1919</v>
      </c>
      <c r="C39" s="48" t="s">
        <v>1920</v>
      </c>
      <c r="D39" s="48">
        <v>1</v>
      </c>
      <c r="E39" s="48" t="s">
        <v>1921</v>
      </c>
    </row>
    <row r="40" spans="1:5" x14ac:dyDescent="0.3">
      <c r="A40" s="48" t="s">
        <v>1922</v>
      </c>
      <c r="B40" s="48" t="s">
        <v>1919</v>
      </c>
      <c r="C40" s="48" t="s">
        <v>1923</v>
      </c>
      <c r="D40" s="48">
        <v>2</v>
      </c>
      <c r="E40" s="48" t="s">
        <v>1924</v>
      </c>
    </row>
    <row r="41" spans="1:5" x14ac:dyDescent="0.3">
      <c r="A41" s="48" t="s">
        <v>1754</v>
      </c>
      <c r="B41" s="48" t="s">
        <v>1925</v>
      </c>
      <c r="C41" s="48" t="s">
        <v>1926</v>
      </c>
      <c r="D41" s="48">
        <v>1</v>
      </c>
      <c r="E41" s="48" t="s">
        <v>1927</v>
      </c>
    </row>
    <row r="42" spans="1:5" x14ac:dyDescent="0.3">
      <c r="A42" s="48" t="s">
        <v>1753</v>
      </c>
      <c r="B42" s="48" t="s">
        <v>1928</v>
      </c>
      <c r="C42" s="48" t="s">
        <v>1926</v>
      </c>
      <c r="D42" s="48">
        <v>1</v>
      </c>
      <c r="E42" s="48" t="s">
        <v>1929</v>
      </c>
    </row>
    <row r="43" spans="1:5" x14ac:dyDescent="0.3">
      <c r="A43" s="48" t="s">
        <v>1752</v>
      </c>
      <c r="B43" s="48" t="s">
        <v>1930</v>
      </c>
      <c r="C43" s="48" t="s">
        <v>1923</v>
      </c>
      <c r="D43" s="48">
        <v>1</v>
      </c>
      <c r="E43" s="48" t="s">
        <v>1931</v>
      </c>
    </row>
    <row r="44" spans="1:5" x14ac:dyDescent="0.3">
      <c r="A44" s="48" t="s">
        <v>1932</v>
      </c>
      <c r="B44" s="48" t="s">
        <v>1933</v>
      </c>
      <c r="C44" s="48" t="s">
        <v>1923</v>
      </c>
      <c r="D44" s="48">
        <v>1</v>
      </c>
      <c r="E44" s="48" t="s">
        <v>1934</v>
      </c>
    </row>
    <row r="45" spans="1:5" x14ac:dyDescent="0.3">
      <c r="A45" s="49" t="s">
        <v>1755</v>
      </c>
      <c r="B45" s="49" t="s">
        <v>1935</v>
      </c>
      <c r="C45" s="49" t="s">
        <v>1936</v>
      </c>
      <c r="D45" s="49">
        <v>2</v>
      </c>
      <c r="E45" s="49" t="s">
        <v>1937</v>
      </c>
    </row>
    <row r="46" spans="1:5" x14ac:dyDescent="0.3">
      <c r="A46" s="49" t="s">
        <v>1757</v>
      </c>
      <c r="B46" s="49" t="s">
        <v>1938</v>
      </c>
      <c r="C46" s="49" t="s">
        <v>1939</v>
      </c>
      <c r="D46" s="49">
        <v>2</v>
      </c>
      <c r="E46" s="49" t="s">
        <v>1937</v>
      </c>
    </row>
    <row r="47" spans="1:5" x14ac:dyDescent="0.3">
      <c r="A47" s="54" t="s">
        <v>1756</v>
      </c>
      <c r="B47" s="54" t="s">
        <v>1938</v>
      </c>
      <c r="C47" s="49" t="s">
        <v>1939</v>
      </c>
      <c r="D47" s="49">
        <v>3</v>
      </c>
      <c r="E47" s="49" t="s">
        <v>2031</v>
      </c>
    </row>
    <row r="48" spans="1:5" x14ac:dyDescent="0.3">
      <c r="A48" s="49" t="s">
        <v>1762</v>
      </c>
      <c r="B48" s="49" t="s">
        <v>1938</v>
      </c>
      <c r="C48" s="49" t="s">
        <v>1939</v>
      </c>
      <c r="D48" s="49">
        <v>3</v>
      </c>
      <c r="E48" s="49" t="s">
        <v>1940</v>
      </c>
    </row>
    <row r="49" spans="1:8" x14ac:dyDescent="0.3">
      <c r="A49" s="49" t="s">
        <v>1763</v>
      </c>
      <c r="B49" s="49" t="s">
        <v>1938</v>
      </c>
      <c r="C49" s="49" t="s">
        <v>1939</v>
      </c>
      <c r="D49" s="49">
        <v>3</v>
      </c>
      <c r="E49" s="49" t="s">
        <v>1940</v>
      </c>
    </row>
    <row r="50" spans="1:8" x14ac:dyDescent="0.3">
      <c r="A50" s="49" t="s">
        <v>1764</v>
      </c>
      <c r="B50" s="49" t="s">
        <v>1938</v>
      </c>
      <c r="C50" s="49" t="s">
        <v>1939</v>
      </c>
      <c r="D50" s="49">
        <v>3</v>
      </c>
      <c r="E50" s="49" t="s">
        <v>1940</v>
      </c>
    </row>
    <row r="51" spans="1:8" x14ac:dyDescent="0.3">
      <c r="A51" s="49" t="s">
        <v>1758</v>
      </c>
      <c r="B51" s="49" t="s">
        <v>1941</v>
      </c>
      <c r="C51" s="49" t="s">
        <v>1939</v>
      </c>
      <c r="D51" s="49">
        <v>3</v>
      </c>
      <c r="E51" s="49" t="s">
        <v>1940</v>
      </c>
    </row>
    <row r="52" spans="1:8" x14ac:dyDescent="0.3">
      <c r="A52" s="49" t="s">
        <v>1760</v>
      </c>
      <c r="B52" s="49" t="s">
        <v>1941</v>
      </c>
      <c r="C52" s="49" t="s">
        <v>1939</v>
      </c>
      <c r="D52" s="49">
        <v>3</v>
      </c>
      <c r="E52" s="49" t="s">
        <v>1940</v>
      </c>
    </row>
    <row r="53" spans="1:8" x14ac:dyDescent="0.3">
      <c r="A53" s="49" t="s">
        <v>1761</v>
      </c>
      <c r="B53" s="49" t="s">
        <v>1941</v>
      </c>
      <c r="C53" s="49" t="s">
        <v>1939</v>
      </c>
      <c r="D53" s="49">
        <v>3</v>
      </c>
      <c r="E53" s="49" t="s">
        <v>1940</v>
      </c>
    </row>
    <row r="54" spans="1:8" x14ac:dyDescent="0.3">
      <c r="A54" s="49" t="s">
        <v>1942</v>
      </c>
      <c r="B54" s="49" t="s">
        <v>1943</v>
      </c>
      <c r="C54" s="49" t="s">
        <v>1939</v>
      </c>
      <c r="D54" s="49">
        <v>3</v>
      </c>
      <c r="E54" s="49" t="s">
        <v>1940</v>
      </c>
    </row>
    <row r="55" spans="1:8" x14ac:dyDescent="0.3">
      <c r="A55" s="49" t="s">
        <v>1767</v>
      </c>
      <c r="B55" s="49" t="s">
        <v>1943</v>
      </c>
      <c r="C55" s="49" t="s">
        <v>1939</v>
      </c>
      <c r="D55" s="49">
        <v>3</v>
      </c>
      <c r="E55" s="49" t="s">
        <v>1940</v>
      </c>
    </row>
    <row r="56" spans="1:8" x14ac:dyDescent="0.3">
      <c r="A56" s="55" t="s">
        <v>1768</v>
      </c>
      <c r="B56" s="55" t="s">
        <v>1941</v>
      </c>
      <c r="C56" s="50" t="s">
        <v>1939</v>
      </c>
      <c r="D56" s="19">
        <v>3</v>
      </c>
      <c r="E56" s="19" t="s">
        <v>2032</v>
      </c>
    </row>
    <row r="57" spans="1:8" x14ac:dyDescent="0.3">
      <c r="A57" s="55" t="s">
        <v>1766</v>
      </c>
      <c r="B57" s="55" t="s">
        <v>1943</v>
      </c>
      <c r="C57" s="50" t="s">
        <v>1944</v>
      </c>
      <c r="D57" s="19">
        <v>6</v>
      </c>
      <c r="E57" s="19" t="s">
        <v>1945</v>
      </c>
    </row>
    <row r="59" spans="1:8" ht="28.05" customHeight="1" x14ac:dyDescent="0.3">
      <c r="A59" s="37" t="s">
        <v>1946</v>
      </c>
      <c r="B59" s="38"/>
      <c r="C59" s="38"/>
      <c r="D59" s="38"/>
      <c r="E59" s="39" t="s">
        <v>1947</v>
      </c>
      <c r="F59" s="40"/>
      <c r="G59" s="40"/>
      <c r="H59" s="40"/>
    </row>
    <row r="60" spans="1:8" x14ac:dyDescent="0.3">
      <c r="A60" s="8" t="s">
        <v>1948</v>
      </c>
      <c r="B60" s="8" t="s">
        <v>1949</v>
      </c>
      <c r="C60" s="8" t="s">
        <v>1950</v>
      </c>
      <c r="E60" s="8" t="s">
        <v>1951</v>
      </c>
      <c r="F60" s="8" t="s">
        <v>1952</v>
      </c>
      <c r="G60" s="8" t="s">
        <v>1953</v>
      </c>
    </row>
    <row r="61" spans="1:8" x14ac:dyDescent="0.3">
      <c r="A61" t="s">
        <v>184</v>
      </c>
      <c r="B61" t="s">
        <v>185</v>
      </c>
      <c r="C61">
        <v>22</v>
      </c>
      <c r="E61" t="s">
        <v>1607</v>
      </c>
      <c r="F61">
        <f>COUNTIF(NODES!J:J,"needs_math")</f>
        <v>7</v>
      </c>
      <c r="G61" t="str">
        <f>ROUND(F61/COUNTA(NODES!A2:A254)*100,1)&amp;"%"</f>
        <v>2.8%</v>
      </c>
    </row>
    <row r="62" spans="1:8" x14ac:dyDescent="0.3">
      <c r="A62" t="s">
        <v>174</v>
      </c>
      <c r="B62" t="s">
        <v>175</v>
      </c>
      <c r="C62">
        <v>19</v>
      </c>
      <c r="E62" t="s">
        <v>1617</v>
      </c>
      <c r="F62">
        <f>COUNTIF(NODES!J:J,"needs_source")</f>
        <v>1</v>
      </c>
      <c r="G62" t="str">
        <f>ROUND(F62/COUNTA(NODES!A2:A254)*100,1)&amp;"%"</f>
        <v>0.4%</v>
      </c>
    </row>
    <row r="63" spans="1:8" x14ac:dyDescent="0.3">
      <c r="A63" t="s">
        <v>179</v>
      </c>
      <c r="B63" t="s">
        <v>40</v>
      </c>
      <c r="C63">
        <v>19</v>
      </c>
      <c r="E63" t="s">
        <v>1612</v>
      </c>
      <c r="F63">
        <f>COUNTIF(NODES!J:J,"needs_formalization")</f>
        <v>1</v>
      </c>
      <c r="G63" t="str">
        <f>ROUND(F63/COUNTA(NODES!A2:A254)*100,1)&amp;"%"</f>
        <v>0.4%</v>
      </c>
    </row>
    <row r="64" spans="1:8" x14ac:dyDescent="0.3">
      <c r="A64" t="s">
        <v>181</v>
      </c>
      <c r="B64" t="s">
        <v>182</v>
      </c>
      <c r="C64">
        <v>19</v>
      </c>
      <c r="E64" t="s">
        <v>1954</v>
      </c>
      <c r="F64">
        <f>F61+F62+F63</f>
        <v>9</v>
      </c>
      <c r="G64" t="str">
        <f>ROUND(F64/COUNTA(NODES!A2:A254)*100,1)&amp;"%"</f>
        <v>3.6%</v>
      </c>
    </row>
    <row r="65" spans="1:8" x14ac:dyDescent="0.3">
      <c r="A65" t="s">
        <v>532</v>
      </c>
      <c r="B65" t="s">
        <v>533</v>
      </c>
      <c r="C65">
        <v>17</v>
      </c>
    </row>
    <row r="67" spans="1:8" ht="15.6" x14ac:dyDescent="0.3">
      <c r="A67" s="41" t="s">
        <v>496</v>
      </c>
      <c r="B67" s="42"/>
      <c r="C67" s="42"/>
      <c r="E67" s="43" t="s">
        <v>1955</v>
      </c>
      <c r="F67" s="44"/>
      <c r="G67" s="44"/>
      <c r="H67" s="44"/>
    </row>
    <row r="68" spans="1:8" x14ac:dyDescent="0.3">
      <c r="A68" t="s">
        <v>1153</v>
      </c>
      <c r="B68">
        <f>COUNTIF(RELATIONSHIPS!D:D,"enables")</f>
        <v>293</v>
      </c>
      <c r="E68" t="s">
        <v>1956</v>
      </c>
      <c r="F68" t="s">
        <v>1957</v>
      </c>
    </row>
    <row r="69" spans="1:8" x14ac:dyDescent="0.3">
      <c r="A69" t="s">
        <v>204</v>
      </c>
      <c r="B69">
        <f>COUNTIF(RELATIONSHIPS!D:D,"forces")</f>
        <v>87</v>
      </c>
      <c r="E69" t="s">
        <v>1958</v>
      </c>
      <c r="F69" t="s">
        <v>1959</v>
      </c>
    </row>
    <row r="70" spans="1:8" x14ac:dyDescent="0.3">
      <c r="A70" t="s">
        <v>324</v>
      </c>
      <c r="B70">
        <f>COUNTIF(RELATIONSHIPS!D:D,"maps_to")</f>
        <v>679</v>
      </c>
      <c r="E70" t="s">
        <v>1960</v>
      </c>
      <c r="F70">
        <f>MAX(NODES!I2:I254)</f>
        <v>203</v>
      </c>
      <c r="G70" t="s">
        <v>1961</v>
      </c>
    </row>
    <row r="71" spans="1:8" x14ac:dyDescent="0.3">
      <c r="A71" t="s">
        <v>219</v>
      </c>
      <c r="B71">
        <f>COUNTIF(RELATIONSHIPS!D:D,"collapses_to")</f>
        <v>5</v>
      </c>
      <c r="E71" t="s">
        <v>1962</v>
      </c>
      <c r="F71">
        <f>COUNTIF(NODES!J:J,"canonical")</f>
        <v>262</v>
      </c>
    </row>
    <row r="72" spans="1:8" x14ac:dyDescent="0.3">
      <c r="A72" t="s">
        <v>1906</v>
      </c>
      <c r="B72">
        <f>COUNTA(RELATIONSHIPS!D2:D1000)-SUM(B68:B71)</f>
        <v>-65</v>
      </c>
      <c r="E72" t="s">
        <v>1963</v>
      </c>
      <c r="F72" t="str">
        <f>ROUND(COUNTIF(NODES!J:J,"canonical")/COUNTA(NODES!A2:A254)*100,1)&amp;"%"</f>
        <v>103.6%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6213E"/>
  </sheetPr>
  <dimension ref="A1:O276"/>
  <sheetViews>
    <sheetView tabSelected="1" workbookViewId="0">
      <pane xSplit="2" ySplit="1" topLeftCell="C2" activePane="bottomRight" state="frozen"/>
      <selection pane="topRight"/>
      <selection pane="bottomLeft"/>
      <selection pane="bottomRight" activeCell="O116" sqref="O116"/>
    </sheetView>
  </sheetViews>
  <sheetFormatPr defaultRowHeight="14.4" x14ac:dyDescent="0.3"/>
  <cols>
    <col min="1" max="1" width="12" customWidth="1"/>
    <col min="2" max="2" width="28" customWidth="1"/>
    <col min="3" max="3" width="55" customWidth="1"/>
    <col min="4" max="4" width="14" customWidth="1"/>
    <col min="5" max="5" width="12" customWidth="1"/>
    <col min="6" max="7" width="16" customWidth="1"/>
    <col min="8" max="9" width="10" customWidth="1"/>
    <col min="10" max="10" width="14" customWidth="1"/>
    <col min="11" max="11" width="10" customWidth="1"/>
    <col min="12" max="12" width="14" customWidth="1"/>
    <col min="13" max="14" width="12" customWidth="1"/>
    <col min="15" max="15" width="10" customWidth="1"/>
  </cols>
  <sheetData>
    <row r="1" spans="1:15" ht="2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row>
    <row r="2" spans="1:15" x14ac:dyDescent="0.3">
      <c r="A2" s="3" t="s">
        <v>15</v>
      </c>
      <c r="B2" s="3" t="s">
        <v>16</v>
      </c>
      <c r="C2" s="3" t="s">
        <v>17</v>
      </c>
      <c r="D2" s="3" t="s">
        <v>18</v>
      </c>
      <c r="E2" s="3" t="s">
        <v>19</v>
      </c>
      <c r="F2" s="3" t="s">
        <v>18</v>
      </c>
      <c r="G2" s="3" t="s">
        <v>20</v>
      </c>
      <c r="H2" s="3">
        <v>0</v>
      </c>
      <c r="I2" s="3">
        <v>1</v>
      </c>
      <c r="J2" s="3" t="s">
        <v>21</v>
      </c>
      <c r="K2" s="3" t="s">
        <v>22</v>
      </c>
      <c r="L2" s="3" t="s">
        <v>23</v>
      </c>
      <c r="M2" s="3" t="s">
        <v>24</v>
      </c>
      <c r="N2" s="3" t="s">
        <v>25</v>
      </c>
      <c r="O2" s="3">
        <f>COUNTIF(RELATIONSHIPS!$B:$B,A2)+COUNTIF(RELATIONSHIPS!$C:$C,A2)</f>
        <v>5</v>
      </c>
    </row>
    <row r="3" spans="1:15" x14ac:dyDescent="0.3">
      <c r="A3" s="4" t="s">
        <v>26</v>
      </c>
      <c r="B3" s="4" t="s">
        <v>27</v>
      </c>
      <c r="C3" s="4" t="s">
        <v>28</v>
      </c>
      <c r="D3" s="4" t="s">
        <v>29</v>
      </c>
      <c r="E3" s="4" t="s">
        <v>19</v>
      </c>
      <c r="F3" s="4" t="s">
        <v>29</v>
      </c>
      <c r="G3" s="4" t="s">
        <v>20</v>
      </c>
      <c r="H3" s="4">
        <v>0</v>
      </c>
      <c r="I3" s="4"/>
      <c r="J3" s="4" t="s">
        <v>21</v>
      </c>
      <c r="K3" s="4" t="s">
        <v>22</v>
      </c>
      <c r="L3" s="4" t="s">
        <v>23</v>
      </c>
      <c r="M3" s="4" t="s">
        <v>24</v>
      </c>
      <c r="N3" s="4" t="s">
        <v>25</v>
      </c>
      <c r="O3" s="3">
        <f>COUNTIF(RELATIONSHIPS!$B:$B,A3)+COUNTIF(RELATIONSHIPS!$C:$C,A3)</f>
        <v>1</v>
      </c>
    </row>
    <row r="4" spans="1:15" x14ac:dyDescent="0.3">
      <c r="A4" s="3" t="s">
        <v>30</v>
      </c>
      <c r="B4" s="3" t="s">
        <v>31</v>
      </c>
      <c r="C4" s="3" t="s">
        <v>32</v>
      </c>
      <c r="D4" s="3" t="s">
        <v>29</v>
      </c>
      <c r="E4" s="3" t="s">
        <v>19</v>
      </c>
      <c r="F4" s="3" t="s">
        <v>29</v>
      </c>
      <c r="G4" s="3" t="s">
        <v>20</v>
      </c>
      <c r="H4" s="3">
        <v>0</v>
      </c>
      <c r="I4" s="3"/>
      <c r="J4" s="3" t="s">
        <v>21</v>
      </c>
      <c r="K4" s="3" t="s">
        <v>22</v>
      </c>
      <c r="L4" s="3" t="s">
        <v>23</v>
      </c>
      <c r="M4" s="3" t="s">
        <v>24</v>
      </c>
      <c r="N4" s="3" t="s">
        <v>25</v>
      </c>
      <c r="O4" s="3">
        <f>COUNTIF(RELATIONSHIPS!$B:$B,A4)+COUNTIF(RELATIONSHIPS!$C:$C,A4)</f>
        <v>4</v>
      </c>
    </row>
    <row r="5" spans="1:15" x14ac:dyDescent="0.3">
      <c r="A5" s="4" t="s">
        <v>33</v>
      </c>
      <c r="B5" s="4" t="s">
        <v>34</v>
      </c>
      <c r="C5" s="4" t="s">
        <v>35</v>
      </c>
      <c r="D5" s="4" t="s">
        <v>29</v>
      </c>
      <c r="E5" s="4" t="s">
        <v>19</v>
      </c>
      <c r="F5" s="4" t="s">
        <v>29</v>
      </c>
      <c r="G5" s="4" t="s">
        <v>20</v>
      </c>
      <c r="H5" s="4">
        <v>0</v>
      </c>
      <c r="I5" s="4"/>
      <c r="J5" s="4" t="s">
        <v>21</v>
      </c>
      <c r="K5" s="4" t="s">
        <v>22</v>
      </c>
      <c r="L5" s="4" t="s">
        <v>23</v>
      </c>
      <c r="M5" s="4" t="s">
        <v>24</v>
      </c>
      <c r="N5" s="4" t="s">
        <v>25</v>
      </c>
      <c r="O5" s="3">
        <f>COUNTIF(RELATIONSHIPS!$B:$B,A5)+COUNTIF(RELATIONSHIPS!$C:$C,A5)</f>
        <v>1</v>
      </c>
    </row>
    <row r="6" spans="1:15" x14ac:dyDescent="0.3">
      <c r="A6" s="3" t="s">
        <v>36</v>
      </c>
      <c r="B6" s="3" t="s">
        <v>37</v>
      </c>
      <c r="C6" s="3" t="s">
        <v>38</v>
      </c>
      <c r="D6" s="3" t="s">
        <v>29</v>
      </c>
      <c r="E6" s="3" t="s">
        <v>19</v>
      </c>
      <c r="F6" s="3" t="s">
        <v>29</v>
      </c>
      <c r="G6" s="3" t="s">
        <v>20</v>
      </c>
      <c r="H6" s="3">
        <v>0</v>
      </c>
      <c r="I6" s="3"/>
      <c r="J6" s="3" t="s">
        <v>21</v>
      </c>
      <c r="K6" s="3" t="s">
        <v>22</v>
      </c>
      <c r="L6" s="3" t="s">
        <v>23</v>
      </c>
      <c r="M6" s="3" t="s">
        <v>24</v>
      </c>
      <c r="N6" s="3" t="s">
        <v>25</v>
      </c>
      <c r="O6" s="3">
        <f>COUNTIF(RELATIONSHIPS!$B:$B,A6)+COUNTIF(RELATIONSHIPS!$C:$C,A6)</f>
        <v>2</v>
      </c>
    </row>
    <row r="7" spans="1:15" x14ac:dyDescent="0.3">
      <c r="A7" s="4" t="s">
        <v>39</v>
      </c>
      <c r="B7" s="4" t="s">
        <v>40</v>
      </c>
      <c r="C7" s="4" t="s">
        <v>41</v>
      </c>
      <c r="D7" s="4" t="s">
        <v>18</v>
      </c>
      <c r="E7" s="4" t="s">
        <v>19</v>
      </c>
      <c r="F7" s="4" t="s">
        <v>18</v>
      </c>
      <c r="G7" s="4" t="s">
        <v>20</v>
      </c>
      <c r="H7" s="4">
        <v>1</v>
      </c>
      <c r="I7" s="4">
        <v>2</v>
      </c>
      <c r="J7" s="4" t="s">
        <v>21</v>
      </c>
      <c r="K7" s="4" t="s">
        <v>22</v>
      </c>
      <c r="L7" s="4" t="s">
        <v>23</v>
      </c>
      <c r="M7" s="4" t="s">
        <v>24</v>
      </c>
      <c r="N7" s="4" t="s">
        <v>25</v>
      </c>
      <c r="O7" s="3">
        <f>COUNTIF(RELATIONSHIPS!$B:$B,A7)+COUNTIF(RELATIONSHIPS!$C:$C,A7)</f>
        <v>5</v>
      </c>
    </row>
    <row r="8" spans="1:15" x14ac:dyDescent="0.3">
      <c r="A8" s="3" t="s">
        <v>42</v>
      </c>
      <c r="B8" s="3" t="s">
        <v>43</v>
      </c>
      <c r="C8" s="3" t="s">
        <v>44</v>
      </c>
      <c r="D8" s="3" t="s">
        <v>29</v>
      </c>
      <c r="E8" s="3" t="s">
        <v>19</v>
      </c>
      <c r="F8" s="3" t="s">
        <v>29</v>
      </c>
      <c r="G8" s="3" t="s">
        <v>20</v>
      </c>
      <c r="H8" s="3">
        <v>1</v>
      </c>
      <c r="I8" s="3"/>
      <c r="J8" s="3" t="s">
        <v>21</v>
      </c>
      <c r="K8" s="3" t="s">
        <v>22</v>
      </c>
      <c r="L8" s="3" t="s">
        <v>23</v>
      </c>
      <c r="M8" s="3" t="s">
        <v>24</v>
      </c>
      <c r="N8" s="3" t="s">
        <v>25</v>
      </c>
      <c r="O8" s="3">
        <f>COUNTIF(RELATIONSHIPS!$B:$B,A8)+COUNTIF(RELATIONSHIPS!$C:$C,A8)</f>
        <v>1</v>
      </c>
    </row>
    <row r="9" spans="1:15" x14ac:dyDescent="0.3">
      <c r="A9" s="4" t="s">
        <v>45</v>
      </c>
      <c r="B9" s="4" t="s">
        <v>46</v>
      </c>
      <c r="C9" s="4" t="s">
        <v>47</v>
      </c>
      <c r="D9" s="4" t="s">
        <v>29</v>
      </c>
      <c r="E9" s="4" t="s">
        <v>19</v>
      </c>
      <c r="F9" s="4" t="s">
        <v>29</v>
      </c>
      <c r="G9" s="4" t="s">
        <v>20</v>
      </c>
      <c r="H9" s="4">
        <v>1</v>
      </c>
      <c r="I9" s="4"/>
      <c r="J9" s="4" t="s">
        <v>21</v>
      </c>
      <c r="K9" s="4" t="s">
        <v>22</v>
      </c>
      <c r="L9" s="4" t="s">
        <v>23</v>
      </c>
      <c r="M9" s="4" t="s">
        <v>24</v>
      </c>
      <c r="N9" s="4" t="s">
        <v>25</v>
      </c>
      <c r="O9" s="3">
        <f>COUNTIF(RELATIONSHIPS!$B:$B,A9)+COUNTIF(RELATIONSHIPS!$C:$C,A9)</f>
        <v>3</v>
      </c>
    </row>
    <row r="10" spans="1:15" x14ac:dyDescent="0.3">
      <c r="A10" s="3" t="s">
        <v>48</v>
      </c>
      <c r="B10" s="3" t="s">
        <v>49</v>
      </c>
      <c r="C10" s="3" t="s">
        <v>50</v>
      </c>
      <c r="D10" s="3" t="s">
        <v>29</v>
      </c>
      <c r="E10" s="3" t="s">
        <v>19</v>
      </c>
      <c r="F10" s="3" t="s">
        <v>29</v>
      </c>
      <c r="G10" s="3" t="s">
        <v>20</v>
      </c>
      <c r="H10" s="3">
        <v>1</v>
      </c>
      <c r="I10" s="3"/>
      <c r="J10" s="3" t="s">
        <v>21</v>
      </c>
      <c r="K10" s="3" t="s">
        <v>22</v>
      </c>
      <c r="L10" s="3" t="s">
        <v>23</v>
      </c>
      <c r="M10" s="3" t="s">
        <v>24</v>
      </c>
      <c r="N10" s="3" t="s">
        <v>25</v>
      </c>
      <c r="O10" s="3">
        <f>COUNTIF(RELATIONSHIPS!$B:$B,A10)+COUNTIF(RELATIONSHIPS!$C:$C,A10)</f>
        <v>1</v>
      </c>
    </row>
    <row r="11" spans="1:15" x14ac:dyDescent="0.3">
      <c r="A11" s="4" t="s">
        <v>51</v>
      </c>
      <c r="B11" s="4" t="s">
        <v>52</v>
      </c>
      <c r="C11" s="4" t="s">
        <v>53</v>
      </c>
      <c r="D11" s="4" t="s">
        <v>18</v>
      </c>
      <c r="E11" s="4" t="s">
        <v>19</v>
      </c>
      <c r="F11" s="4" t="s">
        <v>18</v>
      </c>
      <c r="G11" s="4" t="s">
        <v>54</v>
      </c>
      <c r="H11" s="4">
        <v>2</v>
      </c>
      <c r="I11" s="4">
        <v>3</v>
      </c>
      <c r="J11" s="4" t="s">
        <v>21</v>
      </c>
      <c r="K11" s="4" t="s">
        <v>22</v>
      </c>
      <c r="L11" s="4" t="s">
        <v>23</v>
      </c>
      <c r="M11" s="4" t="s">
        <v>24</v>
      </c>
      <c r="N11" s="4" t="s">
        <v>25</v>
      </c>
      <c r="O11" s="3">
        <f>COUNTIF(RELATIONSHIPS!$B:$B,A11)+COUNTIF(RELATIONSHIPS!$C:$C,A11)</f>
        <v>8</v>
      </c>
    </row>
    <row r="12" spans="1:15" x14ac:dyDescent="0.3">
      <c r="A12" s="3" t="s">
        <v>55</v>
      </c>
      <c r="B12" s="3" t="s">
        <v>56</v>
      </c>
      <c r="C12" s="3" t="s">
        <v>57</v>
      </c>
      <c r="D12" s="3" t="s">
        <v>29</v>
      </c>
      <c r="E12" s="3" t="s">
        <v>19</v>
      </c>
      <c r="F12" s="3" t="s">
        <v>29</v>
      </c>
      <c r="G12" s="3" t="s">
        <v>54</v>
      </c>
      <c r="H12" s="3">
        <v>2</v>
      </c>
      <c r="I12" s="3"/>
      <c r="J12" s="3" t="s">
        <v>21</v>
      </c>
      <c r="K12" s="3" t="s">
        <v>22</v>
      </c>
      <c r="L12" s="3" t="s">
        <v>23</v>
      </c>
      <c r="M12" s="3" t="s">
        <v>24</v>
      </c>
      <c r="N12" s="3" t="s">
        <v>25</v>
      </c>
      <c r="O12" s="3">
        <f>COUNTIF(RELATIONSHIPS!$B:$B,A12)+COUNTIF(RELATIONSHIPS!$C:$C,A12)</f>
        <v>1</v>
      </c>
    </row>
    <row r="13" spans="1:15" x14ac:dyDescent="0.3">
      <c r="A13" s="4" t="s">
        <v>58</v>
      </c>
      <c r="B13" s="4" t="s">
        <v>59</v>
      </c>
      <c r="C13" s="4" t="s">
        <v>60</v>
      </c>
      <c r="D13" s="4" t="s">
        <v>29</v>
      </c>
      <c r="E13" s="4" t="s">
        <v>19</v>
      </c>
      <c r="F13" s="4" t="s">
        <v>29</v>
      </c>
      <c r="G13" s="4" t="s">
        <v>54</v>
      </c>
      <c r="H13" s="4">
        <v>2</v>
      </c>
      <c r="I13" s="4"/>
      <c r="J13" s="4" t="s">
        <v>21</v>
      </c>
      <c r="K13" s="4" t="s">
        <v>22</v>
      </c>
      <c r="L13" s="4" t="s">
        <v>23</v>
      </c>
      <c r="M13" s="4" t="s">
        <v>24</v>
      </c>
      <c r="N13" s="4" t="s">
        <v>25</v>
      </c>
      <c r="O13" s="3">
        <f>COUNTIF(RELATIONSHIPS!$B:$B,A13)+COUNTIF(RELATIONSHIPS!$C:$C,A13)</f>
        <v>1</v>
      </c>
    </row>
    <row r="14" spans="1:15" ht="26.4" x14ac:dyDescent="0.3">
      <c r="A14" s="3" t="s">
        <v>61</v>
      </c>
      <c r="B14" s="3" t="s">
        <v>62</v>
      </c>
      <c r="C14" s="3" t="s">
        <v>63</v>
      </c>
      <c r="D14" s="3" t="s">
        <v>29</v>
      </c>
      <c r="E14" s="3" t="s">
        <v>19</v>
      </c>
      <c r="F14" s="3" t="s">
        <v>29</v>
      </c>
      <c r="G14" s="3" t="s">
        <v>54</v>
      </c>
      <c r="H14" s="3">
        <v>2</v>
      </c>
      <c r="I14" s="3"/>
      <c r="J14" s="3" t="s">
        <v>21</v>
      </c>
      <c r="K14" s="3" t="s">
        <v>22</v>
      </c>
      <c r="L14" s="3" t="s">
        <v>23</v>
      </c>
      <c r="M14" s="3" t="s">
        <v>24</v>
      </c>
      <c r="N14" s="3" t="s">
        <v>25</v>
      </c>
      <c r="O14" s="3">
        <f>COUNTIF(RELATIONSHIPS!$B:$B,A14)+COUNTIF(RELATIONSHIPS!$C:$C,A14)</f>
        <v>5</v>
      </c>
    </row>
    <row r="15" spans="1:15" x14ac:dyDescent="0.3">
      <c r="A15" s="4" t="s">
        <v>64</v>
      </c>
      <c r="B15" s="4" t="s">
        <v>65</v>
      </c>
      <c r="C15" s="4" t="s">
        <v>66</v>
      </c>
      <c r="D15" s="4" t="s">
        <v>29</v>
      </c>
      <c r="E15" s="4" t="s">
        <v>19</v>
      </c>
      <c r="F15" s="4" t="s">
        <v>29</v>
      </c>
      <c r="G15" s="4" t="s">
        <v>54</v>
      </c>
      <c r="H15" s="4">
        <v>2</v>
      </c>
      <c r="I15" s="4"/>
      <c r="J15" s="4" t="s">
        <v>21</v>
      </c>
      <c r="K15" s="4" t="s">
        <v>22</v>
      </c>
      <c r="L15" s="4" t="s">
        <v>23</v>
      </c>
      <c r="M15" s="4" t="s">
        <v>24</v>
      </c>
      <c r="N15" s="4" t="s">
        <v>25</v>
      </c>
      <c r="O15" s="3">
        <f>COUNTIF(RELATIONSHIPS!$B:$B,A15)+COUNTIF(RELATIONSHIPS!$C:$C,A15)</f>
        <v>1</v>
      </c>
    </row>
    <row r="16" spans="1:15" x14ac:dyDescent="0.3">
      <c r="A16" s="3" t="s">
        <v>67</v>
      </c>
      <c r="B16" s="3" t="s">
        <v>68</v>
      </c>
      <c r="C16" s="3" t="s">
        <v>69</v>
      </c>
      <c r="D16" s="3" t="s">
        <v>29</v>
      </c>
      <c r="E16" s="3" t="s">
        <v>19</v>
      </c>
      <c r="F16" s="3" t="s">
        <v>29</v>
      </c>
      <c r="G16" s="3" t="s">
        <v>54</v>
      </c>
      <c r="H16" s="3">
        <v>2</v>
      </c>
      <c r="I16" s="3"/>
      <c r="J16" s="3" t="s">
        <v>21</v>
      </c>
      <c r="K16" s="3" t="s">
        <v>22</v>
      </c>
      <c r="L16" s="3" t="s">
        <v>23</v>
      </c>
      <c r="M16" s="3" t="s">
        <v>24</v>
      </c>
      <c r="N16" s="3" t="s">
        <v>25</v>
      </c>
      <c r="O16" s="3">
        <f>COUNTIF(RELATIONSHIPS!$B:$B,A16)+COUNTIF(RELATIONSHIPS!$C:$C,A16)</f>
        <v>2</v>
      </c>
    </row>
    <row r="17" spans="1:15" x14ac:dyDescent="0.3">
      <c r="A17" s="4" t="s">
        <v>70</v>
      </c>
      <c r="B17" s="4" t="s">
        <v>71</v>
      </c>
      <c r="C17" s="4" t="s">
        <v>72</v>
      </c>
      <c r="D17" s="4" t="s">
        <v>29</v>
      </c>
      <c r="E17" s="4" t="s">
        <v>19</v>
      </c>
      <c r="F17" s="4" t="s">
        <v>29</v>
      </c>
      <c r="G17" s="4" t="s">
        <v>54</v>
      </c>
      <c r="H17" s="4">
        <v>2</v>
      </c>
      <c r="I17" s="4"/>
      <c r="J17" s="4" t="s">
        <v>21</v>
      </c>
      <c r="K17" s="4" t="s">
        <v>22</v>
      </c>
      <c r="L17" s="4" t="s">
        <v>23</v>
      </c>
      <c r="M17" s="4" t="s">
        <v>24</v>
      </c>
      <c r="N17" s="4" t="s">
        <v>25</v>
      </c>
      <c r="O17" s="3">
        <f>COUNTIF(RELATIONSHIPS!$B:$B,A17)+COUNTIF(RELATIONSHIPS!$C:$C,A17)</f>
        <v>2</v>
      </c>
    </row>
    <row r="18" spans="1:15" ht="26.4" x14ac:dyDescent="0.3">
      <c r="A18" s="3" t="s">
        <v>73</v>
      </c>
      <c r="B18" s="3" t="s">
        <v>74</v>
      </c>
      <c r="C18" s="3" t="s">
        <v>75</v>
      </c>
      <c r="D18" s="3" t="s">
        <v>18</v>
      </c>
      <c r="E18" s="3" t="s">
        <v>19</v>
      </c>
      <c r="F18" s="3" t="s">
        <v>18</v>
      </c>
      <c r="G18" s="3" t="s">
        <v>20</v>
      </c>
      <c r="H18" s="3">
        <v>3</v>
      </c>
      <c r="I18" s="3">
        <v>4</v>
      </c>
      <c r="J18" s="3" t="s">
        <v>21</v>
      </c>
      <c r="K18" s="3" t="s">
        <v>22</v>
      </c>
      <c r="L18" s="3" t="s">
        <v>23</v>
      </c>
      <c r="M18" s="3" t="s">
        <v>24</v>
      </c>
      <c r="N18" s="3" t="s">
        <v>25</v>
      </c>
      <c r="O18" s="3">
        <f>COUNTIF(RELATIONSHIPS!$B:$B,A18)+COUNTIF(RELATIONSHIPS!$C:$C,A18)</f>
        <v>5</v>
      </c>
    </row>
    <row r="19" spans="1:15" x14ac:dyDescent="0.3">
      <c r="A19" s="4" t="s">
        <v>76</v>
      </c>
      <c r="B19" s="4" t="s">
        <v>77</v>
      </c>
      <c r="C19" s="4" t="s">
        <v>78</v>
      </c>
      <c r="D19" s="4" t="s">
        <v>29</v>
      </c>
      <c r="E19" s="4" t="s">
        <v>19</v>
      </c>
      <c r="F19" s="4" t="s">
        <v>29</v>
      </c>
      <c r="G19" s="4" t="s">
        <v>20</v>
      </c>
      <c r="H19" s="4">
        <v>3</v>
      </c>
      <c r="I19" s="4"/>
      <c r="J19" s="4" t="s">
        <v>21</v>
      </c>
      <c r="K19" s="4" t="s">
        <v>22</v>
      </c>
      <c r="L19" s="4" t="s">
        <v>23</v>
      </c>
      <c r="M19" s="4" t="s">
        <v>24</v>
      </c>
      <c r="N19" s="4" t="s">
        <v>25</v>
      </c>
      <c r="O19" s="3">
        <f>COUNTIF(RELATIONSHIPS!$B:$B,A19)+COUNTIF(RELATIONSHIPS!$C:$C,A19)</f>
        <v>1</v>
      </c>
    </row>
    <row r="20" spans="1:15" ht="26.4" x14ac:dyDescent="0.3">
      <c r="A20" s="3" t="s">
        <v>79</v>
      </c>
      <c r="B20" s="3" t="s">
        <v>80</v>
      </c>
      <c r="C20" s="3" t="s">
        <v>81</v>
      </c>
      <c r="D20" s="3" t="s">
        <v>29</v>
      </c>
      <c r="E20" s="3" t="s">
        <v>19</v>
      </c>
      <c r="F20" s="3" t="s">
        <v>29</v>
      </c>
      <c r="G20" s="3" t="s">
        <v>20</v>
      </c>
      <c r="H20" s="3">
        <v>3</v>
      </c>
      <c r="I20" s="3"/>
      <c r="J20" s="3" t="s">
        <v>21</v>
      </c>
      <c r="K20" s="3" t="s">
        <v>22</v>
      </c>
      <c r="L20" s="3" t="s">
        <v>23</v>
      </c>
      <c r="M20" s="3" t="s">
        <v>24</v>
      </c>
      <c r="N20" s="3" t="s">
        <v>25</v>
      </c>
      <c r="O20" s="3">
        <f>COUNTIF(RELATIONSHIPS!$B:$B,A20)+COUNTIF(RELATIONSHIPS!$C:$C,A20)</f>
        <v>3</v>
      </c>
    </row>
    <row r="21" spans="1:15" x14ac:dyDescent="0.3">
      <c r="A21" s="4" t="s">
        <v>82</v>
      </c>
      <c r="B21" s="4" t="s">
        <v>83</v>
      </c>
      <c r="C21" s="4" t="s">
        <v>84</v>
      </c>
      <c r="D21" s="4" t="s">
        <v>29</v>
      </c>
      <c r="E21" s="4" t="s">
        <v>19</v>
      </c>
      <c r="F21" s="4" t="s">
        <v>29</v>
      </c>
      <c r="G21" s="4" t="s">
        <v>20</v>
      </c>
      <c r="H21" s="4">
        <v>3</v>
      </c>
      <c r="I21" s="4"/>
      <c r="J21" s="4" t="s">
        <v>21</v>
      </c>
      <c r="K21" s="4" t="s">
        <v>22</v>
      </c>
      <c r="L21" s="4" t="s">
        <v>23</v>
      </c>
      <c r="M21" s="4" t="s">
        <v>24</v>
      </c>
      <c r="N21" s="4" t="s">
        <v>25</v>
      </c>
      <c r="O21" s="3">
        <f>COUNTIF(RELATIONSHIPS!$B:$B,A21)+COUNTIF(RELATIONSHIPS!$C:$C,A21)</f>
        <v>1</v>
      </c>
    </row>
    <row r="22" spans="1:15" x14ac:dyDescent="0.3">
      <c r="A22" s="3" t="s">
        <v>85</v>
      </c>
      <c r="B22" s="3" t="s">
        <v>86</v>
      </c>
      <c r="C22" s="3" t="s">
        <v>87</v>
      </c>
      <c r="D22" s="3" t="s">
        <v>18</v>
      </c>
      <c r="E22" s="3" t="s">
        <v>19</v>
      </c>
      <c r="F22" s="3" t="s">
        <v>18</v>
      </c>
      <c r="G22" s="3" t="s">
        <v>88</v>
      </c>
      <c r="H22" s="3">
        <v>4</v>
      </c>
      <c r="I22" s="3">
        <v>5</v>
      </c>
      <c r="J22" s="3" t="s">
        <v>21</v>
      </c>
      <c r="K22" s="3" t="s">
        <v>22</v>
      </c>
      <c r="L22" s="3" t="s">
        <v>23</v>
      </c>
      <c r="M22" s="3" t="s">
        <v>24</v>
      </c>
      <c r="N22" s="3" t="s">
        <v>25</v>
      </c>
      <c r="O22" s="3">
        <f>COUNTIF(RELATIONSHIPS!$B:$B,A22)+COUNTIF(RELATIONSHIPS!$C:$C,A22)</f>
        <v>7</v>
      </c>
    </row>
    <row r="23" spans="1:15" x14ac:dyDescent="0.3">
      <c r="A23" s="4" t="s">
        <v>89</v>
      </c>
      <c r="B23" s="4" t="s">
        <v>90</v>
      </c>
      <c r="C23" s="4" t="s">
        <v>91</v>
      </c>
      <c r="D23" s="4" t="s">
        <v>29</v>
      </c>
      <c r="E23" s="4" t="s">
        <v>19</v>
      </c>
      <c r="F23" s="4" t="s">
        <v>29</v>
      </c>
      <c r="G23" s="4" t="s">
        <v>88</v>
      </c>
      <c r="H23" s="4">
        <v>4</v>
      </c>
      <c r="I23" s="4"/>
      <c r="J23" s="4" t="s">
        <v>21</v>
      </c>
      <c r="K23" s="4" t="s">
        <v>22</v>
      </c>
      <c r="L23" s="4" t="s">
        <v>23</v>
      </c>
      <c r="M23" s="4" t="s">
        <v>24</v>
      </c>
      <c r="N23" s="4" t="s">
        <v>25</v>
      </c>
      <c r="O23" s="3">
        <f>COUNTIF(RELATIONSHIPS!$B:$B,A23)+COUNTIF(RELATIONSHIPS!$C:$C,A23)</f>
        <v>2</v>
      </c>
    </row>
    <row r="24" spans="1:15" x14ac:dyDescent="0.3">
      <c r="A24" s="3" t="s">
        <v>92</v>
      </c>
      <c r="B24" s="3" t="s">
        <v>93</v>
      </c>
      <c r="C24" s="3" t="s">
        <v>94</v>
      </c>
      <c r="D24" s="3" t="s">
        <v>29</v>
      </c>
      <c r="E24" s="3" t="s">
        <v>19</v>
      </c>
      <c r="F24" s="3" t="s">
        <v>29</v>
      </c>
      <c r="G24" s="3" t="s">
        <v>88</v>
      </c>
      <c r="H24" s="3">
        <v>4</v>
      </c>
      <c r="I24" s="3"/>
      <c r="J24" s="3" t="s">
        <v>21</v>
      </c>
      <c r="K24" s="3" t="s">
        <v>22</v>
      </c>
      <c r="L24" s="3" t="s">
        <v>23</v>
      </c>
      <c r="M24" s="3" t="s">
        <v>24</v>
      </c>
      <c r="N24" s="3" t="s">
        <v>25</v>
      </c>
      <c r="O24" s="3">
        <f>COUNTIF(RELATIONSHIPS!$B:$B,A24)+COUNTIF(RELATIONSHIPS!$C:$C,A24)</f>
        <v>1</v>
      </c>
    </row>
    <row r="25" spans="1:15" ht="26.4" x14ac:dyDescent="0.3">
      <c r="A25" s="4" t="s">
        <v>95</v>
      </c>
      <c r="B25" s="4" t="s">
        <v>96</v>
      </c>
      <c r="C25" s="4" t="s">
        <v>97</v>
      </c>
      <c r="D25" s="4" t="s">
        <v>29</v>
      </c>
      <c r="E25" s="4" t="s">
        <v>19</v>
      </c>
      <c r="F25" s="4" t="s">
        <v>29</v>
      </c>
      <c r="G25" s="4" t="s">
        <v>88</v>
      </c>
      <c r="H25" s="4">
        <v>4</v>
      </c>
      <c r="I25" s="4"/>
      <c r="J25" s="4" t="s">
        <v>21</v>
      </c>
      <c r="K25" s="4" t="s">
        <v>22</v>
      </c>
      <c r="L25" s="4" t="s">
        <v>23</v>
      </c>
      <c r="M25" s="4" t="s">
        <v>24</v>
      </c>
      <c r="N25" s="4" t="s">
        <v>25</v>
      </c>
      <c r="O25" s="3">
        <f>COUNTIF(RELATIONSHIPS!$B:$B,A25)+COUNTIF(RELATIONSHIPS!$C:$C,A25)</f>
        <v>3</v>
      </c>
    </row>
    <row r="26" spans="1:15" ht="26.4" x14ac:dyDescent="0.3">
      <c r="A26" s="3" t="s">
        <v>98</v>
      </c>
      <c r="B26" s="3" t="s">
        <v>99</v>
      </c>
      <c r="C26" s="3" t="s">
        <v>100</v>
      </c>
      <c r="D26" s="3" t="s">
        <v>29</v>
      </c>
      <c r="E26" s="3" t="s">
        <v>19</v>
      </c>
      <c r="F26" s="3" t="s">
        <v>29</v>
      </c>
      <c r="G26" s="3" t="s">
        <v>88</v>
      </c>
      <c r="H26" s="3">
        <v>4</v>
      </c>
      <c r="I26" s="3"/>
      <c r="J26" s="3" t="s">
        <v>21</v>
      </c>
      <c r="K26" s="3" t="s">
        <v>22</v>
      </c>
      <c r="L26" s="3" t="s">
        <v>23</v>
      </c>
      <c r="M26" s="3" t="s">
        <v>24</v>
      </c>
      <c r="N26" s="3" t="s">
        <v>25</v>
      </c>
      <c r="O26" s="3">
        <f>COUNTIF(RELATIONSHIPS!$B:$B,A26)+COUNTIF(RELATIONSHIPS!$C:$C,A26)</f>
        <v>1</v>
      </c>
    </row>
    <row r="27" spans="1:15" x14ac:dyDescent="0.3">
      <c r="A27" s="4" t="s">
        <v>101</v>
      </c>
      <c r="B27" s="4" t="s">
        <v>102</v>
      </c>
      <c r="C27" s="4" t="s">
        <v>103</v>
      </c>
      <c r="D27" s="4" t="s">
        <v>29</v>
      </c>
      <c r="E27" s="4" t="s">
        <v>19</v>
      </c>
      <c r="F27" s="4" t="s">
        <v>29</v>
      </c>
      <c r="G27" s="4" t="s">
        <v>88</v>
      </c>
      <c r="H27" s="4">
        <v>4</v>
      </c>
      <c r="I27" s="4"/>
      <c r="J27" s="4" t="s">
        <v>21</v>
      </c>
      <c r="K27" s="4" t="s">
        <v>22</v>
      </c>
      <c r="L27" s="4" t="s">
        <v>23</v>
      </c>
      <c r="M27" s="4" t="s">
        <v>24</v>
      </c>
      <c r="N27" s="4" t="s">
        <v>25</v>
      </c>
      <c r="O27" s="3">
        <f>COUNTIF(RELATIONSHIPS!$B:$B,A27)+COUNTIF(RELATIONSHIPS!$C:$C,A27)</f>
        <v>2</v>
      </c>
    </row>
    <row r="28" spans="1:15" ht="26.4" x14ac:dyDescent="0.3">
      <c r="A28" s="3" t="s">
        <v>104</v>
      </c>
      <c r="B28" s="3" t="s">
        <v>105</v>
      </c>
      <c r="C28" s="3" t="s">
        <v>106</v>
      </c>
      <c r="D28" s="3" t="s">
        <v>18</v>
      </c>
      <c r="E28" s="3" t="s">
        <v>19</v>
      </c>
      <c r="F28" s="3" t="s">
        <v>18</v>
      </c>
      <c r="G28" s="3" t="s">
        <v>107</v>
      </c>
      <c r="H28" s="3">
        <v>5</v>
      </c>
      <c r="I28" s="3">
        <v>6</v>
      </c>
      <c r="J28" s="3" t="s">
        <v>21</v>
      </c>
      <c r="K28" s="3" t="s">
        <v>22</v>
      </c>
      <c r="L28" s="3" t="s">
        <v>23</v>
      </c>
      <c r="M28" s="3" t="s">
        <v>24</v>
      </c>
      <c r="N28" s="3" t="s">
        <v>25</v>
      </c>
      <c r="O28" s="3">
        <f>COUNTIF(RELATIONSHIPS!$B:$B,A28)+COUNTIF(RELATIONSHIPS!$C:$C,A28)</f>
        <v>16</v>
      </c>
    </row>
    <row r="29" spans="1:15" ht="26.4" x14ac:dyDescent="0.3">
      <c r="A29" s="4" t="s">
        <v>108</v>
      </c>
      <c r="B29" s="4" t="s">
        <v>109</v>
      </c>
      <c r="C29" s="4" t="s">
        <v>110</v>
      </c>
      <c r="D29" s="4" t="s">
        <v>18</v>
      </c>
      <c r="E29" s="4" t="s">
        <v>19</v>
      </c>
      <c r="F29" s="4" t="s">
        <v>18</v>
      </c>
      <c r="G29" s="4" t="s">
        <v>20</v>
      </c>
      <c r="H29" s="4">
        <v>6</v>
      </c>
      <c r="I29" s="4">
        <v>7</v>
      </c>
      <c r="J29" s="4" t="s">
        <v>21</v>
      </c>
      <c r="K29" s="4" t="s">
        <v>22</v>
      </c>
      <c r="L29" s="4" t="s">
        <v>23</v>
      </c>
      <c r="M29" s="4" t="s">
        <v>24</v>
      </c>
      <c r="N29" s="4" t="s">
        <v>25</v>
      </c>
      <c r="O29" s="3">
        <f>COUNTIF(RELATIONSHIPS!$B:$B,A29)+COUNTIF(RELATIONSHIPS!$C:$C,A29)</f>
        <v>5</v>
      </c>
    </row>
    <row r="30" spans="1:15" x14ac:dyDescent="0.3">
      <c r="A30" s="3" t="s">
        <v>111</v>
      </c>
      <c r="B30" s="3" t="s">
        <v>112</v>
      </c>
      <c r="C30" s="3" t="s">
        <v>113</v>
      </c>
      <c r="D30" s="3" t="s">
        <v>29</v>
      </c>
      <c r="E30" s="3" t="s">
        <v>19</v>
      </c>
      <c r="F30" s="3" t="s">
        <v>29</v>
      </c>
      <c r="G30" s="3" t="s">
        <v>20</v>
      </c>
      <c r="H30" s="3">
        <v>6</v>
      </c>
      <c r="I30" s="3"/>
      <c r="J30" s="3" t="s">
        <v>21</v>
      </c>
      <c r="K30" s="3" t="s">
        <v>22</v>
      </c>
      <c r="L30" s="3" t="s">
        <v>23</v>
      </c>
      <c r="M30" s="3" t="s">
        <v>24</v>
      </c>
      <c r="N30" s="3" t="s">
        <v>25</v>
      </c>
      <c r="O30" s="3">
        <f>COUNTIF(RELATIONSHIPS!$B:$B,A30)+COUNTIF(RELATIONSHIPS!$C:$C,A30)</f>
        <v>1</v>
      </c>
    </row>
    <row r="31" spans="1:15" x14ac:dyDescent="0.3">
      <c r="A31" s="4" t="s">
        <v>114</v>
      </c>
      <c r="B31" s="4" t="s">
        <v>115</v>
      </c>
      <c r="C31" s="4" t="s">
        <v>116</v>
      </c>
      <c r="D31" s="4" t="s">
        <v>29</v>
      </c>
      <c r="E31" s="4" t="s">
        <v>19</v>
      </c>
      <c r="F31" s="4" t="s">
        <v>29</v>
      </c>
      <c r="G31" s="4" t="s">
        <v>20</v>
      </c>
      <c r="H31" s="4">
        <v>6</v>
      </c>
      <c r="I31" s="4"/>
      <c r="J31" s="4" t="s">
        <v>21</v>
      </c>
      <c r="K31" s="4" t="s">
        <v>22</v>
      </c>
      <c r="L31" s="4" t="s">
        <v>23</v>
      </c>
      <c r="M31" s="4" t="s">
        <v>24</v>
      </c>
      <c r="N31" s="4" t="s">
        <v>25</v>
      </c>
      <c r="O31" s="3">
        <f>COUNTIF(RELATIONSHIPS!$B:$B,A31)+COUNTIF(RELATIONSHIPS!$C:$C,A31)</f>
        <v>3</v>
      </c>
    </row>
    <row r="32" spans="1:15" x14ac:dyDescent="0.3">
      <c r="A32" s="3" t="s">
        <v>117</v>
      </c>
      <c r="B32" s="3" t="s">
        <v>118</v>
      </c>
      <c r="C32" s="3" t="s">
        <v>119</v>
      </c>
      <c r="D32" s="3" t="s">
        <v>29</v>
      </c>
      <c r="E32" s="3" t="s">
        <v>19</v>
      </c>
      <c r="F32" s="3" t="s">
        <v>29</v>
      </c>
      <c r="G32" s="3" t="s">
        <v>20</v>
      </c>
      <c r="H32" s="3">
        <v>6</v>
      </c>
      <c r="I32" s="3"/>
      <c r="J32" s="3" t="s">
        <v>21</v>
      </c>
      <c r="K32" s="3" t="s">
        <v>22</v>
      </c>
      <c r="L32" s="3" t="s">
        <v>23</v>
      </c>
      <c r="M32" s="3" t="s">
        <v>24</v>
      </c>
      <c r="N32" s="3" t="s">
        <v>25</v>
      </c>
      <c r="O32" s="3">
        <f>COUNTIF(RELATIONSHIPS!$B:$B,A32)+COUNTIF(RELATIONSHIPS!$C:$C,A32)</f>
        <v>1</v>
      </c>
    </row>
    <row r="33" spans="1:15" x14ac:dyDescent="0.3">
      <c r="A33" s="4" t="s">
        <v>120</v>
      </c>
      <c r="B33" s="4" t="s">
        <v>121</v>
      </c>
      <c r="C33" s="4" t="s">
        <v>122</v>
      </c>
      <c r="D33" s="4" t="s">
        <v>29</v>
      </c>
      <c r="E33" s="4" t="s">
        <v>19</v>
      </c>
      <c r="F33" s="4" t="s">
        <v>29</v>
      </c>
      <c r="G33" s="4" t="s">
        <v>20</v>
      </c>
      <c r="H33" s="4">
        <v>6</v>
      </c>
      <c r="I33" s="4"/>
      <c r="J33" s="4" t="s">
        <v>21</v>
      </c>
      <c r="K33" s="4" t="s">
        <v>22</v>
      </c>
      <c r="L33" s="4" t="s">
        <v>23</v>
      </c>
      <c r="M33" s="4" t="s">
        <v>24</v>
      </c>
      <c r="N33" s="4" t="s">
        <v>25</v>
      </c>
      <c r="O33" s="3">
        <f>COUNTIF(RELATIONSHIPS!$B:$B,A33)+COUNTIF(RELATIONSHIPS!$C:$C,A33)</f>
        <v>1</v>
      </c>
    </row>
    <row r="34" spans="1:15" x14ac:dyDescent="0.3">
      <c r="A34" s="3" t="s">
        <v>123</v>
      </c>
      <c r="B34" s="3" t="s">
        <v>124</v>
      </c>
      <c r="C34" s="3" t="s">
        <v>125</v>
      </c>
      <c r="D34" s="3" t="s">
        <v>18</v>
      </c>
      <c r="E34" s="3" t="s">
        <v>19</v>
      </c>
      <c r="F34" s="3" t="s">
        <v>18</v>
      </c>
      <c r="G34" s="3" t="s">
        <v>20</v>
      </c>
      <c r="H34" s="3">
        <v>7</v>
      </c>
      <c r="I34" s="3">
        <v>8</v>
      </c>
      <c r="J34" s="3" t="s">
        <v>21</v>
      </c>
      <c r="K34" s="3" t="s">
        <v>22</v>
      </c>
      <c r="L34" s="3" t="s">
        <v>23</v>
      </c>
      <c r="M34" s="3" t="s">
        <v>24</v>
      </c>
      <c r="N34" s="3" t="s">
        <v>25</v>
      </c>
      <c r="O34" s="3">
        <f>COUNTIF(RELATIONSHIPS!$B:$B,A34)+COUNTIF(RELATIONSHIPS!$C:$C,A34)</f>
        <v>5</v>
      </c>
    </row>
    <row r="35" spans="1:15" x14ac:dyDescent="0.3">
      <c r="A35" s="4" t="s">
        <v>126</v>
      </c>
      <c r="B35" s="4" t="s">
        <v>127</v>
      </c>
      <c r="C35" s="4" t="s">
        <v>128</v>
      </c>
      <c r="D35" s="4" t="s">
        <v>29</v>
      </c>
      <c r="E35" s="4" t="s">
        <v>19</v>
      </c>
      <c r="F35" s="4" t="s">
        <v>29</v>
      </c>
      <c r="G35" s="4" t="s">
        <v>20</v>
      </c>
      <c r="H35" s="4">
        <v>7</v>
      </c>
      <c r="I35" s="4"/>
      <c r="J35" s="4" t="s">
        <v>21</v>
      </c>
      <c r="K35" s="4" t="s">
        <v>22</v>
      </c>
      <c r="L35" s="4" t="s">
        <v>23</v>
      </c>
      <c r="M35" s="4" t="s">
        <v>24</v>
      </c>
      <c r="N35" s="4" t="s">
        <v>25</v>
      </c>
      <c r="O35" s="3">
        <f>COUNTIF(RELATIONSHIPS!$B:$B,A35)+COUNTIF(RELATIONSHIPS!$C:$C,A35)</f>
        <v>1</v>
      </c>
    </row>
    <row r="36" spans="1:15" x14ac:dyDescent="0.3">
      <c r="A36" s="3" t="s">
        <v>129</v>
      </c>
      <c r="B36" s="3" t="s">
        <v>130</v>
      </c>
      <c r="C36" s="3" t="s">
        <v>131</v>
      </c>
      <c r="D36" s="3" t="s">
        <v>29</v>
      </c>
      <c r="E36" s="3" t="s">
        <v>19</v>
      </c>
      <c r="F36" s="3" t="s">
        <v>29</v>
      </c>
      <c r="G36" s="3" t="s">
        <v>20</v>
      </c>
      <c r="H36" s="3">
        <v>7</v>
      </c>
      <c r="I36" s="3"/>
      <c r="J36" s="3" t="s">
        <v>21</v>
      </c>
      <c r="K36" s="3" t="s">
        <v>22</v>
      </c>
      <c r="L36" s="3" t="s">
        <v>23</v>
      </c>
      <c r="M36" s="3" t="s">
        <v>24</v>
      </c>
      <c r="N36" s="3" t="s">
        <v>25</v>
      </c>
      <c r="O36" s="3">
        <f>COUNTIF(RELATIONSHIPS!$B:$B,A36)+COUNTIF(RELATIONSHIPS!$C:$C,A36)</f>
        <v>3</v>
      </c>
    </row>
    <row r="37" spans="1:15" x14ac:dyDescent="0.3">
      <c r="A37" s="4" t="s">
        <v>132</v>
      </c>
      <c r="B37" s="4" t="s">
        <v>133</v>
      </c>
      <c r="C37" s="4" t="s">
        <v>134</v>
      </c>
      <c r="D37" s="4" t="s">
        <v>29</v>
      </c>
      <c r="E37" s="4" t="s">
        <v>19</v>
      </c>
      <c r="F37" s="4" t="s">
        <v>29</v>
      </c>
      <c r="G37" s="4" t="s">
        <v>20</v>
      </c>
      <c r="H37" s="4">
        <v>7</v>
      </c>
      <c r="I37" s="4"/>
      <c r="J37" s="4" t="s">
        <v>21</v>
      </c>
      <c r="K37" s="4" t="s">
        <v>22</v>
      </c>
      <c r="L37" s="4" t="s">
        <v>23</v>
      </c>
      <c r="M37" s="4" t="s">
        <v>24</v>
      </c>
      <c r="N37" s="4" t="s">
        <v>25</v>
      </c>
      <c r="O37" s="3">
        <f>COUNTIF(RELATIONSHIPS!$B:$B,A37)+COUNTIF(RELATIONSHIPS!$C:$C,A37)</f>
        <v>2</v>
      </c>
    </row>
    <row r="38" spans="1:15" x14ac:dyDescent="0.3">
      <c r="A38" s="3" t="s">
        <v>135</v>
      </c>
      <c r="B38" s="3" t="s">
        <v>136</v>
      </c>
      <c r="C38" s="3" t="s">
        <v>137</v>
      </c>
      <c r="D38" s="3" t="s">
        <v>29</v>
      </c>
      <c r="E38" s="3" t="s">
        <v>19</v>
      </c>
      <c r="F38" s="3" t="s">
        <v>29</v>
      </c>
      <c r="G38" s="3" t="s">
        <v>20</v>
      </c>
      <c r="H38" s="3">
        <v>7</v>
      </c>
      <c r="I38" s="3"/>
      <c r="J38" s="3" t="s">
        <v>21</v>
      </c>
      <c r="K38" s="3" t="s">
        <v>22</v>
      </c>
      <c r="L38" s="3" t="s">
        <v>23</v>
      </c>
      <c r="M38" s="3" t="s">
        <v>24</v>
      </c>
      <c r="N38" s="3" t="s">
        <v>25</v>
      </c>
      <c r="O38" s="3">
        <f>COUNTIF(RELATIONSHIPS!$B:$B,A38)+COUNTIF(RELATIONSHIPS!$C:$C,A38)</f>
        <v>1</v>
      </c>
    </row>
    <row r="39" spans="1:15" x14ac:dyDescent="0.3">
      <c r="A39" s="4" t="s">
        <v>138</v>
      </c>
      <c r="B39" s="4" t="s">
        <v>139</v>
      </c>
      <c r="C39" s="4" t="s">
        <v>140</v>
      </c>
      <c r="D39" s="4" t="s">
        <v>18</v>
      </c>
      <c r="E39" s="4" t="s">
        <v>19</v>
      </c>
      <c r="F39" s="4" t="s">
        <v>18</v>
      </c>
      <c r="G39" s="4" t="s">
        <v>107</v>
      </c>
      <c r="H39" s="4">
        <v>8</v>
      </c>
      <c r="I39" s="4">
        <v>9</v>
      </c>
      <c r="J39" s="4" t="s">
        <v>21</v>
      </c>
      <c r="K39" s="4" t="s">
        <v>22</v>
      </c>
      <c r="L39" s="4" t="s">
        <v>23</v>
      </c>
      <c r="M39" s="4" t="s">
        <v>24</v>
      </c>
      <c r="N39" s="4" t="s">
        <v>25</v>
      </c>
      <c r="O39" s="3">
        <f>COUNTIF(RELATIONSHIPS!$B:$B,A39)+COUNTIF(RELATIONSHIPS!$C:$C,A39)</f>
        <v>10</v>
      </c>
    </row>
    <row r="40" spans="1:15" x14ac:dyDescent="0.3">
      <c r="A40" s="3" t="s">
        <v>141</v>
      </c>
      <c r="B40" s="3" t="s">
        <v>142</v>
      </c>
      <c r="C40" s="3" t="s">
        <v>143</v>
      </c>
      <c r="D40" s="3" t="s">
        <v>18</v>
      </c>
      <c r="E40" s="3" t="s">
        <v>19</v>
      </c>
      <c r="F40" s="3" t="s">
        <v>18</v>
      </c>
      <c r="G40" s="3" t="s">
        <v>54</v>
      </c>
      <c r="H40" s="3">
        <v>9</v>
      </c>
      <c r="I40" s="3">
        <v>10</v>
      </c>
      <c r="J40" s="3" t="s">
        <v>21</v>
      </c>
      <c r="K40" s="3" t="s">
        <v>22</v>
      </c>
      <c r="L40" s="3" t="s">
        <v>23</v>
      </c>
      <c r="M40" s="3" t="s">
        <v>24</v>
      </c>
      <c r="N40" s="3" t="s">
        <v>25</v>
      </c>
      <c r="O40" s="3">
        <f>COUNTIF(RELATIONSHIPS!$B:$B,A40)+COUNTIF(RELATIONSHIPS!$C:$C,A40)</f>
        <v>4</v>
      </c>
    </row>
    <row r="41" spans="1:15" x14ac:dyDescent="0.3">
      <c r="A41" s="4" t="s">
        <v>144</v>
      </c>
      <c r="B41" s="4" t="s">
        <v>145</v>
      </c>
      <c r="C41" s="4" t="s">
        <v>146</v>
      </c>
      <c r="D41" s="4" t="s">
        <v>18</v>
      </c>
      <c r="E41" s="4" t="s">
        <v>19</v>
      </c>
      <c r="F41" s="4" t="s">
        <v>18</v>
      </c>
      <c r="G41" s="4" t="s">
        <v>20</v>
      </c>
      <c r="H41" s="4">
        <v>10</v>
      </c>
      <c r="I41" s="4">
        <v>11</v>
      </c>
      <c r="J41" s="4" t="s">
        <v>21</v>
      </c>
      <c r="K41" s="4" t="s">
        <v>22</v>
      </c>
      <c r="L41" s="4" t="s">
        <v>23</v>
      </c>
      <c r="M41" s="4" t="s">
        <v>24</v>
      </c>
      <c r="N41" s="4" t="s">
        <v>25</v>
      </c>
      <c r="O41" s="3">
        <f>COUNTIF(RELATIONSHIPS!$B:$B,A41)+COUNTIF(RELATIONSHIPS!$C:$C,A41)</f>
        <v>4</v>
      </c>
    </row>
    <row r="42" spans="1:15" x14ac:dyDescent="0.3">
      <c r="A42" s="3" t="s">
        <v>147</v>
      </c>
      <c r="B42" s="3" t="s">
        <v>148</v>
      </c>
      <c r="C42" s="3" t="s">
        <v>149</v>
      </c>
      <c r="D42" s="3" t="s">
        <v>29</v>
      </c>
      <c r="E42" s="3" t="s">
        <v>19</v>
      </c>
      <c r="F42" s="3" t="s">
        <v>29</v>
      </c>
      <c r="G42" s="3" t="s">
        <v>20</v>
      </c>
      <c r="H42" s="3">
        <v>10</v>
      </c>
      <c r="I42" s="3"/>
      <c r="J42" s="3" t="s">
        <v>21</v>
      </c>
      <c r="K42" s="3" t="s">
        <v>22</v>
      </c>
      <c r="L42" s="3" t="s">
        <v>23</v>
      </c>
      <c r="M42" s="3" t="s">
        <v>24</v>
      </c>
      <c r="N42" s="3" t="s">
        <v>25</v>
      </c>
      <c r="O42" s="3">
        <f>COUNTIF(RELATIONSHIPS!$B:$B,A42)+COUNTIF(RELATIONSHIPS!$C:$C,A42)</f>
        <v>1</v>
      </c>
    </row>
    <row r="43" spans="1:15" x14ac:dyDescent="0.3">
      <c r="A43" s="4" t="s">
        <v>150</v>
      </c>
      <c r="B43" s="4" t="s">
        <v>151</v>
      </c>
      <c r="C43" s="4" t="s">
        <v>152</v>
      </c>
      <c r="D43" s="4" t="s">
        <v>29</v>
      </c>
      <c r="E43" s="4" t="s">
        <v>19</v>
      </c>
      <c r="F43" s="4" t="s">
        <v>29</v>
      </c>
      <c r="G43" s="4" t="s">
        <v>20</v>
      </c>
      <c r="H43" s="4">
        <v>10</v>
      </c>
      <c r="I43" s="4"/>
      <c r="J43" s="4" t="s">
        <v>21</v>
      </c>
      <c r="K43" s="4" t="s">
        <v>22</v>
      </c>
      <c r="L43" s="4" t="s">
        <v>23</v>
      </c>
      <c r="M43" s="4" t="s">
        <v>24</v>
      </c>
      <c r="N43" s="4" t="s">
        <v>25</v>
      </c>
      <c r="O43" s="3">
        <f>COUNTIF(RELATIONSHIPS!$B:$B,A43)+COUNTIF(RELATIONSHIPS!$C:$C,A43)</f>
        <v>2</v>
      </c>
    </row>
    <row r="44" spans="1:15" x14ac:dyDescent="0.3">
      <c r="A44" s="3" t="s">
        <v>153</v>
      </c>
      <c r="B44" s="3" t="s">
        <v>154</v>
      </c>
      <c r="C44" s="3" t="s">
        <v>155</v>
      </c>
      <c r="D44" s="3" t="s">
        <v>29</v>
      </c>
      <c r="E44" s="3" t="s">
        <v>19</v>
      </c>
      <c r="F44" s="3" t="s">
        <v>29</v>
      </c>
      <c r="G44" s="3" t="s">
        <v>20</v>
      </c>
      <c r="H44" s="3">
        <v>10</v>
      </c>
      <c r="I44" s="3"/>
      <c r="J44" s="3" t="s">
        <v>21</v>
      </c>
      <c r="K44" s="3" t="s">
        <v>22</v>
      </c>
      <c r="L44" s="3" t="s">
        <v>23</v>
      </c>
      <c r="M44" s="3" t="s">
        <v>24</v>
      </c>
      <c r="N44" s="3" t="s">
        <v>25</v>
      </c>
      <c r="O44" s="3">
        <f>COUNTIF(RELATIONSHIPS!$B:$B,A44)+COUNTIF(RELATIONSHIPS!$C:$C,A44)</f>
        <v>1</v>
      </c>
    </row>
    <row r="45" spans="1:15" x14ac:dyDescent="0.3">
      <c r="A45" s="4" t="s">
        <v>156</v>
      </c>
      <c r="B45" s="4" t="s">
        <v>157</v>
      </c>
      <c r="C45" s="4" t="s">
        <v>158</v>
      </c>
      <c r="D45" s="4" t="s">
        <v>18</v>
      </c>
      <c r="E45" s="4" t="s">
        <v>19</v>
      </c>
      <c r="F45" s="4" t="s">
        <v>18</v>
      </c>
      <c r="G45" s="4" t="s">
        <v>88</v>
      </c>
      <c r="H45" s="4">
        <v>11</v>
      </c>
      <c r="I45" s="4">
        <v>12</v>
      </c>
      <c r="J45" s="4" t="s">
        <v>21</v>
      </c>
      <c r="K45" s="4" t="s">
        <v>22</v>
      </c>
      <c r="L45" s="4" t="s">
        <v>23</v>
      </c>
      <c r="M45" s="4" t="s">
        <v>24</v>
      </c>
      <c r="N45" s="4" t="s">
        <v>25</v>
      </c>
      <c r="O45" s="3">
        <f>COUNTIF(RELATIONSHIPS!$B:$B,A45)+COUNTIF(RELATIONSHIPS!$C:$C,A45)</f>
        <v>5</v>
      </c>
    </row>
    <row r="46" spans="1:15" x14ac:dyDescent="0.3">
      <c r="A46" s="3" t="s">
        <v>159</v>
      </c>
      <c r="B46" s="3" t="s">
        <v>160</v>
      </c>
      <c r="C46" s="3" t="s">
        <v>161</v>
      </c>
      <c r="D46" s="3" t="s">
        <v>29</v>
      </c>
      <c r="E46" s="3" t="s">
        <v>19</v>
      </c>
      <c r="F46" s="3" t="s">
        <v>29</v>
      </c>
      <c r="G46" s="3" t="s">
        <v>88</v>
      </c>
      <c r="H46" s="3">
        <v>11</v>
      </c>
      <c r="I46" s="3"/>
      <c r="J46" s="3" t="s">
        <v>21</v>
      </c>
      <c r="K46" s="3" t="s">
        <v>22</v>
      </c>
      <c r="L46" s="3" t="s">
        <v>23</v>
      </c>
      <c r="M46" s="3" t="s">
        <v>24</v>
      </c>
      <c r="N46" s="3" t="s">
        <v>25</v>
      </c>
      <c r="O46" s="3">
        <f>COUNTIF(RELATIONSHIPS!$B:$B,A46)+COUNTIF(RELATIONSHIPS!$C:$C,A46)</f>
        <v>1</v>
      </c>
    </row>
    <row r="47" spans="1:15" x14ac:dyDescent="0.3">
      <c r="A47" s="4" t="s">
        <v>162</v>
      </c>
      <c r="B47" s="4" t="s">
        <v>163</v>
      </c>
      <c r="C47" s="4" t="s">
        <v>164</v>
      </c>
      <c r="D47" s="4" t="s">
        <v>29</v>
      </c>
      <c r="E47" s="4" t="s">
        <v>19</v>
      </c>
      <c r="F47" s="4" t="s">
        <v>29</v>
      </c>
      <c r="G47" s="4" t="s">
        <v>88</v>
      </c>
      <c r="H47" s="4">
        <v>11</v>
      </c>
      <c r="I47" s="4"/>
      <c r="J47" s="4" t="s">
        <v>21</v>
      </c>
      <c r="K47" s="4" t="s">
        <v>22</v>
      </c>
      <c r="L47" s="4" t="s">
        <v>23</v>
      </c>
      <c r="M47" s="4" t="s">
        <v>24</v>
      </c>
      <c r="N47" s="4" t="s">
        <v>25</v>
      </c>
      <c r="O47" s="3">
        <f>COUNTIF(RELATIONSHIPS!$B:$B,A47)+COUNTIF(RELATIONSHIPS!$C:$C,A47)</f>
        <v>2</v>
      </c>
    </row>
    <row r="48" spans="1:15" x14ac:dyDescent="0.3">
      <c r="A48" s="3" t="s">
        <v>165</v>
      </c>
      <c r="B48" s="3" t="s">
        <v>166</v>
      </c>
      <c r="C48" s="3" t="s">
        <v>167</v>
      </c>
      <c r="D48" s="3" t="s">
        <v>29</v>
      </c>
      <c r="E48" s="3" t="s">
        <v>19</v>
      </c>
      <c r="F48" s="3" t="s">
        <v>29</v>
      </c>
      <c r="G48" s="3" t="s">
        <v>88</v>
      </c>
      <c r="H48" s="3">
        <v>11</v>
      </c>
      <c r="I48" s="3"/>
      <c r="J48" s="3" t="s">
        <v>21</v>
      </c>
      <c r="K48" s="3" t="s">
        <v>22</v>
      </c>
      <c r="L48" s="3" t="s">
        <v>23</v>
      </c>
      <c r="M48" s="3" t="s">
        <v>24</v>
      </c>
      <c r="N48" s="3" t="s">
        <v>25</v>
      </c>
      <c r="O48" s="3">
        <f>COUNTIF(RELATIONSHIPS!$B:$B,A48)+COUNTIF(RELATIONSHIPS!$C:$C,A48)</f>
        <v>1</v>
      </c>
    </row>
    <row r="49" spans="1:15" x14ac:dyDescent="0.3">
      <c r="A49" s="4" t="s">
        <v>168</v>
      </c>
      <c r="B49" s="4" t="s">
        <v>169</v>
      </c>
      <c r="C49" s="4" t="s">
        <v>170</v>
      </c>
      <c r="D49" s="4" t="s">
        <v>29</v>
      </c>
      <c r="E49" s="4" t="s">
        <v>19</v>
      </c>
      <c r="F49" s="4" t="s">
        <v>29</v>
      </c>
      <c r="G49" s="4" t="s">
        <v>88</v>
      </c>
      <c r="H49" s="4">
        <v>11</v>
      </c>
      <c r="I49" s="4"/>
      <c r="J49" s="4" t="s">
        <v>21</v>
      </c>
      <c r="K49" s="4" t="s">
        <v>22</v>
      </c>
      <c r="L49" s="4" t="s">
        <v>23</v>
      </c>
      <c r="M49" s="4" t="s">
        <v>24</v>
      </c>
      <c r="N49" s="4" t="s">
        <v>25</v>
      </c>
      <c r="O49" s="3">
        <f>COUNTIF(RELATIONSHIPS!$B:$B,A49)+COUNTIF(RELATIONSHIPS!$C:$C,A49)</f>
        <v>1</v>
      </c>
    </row>
    <row r="50" spans="1:15" x14ac:dyDescent="0.3">
      <c r="A50" s="3" t="s">
        <v>171</v>
      </c>
      <c r="B50" s="3" t="s">
        <v>172</v>
      </c>
      <c r="C50" s="3" t="s">
        <v>173</v>
      </c>
      <c r="D50" s="3" t="s">
        <v>18</v>
      </c>
      <c r="E50" s="3" t="s">
        <v>19</v>
      </c>
      <c r="F50" s="3" t="s">
        <v>18</v>
      </c>
      <c r="G50" s="3" t="s">
        <v>54</v>
      </c>
      <c r="H50" s="3">
        <v>12</v>
      </c>
      <c r="I50" s="3">
        <v>13</v>
      </c>
      <c r="J50" s="3" t="s">
        <v>21</v>
      </c>
      <c r="K50" s="3" t="s">
        <v>22</v>
      </c>
      <c r="L50" s="3" t="s">
        <v>23</v>
      </c>
      <c r="M50" s="3" t="s">
        <v>24</v>
      </c>
      <c r="N50" s="3" t="s">
        <v>25</v>
      </c>
      <c r="O50" s="3">
        <f>COUNTIF(RELATIONSHIPS!$B:$B,A50)+COUNTIF(RELATIONSHIPS!$C:$C,A50)</f>
        <v>7</v>
      </c>
    </row>
    <row r="51" spans="1:15" x14ac:dyDescent="0.3">
      <c r="A51" s="4" t="s">
        <v>174</v>
      </c>
      <c r="B51" s="4" t="s">
        <v>175</v>
      </c>
      <c r="C51" s="4" t="s">
        <v>176</v>
      </c>
      <c r="D51" s="4" t="s">
        <v>177</v>
      </c>
      <c r="E51" s="4" t="s">
        <v>19</v>
      </c>
      <c r="F51" s="4" t="s">
        <v>177</v>
      </c>
      <c r="G51" s="4" t="s">
        <v>20</v>
      </c>
      <c r="H51" s="4">
        <v>0</v>
      </c>
      <c r="I51" s="4">
        <v>1</v>
      </c>
      <c r="J51" s="4" t="s">
        <v>21</v>
      </c>
      <c r="K51" s="4" t="s">
        <v>22</v>
      </c>
      <c r="L51" s="4" t="s">
        <v>23</v>
      </c>
      <c r="M51" s="4" t="s">
        <v>24</v>
      </c>
      <c r="N51" s="4" t="s">
        <v>178</v>
      </c>
      <c r="O51" s="3">
        <f>COUNTIF(RELATIONSHIPS!$B:$B,A51)+COUNTIF(RELATIONSHIPS!$C:$C,A51)</f>
        <v>19</v>
      </c>
    </row>
    <row r="52" spans="1:15" x14ac:dyDescent="0.3">
      <c r="A52" s="3" t="s">
        <v>179</v>
      </c>
      <c r="B52" s="3" t="s">
        <v>40</v>
      </c>
      <c r="C52" s="3" t="s">
        <v>180</v>
      </c>
      <c r="D52" s="3" t="s">
        <v>177</v>
      </c>
      <c r="E52" s="3" t="s">
        <v>19</v>
      </c>
      <c r="F52" s="3" t="s">
        <v>177</v>
      </c>
      <c r="G52" s="3" t="s">
        <v>20</v>
      </c>
      <c r="H52" s="3">
        <v>1</v>
      </c>
      <c r="I52" s="3">
        <v>2</v>
      </c>
      <c r="J52" s="3" t="s">
        <v>21</v>
      </c>
      <c r="K52" s="3" t="s">
        <v>22</v>
      </c>
      <c r="L52" s="3" t="s">
        <v>23</v>
      </c>
      <c r="M52" s="3" t="s">
        <v>24</v>
      </c>
      <c r="N52" s="3" t="s">
        <v>178</v>
      </c>
      <c r="O52" s="3">
        <f>COUNTIF(RELATIONSHIPS!$B:$B,A52)+COUNTIF(RELATIONSHIPS!$C:$C,A52)</f>
        <v>19</v>
      </c>
    </row>
    <row r="53" spans="1:15" ht="26.4" x14ac:dyDescent="0.3">
      <c r="A53" s="4" t="s">
        <v>181</v>
      </c>
      <c r="B53" s="4" t="s">
        <v>182</v>
      </c>
      <c r="C53" s="4" t="s">
        <v>183</v>
      </c>
      <c r="D53" s="4" t="s">
        <v>177</v>
      </c>
      <c r="E53" s="4" t="s">
        <v>19</v>
      </c>
      <c r="F53" s="4" t="s">
        <v>177</v>
      </c>
      <c r="G53" s="4" t="s">
        <v>54</v>
      </c>
      <c r="H53" s="4">
        <v>2</v>
      </c>
      <c r="I53" s="4">
        <v>3</v>
      </c>
      <c r="J53" s="4" t="s">
        <v>21</v>
      </c>
      <c r="K53" s="4" t="s">
        <v>22</v>
      </c>
      <c r="L53" s="4" t="s">
        <v>23</v>
      </c>
      <c r="M53" s="4" t="s">
        <v>24</v>
      </c>
      <c r="N53" s="4" t="s">
        <v>178</v>
      </c>
      <c r="O53" s="3">
        <f>COUNTIF(RELATIONSHIPS!$B:$B,A53)+COUNTIF(RELATIONSHIPS!$C:$C,A53)</f>
        <v>19</v>
      </c>
    </row>
    <row r="54" spans="1:15" x14ac:dyDescent="0.3">
      <c r="A54" s="3" t="s">
        <v>184</v>
      </c>
      <c r="B54" s="3" t="s">
        <v>185</v>
      </c>
      <c r="C54" s="3" t="s">
        <v>186</v>
      </c>
      <c r="D54" s="3" t="s">
        <v>177</v>
      </c>
      <c r="E54" s="3" t="s">
        <v>19</v>
      </c>
      <c r="F54" s="3" t="s">
        <v>177</v>
      </c>
      <c r="G54" s="3" t="s">
        <v>88</v>
      </c>
      <c r="H54" s="3">
        <v>4</v>
      </c>
      <c r="I54" s="3">
        <v>5</v>
      </c>
      <c r="J54" s="3" t="s">
        <v>21</v>
      </c>
      <c r="K54" s="3" t="s">
        <v>22</v>
      </c>
      <c r="L54" s="3" t="s">
        <v>23</v>
      </c>
      <c r="M54" s="3" t="s">
        <v>24</v>
      </c>
      <c r="N54" s="3" t="s">
        <v>178</v>
      </c>
      <c r="O54" s="3">
        <f>COUNTIF(RELATIONSHIPS!$B:$B,A54)+COUNTIF(RELATIONSHIPS!$C:$C,A54)</f>
        <v>22</v>
      </c>
    </row>
    <row r="55" spans="1:15" x14ac:dyDescent="0.3">
      <c r="A55" s="4" t="s">
        <v>187</v>
      </c>
      <c r="B55" s="4" t="s">
        <v>188</v>
      </c>
      <c r="C55" s="4" t="s">
        <v>189</v>
      </c>
      <c r="D55" s="4" t="s">
        <v>177</v>
      </c>
      <c r="E55" s="4" t="s">
        <v>19</v>
      </c>
      <c r="F55" s="4" t="s">
        <v>177</v>
      </c>
      <c r="G55" s="4" t="s">
        <v>20</v>
      </c>
      <c r="H55" s="4">
        <v>3</v>
      </c>
      <c r="I55" s="4">
        <v>4</v>
      </c>
      <c r="J55" s="4" t="s">
        <v>21</v>
      </c>
      <c r="K55" s="4" t="s">
        <v>22</v>
      </c>
      <c r="L55" s="4" t="s">
        <v>23</v>
      </c>
      <c r="M55" s="4" t="s">
        <v>24</v>
      </c>
      <c r="N55" s="4" t="s">
        <v>178</v>
      </c>
      <c r="O55" s="3">
        <f>COUNTIF(RELATIONSHIPS!$B:$B,A55)+COUNTIF(RELATIONSHIPS!$C:$C,A55)</f>
        <v>12</v>
      </c>
    </row>
    <row r="56" spans="1:15" x14ac:dyDescent="0.3">
      <c r="A56" s="3" t="s">
        <v>190</v>
      </c>
      <c r="B56" s="3" t="s">
        <v>191</v>
      </c>
      <c r="C56" s="3" t="s">
        <v>192</v>
      </c>
      <c r="D56" s="3" t="s">
        <v>177</v>
      </c>
      <c r="E56" s="3" t="s">
        <v>19</v>
      </c>
      <c r="F56" s="3" t="s">
        <v>177</v>
      </c>
      <c r="G56" s="3" t="s">
        <v>20</v>
      </c>
      <c r="H56" s="3">
        <v>6</v>
      </c>
      <c r="I56" s="3">
        <v>7</v>
      </c>
      <c r="J56" s="3" t="s">
        <v>21</v>
      </c>
      <c r="K56" s="3" t="s">
        <v>22</v>
      </c>
      <c r="L56" s="3" t="s">
        <v>23</v>
      </c>
      <c r="M56" s="3" t="s">
        <v>24</v>
      </c>
      <c r="N56" s="3" t="s">
        <v>178</v>
      </c>
      <c r="O56" s="3">
        <f>COUNTIF(RELATIONSHIPS!$B:$B,A56)+COUNTIF(RELATIONSHIPS!$C:$C,A56)</f>
        <v>12</v>
      </c>
    </row>
    <row r="57" spans="1:15" x14ac:dyDescent="0.3">
      <c r="A57" t="s">
        <v>516</v>
      </c>
      <c r="B57" t="s">
        <v>517</v>
      </c>
      <c r="C57" t="s">
        <v>518</v>
      </c>
      <c r="D57" t="s">
        <v>519</v>
      </c>
      <c r="E57" t="s">
        <v>19</v>
      </c>
      <c r="F57" t="s">
        <v>519</v>
      </c>
      <c r="I57">
        <v>4</v>
      </c>
      <c r="J57" t="s">
        <v>21</v>
      </c>
      <c r="K57" t="s">
        <v>22</v>
      </c>
      <c r="L57" t="s">
        <v>520</v>
      </c>
      <c r="M57" t="s">
        <v>24</v>
      </c>
      <c r="N57" t="s">
        <v>25</v>
      </c>
      <c r="O57" s="3">
        <f>COUNTIF(RELATIONSHIPS!$B:$B,A57)+COUNTIF(RELATIONSHIPS!$C:$C,A57)</f>
        <v>16</v>
      </c>
    </row>
    <row r="58" spans="1:15" x14ac:dyDescent="0.3">
      <c r="A58" t="s">
        <v>521</v>
      </c>
      <c r="B58" t="s">
        <v>522</v>
      </c>
      <c r="C58" t="s">
        <v>523</v>
      </c>
      <c r="D58" t="s">
        <v>519</v>
      </c>
      <c r="E58" t="s">
        <v>19</v>
      </c>
      <c r="F58" t="s">
        <v>519</v>
      </c>
      <c r="I58">
        <v>5</v>
      </c>
      <c r="J58" t="s">
        <v>21</v>
      </c>
      <c r="K58" t="s">
        <v>22</v>
      </c>
      <c r="L58" t="s">
        <v>520</v>
      </c>
      <c r="M58" t="s">
        <v>24</v>
      </c>
      <c r="N58" t="s">
        <v>25</v>
      </c>
      <c r="O58" s="3">
        <f>COUNTIF(RELATIONSHIPS!$B:$B,A58)+COUNTIF(RELATIONSHIPS!$C:$C,A58)</f>
        <v>15</v>
      </c>
    </row>
    <row r="59" spans="1:15" x14ac:dyDescent="0.3">
      <c r="A59" t="s">
        <v>524</v>
      </c>
      <c r="B59" t="s">
        <v>525</v>
      </c>
      <c r="C59" t="s">
        <v>526</v>
      </c>
      <c r="D59" t="s">
        <v>527</v>
      </c>
      <c r="E59" t="s">
        <v>19</v>
      </c>
      <c r="F59" t="s">
        <v>527</v>
      </c>
      <c r="I59">
        <v>6</v>
      </c>
      <c r="J59" t="s">
        <v>21</v>
      </c>
      <c r="K59" t="s">
        <v>22</v>
      </c>
      <c r="L59" t="s">
        <v>528</v>
      </c>
      <c r="M59" t="s">
        <v>24</v>
      </c>
      <c r="N59" t="s">
        <v>25</v>
      </c>
      <c r="O59" s="3">
        <f>COUNTIF(RELATIONSHIPS!$B:$B,A59)+COUNTIF(RELATIONSHIPS!$C:$C,A59)</f>
        <v>8</v>
      </c>
    </row>
    <row r="60" spans="1:15" x14ac:dyDescent="0.3">
      <c r="A60" t="s">
        <v>529</v>
      </c>
      <c r="B60" t="s">
        <v>530</v>
      </c>
      <c r="C60" t="s">
        <v>531</v>
      </c>
      <c r="D60" t="s">
        <v>527</v>
      </c>
      <c r="E60" t="s">
        <v>19</v>
      </c>
      <c r="F60" t="s">
        <v>527</v>
      </c>
      <c r="I60">
        <v>7</v>
      </c>
      <c r="J60" t="s">
        <v>21</v>
      </c>
      <c r="K60" t="s">
        <v>22</v>
      </c>
      <c r="L60" t="s">
        <v>528</v>
      </c>
      <c r="M60" t="s">
        <v>24</v>
      </c>
      <c r="N60" t="s">
        <v>25</v>
      </c>
      <c r="O60" s="3">
        <f>COUNTIF(RELATIONSHIPS!$B:$B,A60)+COUNTIF(RELATIONSHIPS!$C:$C,A60)</f>
        <v>8</v>
      </c>
    </row>
    <row r="61" spans="1:15" x14ac:dyDescent="0.3">
      <c r="A61" t="s">
        <v>532</v>
      </c>
      <c r="B61" t="s">
        <v>533</v>
      </c>
      <c r="C61" t="s">
        <v>534</v>
      </c>
      <c r="D61" t="s">
        <v>535</v>
      </c>
      <c r="E61" t="s">
        <v>19</v>
      </c>
      <c r="F61" t="s">
        <v>535</v>
      </c>
      <c r="I61">
        <v>8</v>
      </c>
      <c r="J61" t="s">
        <v>21</v>
      </c>
      <c r="K61" t="s">
        <v>22</v>
      </c>
      <c r="L61" t="s">
        <v>536</v>
      </c>
      <c r="M61" t="s">
        <v>24</v>
      </c>
      <c r="N61" t="s">
        <v>25</v>
      </c>
      <c r="O61" s="3">
        <f>COUNTIF(RELATIONSHIPS!$B:$B,A61)+COUNTIF(RELATIONSHIPS!$C:$C,A61)</f>
        <v>17</v>
      </c>
    </row>
    <row r="62" spans="1:15" x14ac:dyDescent="0.3">
      <c r="A62" t="s">
        <v>537</v>
      </c>
      <c r="B62" t="s">
        <v>538</v>
      </c>
      <c r="C62" t="s">
        <v>539</v>
      </c>
      <c r="D62" t="s">
        <v>519</v>
      </c>
      <c r="E62" t="s">
        <v>19</v>
      </c>
      <c r="F62" t="s">
        <v>519</v>
      </c>
      <c r="I62">
        <v>8</v>
      </c>
      <c r="J62" t="s">
        <v>21</v>
      </c>
      <c r="K62" t="s">
        <v>22</v>
      </c>
      <c r="L62" t="s">
        <v>540</v>
      </c>
      <c r="M62" t="s">
        <v>24</v>
      </c>
      <c r="N62" t="s">
        <v>25</v>
      </c>
      <c r="O62" s="3">
        <f>COUNTIF(RELATIONSHIPS!$B:$B,A62)+COUNTIF(RELATIONSHIPS!$C:$C,A62)</f>
        <v>11</v>
      </c>
    </row>
    <row r="63" spans="1:15" x14ac:dyDescent="0.3">
      <c r="A63" t="s">
        <v>541</v>
      </c>
      <c r="B63" t="s">
        <v>542</v>
      </c>
      <c r="C63" t="s">
        <v>543</v>
      </c>
      <c r="D63" t="s">
        <v>519</v>
      </c>
      <c r="E63" t="s">
        <v>19</v>
      </c>
      <c r="F63" t="s">
        <v>519</v>
      </c>
      <c r="I63">
        <v>9</v>
      </c>
      <c r="J63" t="s">
        <v>21</v>
      </c>
      <c r="K63" t="s">
        <v>22</v>
      </c>
      <c r="L63" t="s">
        <v>544</v>
      </c>
      <c r="M63" t="s">
        <v>24</v>
      </c>
      <c r="N63" t="s">
        <v>25</v>
      </c>
      <c r="O63" s="3">
        <f>COUNTIF(RELATIONSHIPS!$B:$B,A63)+COUNTIF(RELATIONSHIPS!$C:$C,A63)</f>
        <v>11</v>
      </c>
    </row>
    <row r="64" spans="1:15" x14ac:dyDescent="0.3">
      <c r="A64" t="s">
        <v>545</v>
      </c>
      <c r="B64" t="s">
        <v>546</v>
      </c>
      <c r="C64" t="s">
        <v>547</v>
      </c>
      <c r="D64" t="s">
        <v>548</v>
      </c>
      <c r="E64" t="s">
        <v>19</v>
      </c>
      <c r="F64" t="s">
        <v>548</v>
      </c>
      <c r="I64">
        <v>10</v>
      </c>
      <c r="J64" t="s">
        <v>21</v>
      </c>
      <c r="K64" t="s">
        <v>22</v>
      </c>
      <c r="L64" t="s">
        <v>544</v>
      </c>
      <c r="M64" t="s">
        <v>24</v>
      </c>
      <c r="N64" t="s">
        <v>25</v>
      </c>
      <c r="O64" s="3">
        <f>COUNTIF(RELATIONSHIPS!$B:$B,A64)+COUNTIF(RELATIONSHIPS!$C:$C,A64)</f>
        <v>14</v>
      </c>
    </row>
    <row r="65" spans="1:15" x14ac:dyDescent="0.3">
      <c r="A65" t="s">
        <v>549</v>
      </c>
      <c r="B65" t="s">
        <v>550</v>
      </c>
      <c r="C65" t="s">
        <v>551</v>
      </c>
      <c r="D65" t="s">
        <v>552</v>
      </c>
      <c r="E65" t="s">
        <v>19</v>
      </c>
      <c r="F65" t="s">
        <v>552</v>
      </c>
      <c r="I65">
        <v>11</v>
      </c>
      <c r="J65" t="s">
        <v>21</v>
      </c>
      <c r="K65" t="s">
        <v>22</v>
      </c>
      <c r="L65" t="s">
        <v>553</v>
      </c>
      <c r="M65" t="s">
        <v>24</v>
      </c>
      <c r="N65" t="s">
        <v>25</v>
      </c>
      <c r="O65" s="3">
        <f>COUNTIF(RELATIONSHIPS!$B:$B,A65)+COUNTIF(RELATIONSHIPS!$C:$C,A65)</f>
        <v>11</v>
      </c>
    </row>
    <row r="66" spans="1:15" x14ac:dyDescent="0.3">
      <c r="A66" t="s">
        <v>554</v>
      </c>
      <c r="B66" t="s">
        <v>555</v>
      </c>
      <c r="C66" t="s">
        <v>556</v>
      </c>
      <c r="D66" t="s">
        <v>552</v>
      </c>
      <c r="E66" t="s">
        <v>19</v>
      </c>
      <c r="F66" t="s">
        <v>552</v>
      </c>
      <c r="I66">
        <v>12</v>
      </c>
      <c r="J66" t="s">
        <v>21</v>
      </c>
      <c r="K66" t="s">
        <v>22</v>
      </c>
      <c r="L66" t="s">
        <v>520</v>
      </c>
      <c r="M66" t="s">
        <v>24</v>
      </c>
      <c r="N66" t="s">
        <v>25</v>
      </c>
      <c r="O66" s="3">
        <f>COUNTIF(RELATIONSHIPS!$B:$B,A66)+COUNTIF(RELATIONSHIPS!$C:$C,A66)</f>
        <v>10</v>
      </c>
    </row>
    <row r="67" spans="1:15" x14ac:dyDescent="0.3">
      <c r="A67" t="s">
        <v>557</v>
      </c>
      <c r="B67" t="s">
        <v>558</v>
      </c>
      <c r="C67" t="s">
        <v>559</v>
      </c>
      <c r="D67" t="s">
        <v>527</v>
      </c>
      <c r="E67" t="s">
        <v>19</v>
      </c>
      <c r="F67" t="s">
        <v>527</v>
      </c>
      <c r="I67">
        <v>13</v>
      </c>
      <c r="J67" t="s">
        <v>21</v>
      </c>
      <c r="K67" t="s">
        <v>22</v>
      </c>
      <c r="L67" t="s">
        <v>553</v>
      </c>
      <c r="M67" t="s">
        <v>24</v>
      </c>
      <c r="N67" t="s">
        <v>25</v>
      </c>
      <c r="O67" s="3">
        <f>COUNTIF(RELATIONSHIPS!$B:$B,A67)+COUNTIF(RELATIONSHIPS!$C:$C,A67)</f>
        <v>3</v>
      </c>
    </row>
    <row r="68" spans="1:15" x14ac:dyDescent="0.3">
      <c r="A68" t="s">
        <v>560</v>
      </c>
      <c r="B68" t="s">
        <v>561</v>
      </c>
      <c r="C68" t="s">
        <v>562</v>
      </c>
      <c r="D68" t="s">
        <v>535</v>
      </c>
      <c r="E68" t="s">
        <v>19</v>
      </c>
      <c r="F68" t="s">
        <v>535</v>
      </c>
      <c r="I68">
        <v>15</v>
      </c>
      <c r="J68" t="s">
        <v>21</v>
      </c>
      <c r="K68" t="s">
        <v>22</v>
      </c>
      <c r="L68" t="s">
        <v>563</v>
      </c>
      <c r="M68" t="s">
        <v>24</v>
      </c>
      <c r="N68" t="s">
        <v>25</v>
      </c>
      <c r="O68" s="3">
        <f>COUNTIF(RELATIONSHIPS!$B:$B,A68)+COUNTIF(RELATIONSHIPS!$C:$C,A68)</f>
        <v>13</v>
      </c>
    </row>
    <row r="69" spans="1:15" x14ac:dyDescent="0.3">
      <c r="A69" t="s">
        <v>564</v>
      </c>
      <c r="B69" t="s">
        <v>565</v>
      </c>
      <c r="C69" t="s">
        <v>566</v>
      </c>
      <c r="D69" t="s">
        <v>519</v>
      </c>
      <c r="E69" t="s">
        <v>19</v>
      </c>
      <c r="F69" t="s">
        <v>519</v>
      </c>
      <c r="I69">
        <v>18</v>
      </c>
      <c r="J69" t="s">
        <v>21</v>
      </c>
      <c r="K69" t="s">
        <v>22</v>
      </c>
      <c r="L69" t="s">
        <v>567</v>
      </c>
      <c r="M69" t="s">
        <v>24</v>
      </c>
      <c r="N69" t="s">
        <v>25</v>
      </c>
      <c r="O69" s="3">
        <f>COUNTIF(RELATIONSHIPS!$B:$B,A69)+COUNTIF(RELATIONSHIPS!$C:$C,A69)</f>
        <v>10</v>
      </c>
    </row>
    <row r="70" spans="1:15" x14ac:dyDescent="0.3">
      <c r="A70" t="s">
        <v>568</v>
      </c>
      <c r="B70" t="s">
        <v>569</v>
      </c>
      <c r="C70" t="s">
        <v>570</v>
      </c>
      <c r="D70" t="s">
        <v>519</v>
      </c>
      <c r="E70" t="s">
        <v>19</v>
      </c>
      <c r="F70" t="s">
        <v>519</v>
      </c>
      <c r="I70">
        <v>19</v>
      </c>
      <c r="J70" t="s">
        <v>21</v>
      </c>
      <c r="K70" t="s">
        <v>22</v>
      </c>
      <c r="L70" t="s">
        <v>571</v>
      </c>
      <c r="M70" t="s">
        <v>24</v>
      </c>
      <c r="N70" t="s">
        <v>25</v>
      </c>
      <c r="O70" s="3">
        <f>COUNTIF(RELATIONSHIPS!$B:$B,A70)+COUNTIF(RELATIONSHIPS!$C:$C,A70)</f>
        <v>10</v>
      </c>
    </row>
    <row r="71" spans="1:15" x14ac:dyDescent="0.3">
      <c r="A71" t="s">
        <v>572</v>
      </c>
      <c r="B71" t="s">
        <v>573</v>
      </c>
      <c r="C71" t="s">
        <v>574</v>
      </c>
      <c r="D71" t="s">
        <v>519</v>
      </c>
      <c r="E71" t="s">
        <v>19</v>
      </c>
      <c r="F71" t="s">
        <v>519</v>
      </c>
      <c r="I71">
        <v>16</v>
      </c>
      <c r="J71" t="s">
        <v>21</v>
      </c>
      <c r="K71" t="s">
        <v>22</v>
      </c>
      <c r="L71" t="s">
        <v>571</v>
      </c>
      <c r="M71" t="s">
        <v>24</v>
      </c>
      <c r="N71" t="s">
        <v>25</v>
      </c>
      <c r="O71" s="3">
        <f>COUNTIF(RELATIONSHIPS!$B:$B,A71)+COUNTIF(RELATIONSHIPS!$C:$C,A71)</f>
        <v>2</v>
      </c>
    </row>
    <row r="72" spans="1:15" x14ac:dyDescent="0.3">
      <c r="A72" t="s">
        <v>575</v>
      </c>
      <c r="B72" t="s">
        <v>576</v>
      </c>
      <c r="C72" t="s">
        <v>577</v>
      </c>
      <c r="D72" t="s">
        <v>548</v>
      </c>
      <c r="E72" t="s">
        <v>19</v>
      </c>
      <c r="F72" t="s">
        <v>548</v>
      </c>
      <c r="I72">
        <v>17</v>
      </c>
      <c r="J72" t="s">
        <v>21</v>
      </c>
      <c r="K72" t="s">
        <v>22</v>
      </c>
      <c r="L72" t="s">
        <v>567</v>
      </c>
      <c r="M72" t="s">
        <v>24</v>
      </c>
      <c r="N72" t="s">
        <v>25</v>
      </c>
      <c r="O72" s="3">
        <f>COUNTIF(RELATIONSHIPS!$B:$B,A72)+COUNTIF(RELATIONSHIPS!$C:$C,A72)</f>
        <v>9</v>
      </c>
    </row>
    <row r="73" spans="1:15" x14ac:dyDescent="0.3">
      <c r="A73" t="s">
        <v>578</v>
      </c>
      <c r="B73" t="s">
        <v>579</v>
      </c>
      <c r="C73" t="s">
        <v>580</v>
      </c>
      <c r="D73" t="s">
        <v>548</v>
      </c>
      <c r="E73" t="s">
        <v>19</v>
      </c>
      <c r="F73" t="s">
        <v>548</v>
      </c>
      <c r="I73">
        <v>18</v>
      </c>
      <c r="J73" t="s">
        <v>21</v>
      </c>
      <c r="K73" t="s">
        <v>22</v>
      </c>
      <c r="L73" t="s">
        <v>563</v>
      </c>
      <c r="M73" t="s">
        <v>24</v>
      </c>
      <c r="N73" t="s">
        <v>25</v>
      </c>
      <c r="O73" s="3">
        <f>COUNTIF(RELATIONSHIPS!$B:$B,A73)+COUNTIF(RELATIONSHIPS!$C:$C,A73)</f>
        <v>2</v>
      </c>
    </row>
    <row r="74" spans="1:15" x14ac:dyDescent="0.3">
      <c r="A74" t="s">
        <v>581</v>
      </c>
      <c r="B74" t="s">
        <v>582</v>
      </c>
      <c r="C74" t="s">
        <v>583</v>
      </c>
      <c r="D74" t="s">
        <v>552</v>
      </c>
      <c r="E74" t="s">
        <v>19</v>
      </c>
      <c r="F74" t="s">
        <v>552</v>
      </c>
      <c r="I74">
        <v>19</v>
      </c>
      <c r="J74" t="s">
        <v>21</v>
      </c>
      <c r="K74" t="s">
        <v>22</v>
      </c>
      <c r="L74" t="s">
        <v>563</v>
      </c>
      <c r="M74" t="s">
        <v>24</v>
      </c>
      <c r="N74" t="s">
        <v>25</v>
      </c>
      <c r="O74" s="3">
        <f>COUNTIF(RELATIONSHIPS!$B:$B,A74)+COUNTIF(RELATIONSHIPS!$C:$C,A74)</f>
        <v>9</v>
      </c>
    </row>
    <row r="75" spans="1:15" x14ac:dyDescent="0.3">
      <c r="A75" t="s">
        <v>584</v>
      </c>
      <c r="B75" t="s">
        <v>585</v>
      </c>
      <c r="C75" t="s">
        <v>586</v>
      </c>
      <c r="D75" t="s">
        <v>552</v>
      </c>
      <c r="E75" t="s">
        <v>19</v>
      </c>
      <c r="F75" t="s">
        <v>552</v>
      </c>
      <c r="I75">
        <v>20</v>
      </c>
      <c r="J75" t="s">
        <v>21</v>
      </c>
      <c r="K75" t="s">
        <v>22</v>
      </c>
      <c r="L75" t="s">
        <v>567</v>
      </c>
      <c r="M75" t="s">
        <v>24</v>
      </c>
      <c r="N75" t="s">
        <v>25</v>
      </c>
      <c r="O75" s="3">
        <f>COUNTIF(RELATIONSHIPS!$B:$B,A75)+COUNTIF(RELATIONSHIPS!$C:$C,A75)</f>
        <v>9</v>
      </c>
    </row>
    <row r="76" spans="1:15" x14ac:dyDescent="0.3">
      <c r="A76" t="s">
        <v>587</v>
      </c>
      <c r="B76" t="s">
        <v>588</v>
      </c>
      <c r="C76" t="s">
        <v>589</v>
      </c>
      <c r="D76" t="s">
        <v>590</v>
      </c>
      <c r="E76" t="s">
        <v>19</v>
      </c>
      <c r="F76" t="s">
        <v>590</v>
      </c>
      <c r="I76">
        <v>21</v>
      </c>
      <c r="J76" t="s">
        <v>21</v>
      </c>
      <c r="K76" t="s">
        <v>22</v>
      </c>
      <c r="L76" t="s">
        <v>591</v>
      </c>
      <c r="M76" t="s">
        <v>24</v>
      </c>
      <c r="N76" t="s">
        <v>25</v>
      </c>
      <c r="O76" s="3">
        <f>COUNTIF(RELATIONSHIPS!$B:$B,A76)+COUNTIF(RELATIONSHIPS!$C:$C,A76)</f>
        <v>3</v>
      </c>
    </row>
    <row r="77" spans="1:15" x14ac:dyDescent="0.3">
      <c r="A77" t="s">
        <v>592</v>
      </c>
      <c r="B77" t="s">
        <v>593</v>
      </c>
      <c r="C77" t="s">
        <v>594</v>
      </c>
      <c r="D77" t="s">
        <v>527</v>
      </c>
      <c r="E77" t="s">
        <v>19</v>
      </c>
      <c r="F77" t="s">
        <v>527</v>
      </c>
      <c r="I77">
        <v>22</v>
      </c>
      <c r="J77" t="s">
        <v>21</v>
      </c>
      <c r="K77" t="s">
        <v>22</v>
      </c>
      <c r="L77" t="s">
        <v>595</v>
      </c>
      <c r="M77" t="s">
        <v>24</v>
      </c>
      <c r="N77" t="s">
        <v>25</v>
      </c>
      <c r="O77" s="3">
        <f>COUNTIF(RELATIONSHIPS!$B:$B,A77)+COUNTIF(RELATIONSHIPS!$C:$C,A77)</f>
        <v>2</v>
      </c>
    </row>
    <row r="78" spans="1:15" x14ac:dyDescent="0.3">
      <c r="A78" t="s">
        <v>596</v>
      </c>
      <c r="B78" t="s">
        <v>597</v>
      </c>
      <c r="C78" t="s">
        <v>598</v>
      </c>
      <c r="D78" t="s">
        <v>535</v>
      </c>
      <c r="E78" t="s">
        <v>19</v>
      </c>
      <c r="F78" t="s">
        <v>535</v>
      </c>
      <c r="I78">
        <v>23</v>
      </c>
      <c r="J78" t="s">
        <v>21</v>
      </c>
      <c r="K78" t="s">
        <v>22</v>
      </c>
      <c r="L78" t="s">
        <v>599</v>
      </c>
      <c r="M78" t="s">
        <v>24</v>
      </c>
      <c r="N78" t="s">
        <v>25</v>
      </c>
      <c r="O78" s="3">
        <f>COUNTIF(RELATIONSHIPS!$B:$B,A78)+COUNTIF(RELATIONSHIPS!$C:$C,A78)</f>
        <v>10</v>
      </c>
    </row>
    <row r="79" spans="1:15" x14ac:dyDescent="0.3">
      <c r="A79" t="s">
        <v>600</v>
      </c>
      <c r="B79" t="s">
        <v>601</v>
      </c>
      <c r="C79" t="s">
        <v>602</v>
      </c>
      <c r="D79" t="s">
        <v>535</v>
      </c>
      <c r="E79" t="s">
        <v>19</v>
      </c>
      <c r="F79" t="s">
        <v>535</v>
      </c>
      <c r="I79">
        <v>28</v>
      </c>
      <c r="J79" t="s">
        <v>21</v>
      </c>
      <c r="K79" t="s">
        <v>22</v>
      </c>
      <c r="L79" t="s">
        <v>520</v>
      </c>
      <c r="M79" t="s">
        <v>24</v>
      </c>
      <c r="N79" t="s">
        <v>25</v>
      </c>
      <c r="O79" s="3">
        <f>COUNTIF(RELATIONSHIPS!$B:$B,A79)+COUNTIF(RELATIONSHIPS!$C:$C,A79)</f>
        <v>10</v>
      </c>
    </row>
    <row r="80" spans="1:15" x14ac:dyDescent="0.3">
      <c r="A80" t="s">
        <v>603</v>
      </c>
      <c r="B80" t="s">
        <v>604</v>
      </c>
      <c r="C80" t="s">
        <v>605</v>
      </c>
      <c r="D80" t="s">
        <v>519</v>
      </c>
      <c r="E80" t="s">
        <v>19</v>
      </c>
      <c r="F80" t="s">
        <v>519</v>
      </c>
      <c r="I80">
        <v>29</v>
      </c>
      <c r="J80" t="s">
        <v>21</v>
      </c>
      <c r="K80" t="s">
        <v>22</v>
      </c>
      <c r="L80" t="s">
        <v>520</v>
      </c>
      <c r="M80" t="s">
        <v>24</v>
      </c>
      <c r="N80" t="s">
        <v>25</v>
      </c>
      <c r="O80" s="3">
        <f>COUNTIF(RELATIONSHIPS!$B:$B,A80)+COUNTIF(RELATIONSHIPS!$C:$C,A80)</f>
        <v>10</v>
      </c>
    </row>
    <row r="81" spans="1:15" x14ac:dyDescent="0.3">
      <c r="A81" t="s">
        <v>606</v>
      </c>
      <c r="B81" t="s">
        <v>607</v>
      </c>
      <c r="C81" t="s">
        <v>608</v>
      </c>
      <c r="D81" t="s">
        <v>519</v>
      </c>
      <c r="E81" t="s">
        <v>19</v>
      </c>
      <c r="F81" t="s">
        <v>519</v>
      </c>
      <c r="I81">
        <v>24</v>
      </c>
      <c r="J81" t="s">
        <v>21</v>
      </c>
      <c r="K81" t="s">
        <v>22</v>
      </c>
      <c r="L81" t="s">
        <v>520</v>
      </c>
      <c r="M81" t="s">
        <v>24</v>
      </c>
      <c r="N81" t="s">
        <v>25</v>
      </c>
      <c r="O81" s="3">
        <f>COUNTIF(RELATIONSHIPS!$B:$B,A81)+COUNTIF(RELATIONSHIPS!$C:$C,A81)</f>
        <v>10</v>
      </c>
    </row>
    <row r="82" spans="1:15" x14ac:dyDescent="0.3">
      <c r="A82" t="s">
        <v>609</v>
      </c>
      <c r="B82" t="s">
        <v>610</v>
      </c>
      <c r="C82" t="s">
        <v>611</v>
      </c>
      <c r="D82" t="s">
        <v>548</v>
      </c>
      <c r="E82" t="s">
        <v>19</v>
      </c>
      <c r="F82" t="s">
        <v>548</v>
      </c>
      <c r="I82">
        <v>25</v>
      </c>
      <c r="J82" t="s">
        <v>21</v>
      </c>
      <c r="K82" t="s">
        <v>22</v>
      </c>
      <c r="L82" t="s">
        <v>599</v>
      </c>
      <c r="M82" t="s">
        <v>24</v>
      </c>
      <c r="N82" t="s">
        <v>25</v>
      </c>
      <c r="O82" s="3">
        <f>COUNTIF(RELATIONSHIPS!$B:$B,A82)+COUNTIF(RELATIONSHIPS!$C:$C,A82)</f>
        <v>9</v>
      </c>
    </row>
    <row r="83" spans="1:15" x14ac:dyDescent="0.3">
      <c r="A83" t="s">
        <v>612</v>
      </c>
      <c r="B83" t="s">
        <v>613</v>
      </c>
      <c r="C83" t="s">
        <v>614</v>
      </c>
      <c r="D83" t="s">
        <v>590</v>
      </c>
      <c r="E83" t="s">
        <v>19</v>
      </c>
      <c r="F83" t="s">
        <v>590</v>
      </c>
      <c r="I83">
        <v>26</v>
      </c>
      <c r="J83" t="s">
        <v>21</v>
      </c>
      <c r="K83" t="s">
        <v>22</v>
      </c>
      <c r="L83" t="s">
        <v>544</v>
      </c>
      <c r="M83" t="s">
        <v>24</v>
      </c>
      <c r="N83" t="s">
        <v>25</v>
      </c>
      <c r="O83" s="3">
        <f>COUNTIF(RELATIONSHIPS!$B:$B,A83)+COUNTIF(RELATIONSHIPS!$C:$C,A83)</f>
        <v>2</v>
      </c>
    </row>
    <row r="84" spans="1:15" x14ac:dyDescent="0.3">
      <c r="A84" t="s">
        <v>615</v>
      </c>
      <c r="B84" t="s">
        <v>616</v>
      </c>
      <c r="C84" t="s">
        <v>617</v>
      </c>
      <c r="D84" t="s">
        <v>590</v>
      </c>
      <c r="E84" t="s">
        <v>19</v>
      </c>
      <c r="F84" t="s">
        <v>590</v>
      </c>
      <c r="I84">
        <v>27</v>
      </c>
      <c r="J84" t="s">
        <v>21</v>
      </c>
      <c r="K84" t="s">
        <v>22</v>
      </c>
      <c r="L84" t="s">
        <v>571</v>
      </c>
      <c r="M84" t="s">
        <v>24</v>
      </c>
      <c r="N84" t="s">
        <v>25</v>
      </c>
      <c r="O84" s="3">
        <f>COUNTIF(RELATIONSHIPS!$B:$B,A84)+COUNTIF(RELATIONSHIPS!$C:$C,A84)</f>
        <v>2</v>
      </c>
    </row>
    <row r="85" spans="1:15" x14ac:dyDescent="0.3">
      <c r="A85" t="s">
        <v>618</v>
      </c>
      <c r="B85" t="s">
        <v>619</v>
      </c>
      <c r="C85" t="s">
        <v>620</v>
      </c>
      <c r="D85" t="s">
        <v>527</v>
      </c>
      <c r="E85" t="s">
        <v>19</v>
      </c>
      <c r="F85" t="s">
        <v>527</v>
      </c>
      <c r="I85">
        <v>28</v>
      </c>
      <c r="J85" t="s">
        <v>21</v>
      </c>
      <c r="K85" t="s">
        <v>22</v>
      </c>
      <c r="L85" t="s">
        <v>544</v>
      </c>
      <c r="M85" t="s">
        <v>24</v>
      </c>
      <c r="N85" t="s">
        <v>25</v>
      </c>
      <c r="O85" s="3">
        <f>COUNTIF(RELATIONSHIPS!$B:$B,A85)+COUNTIF(RELATIONSHIPS!$C:$C,A85)</f>
        <v>2</v>
      </c>
    </row>
    <row r="86" spans="1:15" x14ac:dyDescent="0.3">
      <c r="A86" t="s">
        <v>621</v>
      </c>
      <c r="B86" t="s">
        <v>622</v>
      </c>
      <c r="C86" t="s">
        <v>623</v>
      </c>
      <c r="D86" t="s">
        <v>624</v>
      </c>
      <c r="E86" t="s">
        <v>19</v>
      </c>
      <c r="F86" t="s">
        <v>624</v>
      </c>
      <c r="I86">
        <v>30</v>
      </c>
      <c r="J86" t="s">
        <v>21</v>
      </c>
      <c r="K86" t="s">
        <v>22</v>
      </c>
      <c r="L86" t="s">
        <v>625</v>
      </c>
      <c r="M86" t="s">
        <v>24</v>
      </c>
      <c r="N86" t="s">
        <v>25</v>
      </c>
      <c r="O86" s="3">
        <f>COUNTIF(RELATIONSHIPS!$B:$B,A86)+COUNTIF(RELATIONSHIPS!$C:$C,A86)</f>
        <v>9</v>
      </c>
    </row>
    <row r="87" spans="1:15" x14ac:dyDescent="0.3">
      <c r="A87" t="s">
        <v>626</v>
      </c>
      <c r="B87" t="s">
        <v>627</v>
      </c>
      <c r="C87" t="s">
        <v>628</v>
      </c>
      <c r="D87" t="s">
        <v>519</v>
      </c>
      <c r="E87" t="s">
        <v>19</v>
      </c>
      <c r="F87" t="s">
        <v>519</v>
      </c>
      <c r="I87">
        <v>31</v>
      </c>
      <c r="J87" t="s">
        <v>21</v>
      </c>
      <c r="K87" t="s">
        <v>22</v>
      </c>
      <c r="L87" t="s">
        <v>629</v>
      </c>
      <c r="M87" t="s">
        <v>24</v>
      </c>
      <c r="N87" t="s">
        <v>25</v>
      </c>
      <c r="O87" s="3">
        <f>COUNTIF(RELATIONSHIPS!$B:$B,A87)+COUNTIF(RELATIONSHIPS!$C:$C,A87)</f>
        <v>9</v>
      </c>
    </row>
    <row r="88" spans="1:15" x14ac:dyDescent="0.3">
      <c r="A88" t="s">
        <v>630</v>
      </c>
      <c r="B88" t="s">
        <v>631</v>
      </c>
      <c r="C88" t="s">
        <v>632</v>
      </c>
      <c r="D88" t="s">
        <v>519</v>
      </c>
      <c r="E88" t="s">
        <v>19</v>
      </c>
      <c r="F88" t="s">
        <v>519</v>
      </c>
      <c r="I88">
        <v>38</v>
      </c>
      <c r="J88" t="s">
        <v>21</v>
      </c>
      <c r="K88" t="s">
        <v>22</v>
      </c>
      <c r="L88" t="s">
        <v>633</v>
      </c>
      <c r="M88" t="s">
        <v>24</v>
      </c>
      <c r="N88" t="s">
        <v>25</v>
      </c>
      <c r="O88" s="3">
        <f>COUNTIF(RELATIONSHIPS!$B:$B,A88)+COUNTIF(RELATIONSHIPS!$C:$C,A88)</f>
        <v>9</v>
      </c>
    </row>
    <row r="89" spans="1:15" x14ac:dyDescent="0.3">
      <c r="A89" t="s">
        <v>634</v>
      </c>
      <c r="B89" t="s">
        <v>635</v>
      </c>
      <c r="C89" t="s">
        <v>636</v>
      </c>
      <c r="D89" t="s">
        <v>519</v>
      </c>
      <c r="E89" t="s">
        <v>19</v>
      </c>
      <c r="F89" t="s">
        <v>519</v>
      </c>
      <c r="I89">
        <v>39</v>
      </c>
      <c r="J89" t="s">
        <v>21</v>
      </c>
      <c r="K89" t="s">
        <v>22</v>
      </c>
      <c r="L89" t="s">
        <v>625</v>
      </c>
      <c r="M89" t="s">
        <v>24</v>
      </c>
      <c r="N89" t="s">
        <v>25</v>
      </c>
      <c r="O89" s="3">
        <f>COUNTIF(RELATIONSHIPS!$B:$B,A89)+COUNTIF(RELATIONSHIPS!$C:$C,A89)</f>
        <v>2</v>
      </c>
    </row>
    <row r="90" spans="1:15" x14ac:dyDescent="0.3">
      <c r="A90" t="s">
        <v>637</v>
      </c>
      <c r="B90" t="s">
        <v>638</v>
      </c>
      <c r="C90" t="s">
        <v>639</v>
      </c>
      <c r="D90" t="s">
        <v>552</v>
      </c>
      <c r="E90" t="s">
        <v>19</v>
      </c>
      <c r="F90" t="s">
        <v>552</v>
      </c>
      <c r="I90">
        <v>32</v>
      </c>
      <c r="J90" t="s">
        <v>21</v>
      </c>
      <c r="K90" t="s">
        <v>22</v>
      </c>
      <c r="L90" t="s">
        <v>629</v>
      </c>
      <c r="M90" t="s">
        <v>24</v>
      </c>
      <c r="N90" t="s">
        <v>25</v>
      </c>
      <c r="O90" s="3">
        <f>COUNTIF(RELATIONSHIPS!$B:$B,A90)+COUNTIF(RELATIONSHIPS!$C:$C,A90)</f>
        <v>9</v>
      </c>
    </row>
    <row r="91" spans="1:15" x14ac:dyDescent="0.3">
      <c r="A91" t="s">
        <v>640</v>
      </c>
      <c r="B91" t="s">
        <v>641</v>
      </c>
      <c r="C91" t="s">
        <v>642</v>
      </c>
      <c r="D91" t="s">
        <v>552</v>
      </c>
      <c r="E91" t="s">
        <v>19</v>
      </c>
      <c r="F91" t="s">
        <v>552</v>
      </c>
      <c r="I91">
        <v>33</v>
      </c>
      <c r="J91" t="s">
        <v>21</v>
      </c>
      <c r="K91" t="s">
        <v>22</v>
      </c>
      <c r="L91" t="s">
        <v>625</v>
      </c>
      <c r="M91" t="s">
        <v>24</v>
      </c>
      <c r="N91" t="s">
        <v>25</v>
      </c>
      <c r="O91" s="3">
        <f>COUNTIF(RELATIONSHIPS!$B:$B,A91)+COUNTIF(RELATIONSHIPS!$C:$C,A91)</f>
        <v>9</v>
      </c>
    </row>
    <row r="92" spans="1:15" x14ac:dyDescent="0.3">
      <c r="A92" t="s">
        <v>643</v>
      </c>
      <c r="B92" t="s">
        <v>644</v>
      </c>
      <c r="C92" t="s">
        <v>645</v>
      </c>
      <c r="D92" t="s">
        <v>646</v>
      </c>
      <c r="E92" t="s">
        <v>19</v>
      </c>
      <c r="F92" t="s">
        <v>646</v>
      </c>
      <c r="I92">
        <v>34</v>
      </c>
      <c r="J92" t="s">
        <v>21</v>
      </c>
      <c r="K92" t="s">
        <v>22</v>
      </c>
      <c r="L92" t="s">
        <v>625</v>
      </c>
      <c r="M92" t="s">
        <v>24</v>
      </c>
      <c r="N92" t="s">
        <v>25</v>
      </c>
      <c r="O92" s="3">
        <f>COUNTIF(RELATIONSHIPS!$B:$B,A92)+COUNTIF(RELATIONSHIPS!$C:$C,A92)</f>
        <v>2</v>
      </c>
    </row>
    <row r="93" spans="1:15" x14ac:dyDescent="0.3">
      <c r="A93" t="s">
        <v>647</v>
      </c>
      <c r="B93" t="s">
        <v>648</v>
      </c>
      <c r="C93" t="s">
        <v>649</v>
      </c>
      <c r="D93" t="s">
        <v>646</v>
      </c>
      <c r="E93" t="s">
        <v>19</v>
      </c>
      <c r="F93" t="s">
        <v>646</v>
      </c>
      <c r="I93">
        <v>35</v>
      </c>
      <c r="J93" t="s">
        <v>21</v>
      </c>
      <c r="K93" t="s">
        <v>22</v>
      </c>
      <c r="L93" t="s">
        <v>625</v>
      </c>
      <c r="M93" t="s">
        <v>24</v>
      </c>
      <c r="N93" t="s">
        <v>25</v>
      </c>
      <c r="O93" s="3">
        <f>COUNTIF(RELATIONSHIPS!$B:$B,A93)+COUNTIF(RELATIONSHIPS!$C:$C,A93)</f>
        <v>2</v>
      </c>
    </row>
    <row r="94" spans="1:15" x14ac:dyDescent="0.3">
      <c r="A94" t="s">
        <v>650</v>
      </c>
      <c r="B94" t="s">
        <v>651</v>
      </c>
      <c r="C94" t="s">
        <v>652</v>
      </c>
      <c r="D94" t="s">
        <v>527</v>
      </c>
      <c r="E94" t="s">
        <v>19</v>
      </c>
      <c r="F94" t="s">
        <v>527</v>
      </c>
      <c r="I94">
        <v>36</v>
      </c>
      <c r="J94" t="s">
        <v>21</v>
      </c>
      <c r="K94" t="s">
        <v>22</v>
      </c>
      <c r="L94" t="s">
        <v>653</v>
      </c>
      <c r="M94" t="s">
        <v>24</v>
      </c>
      <c r="N94" t="s">
        <v>25</v>
      </c>
      <c r="O94" s="3">
        <f>COUNTIF(RELATIONSHIPS!$B:$B,A94)+COUNTIF(RELATIONSHIPS!$C:$C,A94)</f>
        <v>2</v>
      </c>
    </row>
    <row r="95" spans="1:15" x14ac:dyDescent="0.3">
      <c r="A95" t="s">
        <v>654</v>
      </c>
      <c r="B95" t="s">
        <v>655</v>
      </c>
      <c r="C95" t="s">
        <v>656</v>
      </c>
      <c r="D95" t="s">
        <v>624</v>
      </c>
      <c r="E95" t="s">
        <v>19</v>
      </c>
      <c r="F95" t="s">
        <v>624</v>
      </c>
      <c r="I95">
        <v>37</v>
      </c>
      <c r="J95" t="s">
        <v>21</v>
      </c>
      <c r="K95" t="s">
        <v>22</v>
      </c>
      <c r="L95" t="s">
        <v>657</v>
      </c>
      <c r="M95" t="s">
        <v>24</v>
      </c>
      <c r="N95" t="s">
        <v>25</v>
      </c>
      <c r="O95" s="3">
        <f>COUNTIF(RELATIONSHIPS!$B:$B,A95)+COUNTIF(RELATIONSHIPS!$C:$C,A95)</f>
        <v>9</v>
      </c>
    </row>
    <row r="96" spans="1:15" x14ac:dyDescent="0.3">
      <c r="A96" t="s">
        <v>658</v>
      </c>
      <c r="B96" t="s">
        <v>659</v>
      </c>
      <c r="C96" t="s">
        <v>660</v>
      </c>
      <c r="D96" t="s">
        <v>624</v>
      </c>
      <c r="E96" t="s">
        <v>19</v>
      </c>
      <c r="F96" t="s">
        <v>624</v>
      </c>
      <c r="I96">
        <v>38</v>
      </c>
      <c r="J96" t="s">
        <v>21</v>
      </c>
      <c r="K96" t="s">
        <v>22</v>
      </c>
      <c r="L96" t="s">
        <v>657</v>
      </c>
      <c r="M96" t="s">
        <v>24</v>
      </c>
      <c r="N96" t="s">
        <v>25</v>
      </c>
      <c r="O96" s="3">
        <f>COUNTIF(RELATIONSHIPS!$B:$B,A96)+COUNTIF(RELATIONSHIPS!$C:$C,A96)</f>
        <v>9</v>
      </c>
    </row>
    <row r="97" spans="1:15" x14ac:dyDescent="0.3">
      <c r="A97" t="s">
        <v>661</v>
      </c>
      <c r="B97" t="s">
        <v>662</v>
      </c>
      <c r="C97" t="s">
        <v>663</v>
      </c>
      <c r="D97" t="s">
        <v>535</v>
      </c>
      <c r="E97" t="s">
        <v>19</v>
      </c>
      <c r="F97" t="s">
        <v>535</v>
      </c>
      <c r="I97">
        <v>39</v>
      </c>
      <c r="J97" t="s">
        <v>21</v>
      </c>
      <c r="K97" t="s">
        <v>22</v>
      </c>
      <c r="L97" t="s">
        <v>571</v>
      </c>
      <c r="M97" t="s">
        <v>24</v>
      </c>
      <c r="N97" t="s">
        <v>25</v>
      </c>
      <c r="O97" s="3">
        <f>COUNTIF(RELATIONSHIPS!$B:$B,A97)+COUNTIF(RELATIONSHIPS!$C:$C,A97)</f>
        <v>2</v>
      </c>
    </row>
    <row r="98" spans="1:15" x14ac:dyDescent="0.3">
      <c r="A98" t="s">
        <v>664</v>
      </c>
      <c r="B98" t="s">
        <v>665</v>
      </c>
      <c r="C98" t="s">
        <v>666</v>
      </c>
      <c r="D98" t="s">
        <v>519</v>
      </c>
      <c r="E98" t="s">
        <v>19</v>
      </c>
      <c r="F98" t="s">
        <v>519</v>
      </c>
      <c r="I98">
        <v>48</v>
      </c>
      <c r="J98" t="s">
        <v>21</v>
      </c>
      <c r="K98" t="s">
        <v>22</v>
      </c>
      <c r="L98" t="s">
        <v>571</v>
      </c>
      <c r="M98" t="s">
        <v>24</v>
      </c>
      <c r="N98" t="s">
        <v>25</v>
      </c>
      <c r="O98" s="3">
        <f>COUNTIF(RELATIONSHIPS!$B:$B,A98)+COUNTIF(RELATIONSHIPS!$C:$C,A98)</f>
        <v>9</v>
      </c>
    </row>
    <row r="99" spans="1:15" x14ac:dyDescent="0.3">
      <c r="A99" t="s">
        <v>667</v>
      </c>
      <c r="B99" t="s">
        <v>668</v>
      </c>
      <c r="C99" t="s">
        <v>669</v>
      </c>
      <c r="D99" t="s">
        <v>519</v>
      </c>
      <c r="E99" t="s">
        <v>19</v>
      </c>
      <c r="F99" t="s">
        <v>519</v>
      </c>
      <c r="I99">
        <v>49</v>
      </c>
      <c r="J99" t="s">
        <v>21</v>
      </c>
      <c r="K99" t="s">
        <v>22</v>
      </c>
      <c r="L99" t="s">
        <v>571</v>
      </c>
      <c r="M99" t="s">
        <v>24</v>
      </c>
      <c r="N99" t="s">
        <v>25</v>
      </c>
      <c r="O99" s="3">
        <f>COUNTIF(RELATIONSHIPS!$B:$B,A99)+COUNTIF(RELATIONSHIPS!$C:$C,A99)</f>
        <v>9</v>
      </c>
    </row>
    <row r="100" spans="1:15" x14ac:dyDescent="0.3">
      <c r="A100" t="s">
        <v>670</v>
      </c>
      <c r="B100" t="s">
        <v>671</v>
      </c>
      <c r="C100" t="s">
        <v>672</v>
      </c>
      <c r="D100" t="s">
        <v>548</v>
      </c>
      <c r="E100" t="s">
        <v>19</v>
      </c>
      <c r="F100" t="s">
        <v>548</v>
      </c>
      <c r="I100">
        <v>50</v>
      </c>
      <c r="J100" t="s">
        <v>21</v>
      </c>
      <c r="K100" t="s">
        <v>22</v>
      </c>
      <c r="L100" t="s">
        <v>571</v>
      </c>
      <c r="M100" t="s">
        <v>24</v>
      </c>
      <c r="N100" t="s">
        <v>25</v>
      </c>
      <c r="O100" s="3">
        <f>COUNTIF(RELATIONSHIPS!$B:$B,A100)+COUNTIF(RELATIONSHIPS!$C:$C,A100)</f>
        <v>9</v>
      </c>
    </row>
    <row r="101" spans="1:15" x14ac:dyDescent="0.3">
      <c r="A101" t="s">
        <v>673</v>
      </c>
      <c r="B101" t="s">
        <v>674</v>
      </c>
      <c r="C101" t="s">
        <v>675</v>
      </c>
      <c r="D101" t="s">
        <v>548</v>
      </c>
      <c r="E101" t="s">
        <v>19</v>
      </c>
      <c r="F101" t="s">
        <v>548</v>
      </c>
      <c r="I101">
        <v>41</v>
      </c>
      <c r="J101" t="s">
        <v>21</v>
      </c>
      <c r="K101" t="s">
        <v>22</v>
      </c>
      <c r="L101" t="s">
        <v>657</v>
      </c>
      <c r="M101" t="s">
        <v>24</v>
      </c>
      <c r="N101" t="s">
        <v>25</v>
      </c>
      <c r="O101" s="3">
        <f>COUNTIF(RELATIONSHIPS!$B:$B,A101)+COUNTIF(RELATIONSHIPS!$C:$C,A101)</f>
        <v>2</v>
      </c>
    </row>
    <row r="102" spans="1:15" x14ac:dyDescent="0.3">
      <c r="A102" t="s">
        <v>676</v>
      </c>
      <c r="B102" t="s">
        <v>677</v>
      </c>
      <c r="C102" t="s">
        <v>678</v>
      </c>
      <c r="D102" t="s">
        <v>552</v>
      </c>
      <c r="E102" t="s">
        <v>19</v>
      </c>
      <c r="F102" t="s">
        <v>552</v>
      </c>
      <c r="I102">
        <v>42</v>
      </c>
      <c r="J102" t="s">
        <v>21</v>
      </c>
      <c r="K102" t="s">
        <v>22</v>
      </c>
      <c r="L102" t="s">
        <v>657</v>
      </c>
      <c r="M102" t="s">
        <v>24</v>
      </c>
      <c r="N102" t="s">
        <v>25</v>
      </c>
      <c r="O102" s="3">
        <f>COUNTIF(RELATIONSHIPS!$B:$B,A102)+COUNTIF(RELATIONSHIPS!$C:$C,A102)</f>
        <v>9</v>
      </c>
    </row>
    <row r="103" spans="1:15" x14ac:dyDescent="0.3">
      <c r="A103" t="s">
        <v>679</v>
      </c>
      <c r="B103" t="s">
        <v>680</v>
      </c>
      <c r="C103" t="s">
        <v>681</v>
      </c>
      <c r="D103" t="s">
        <v>552</v>
      </c>
      <c r="E103" t="s">
        <v>19</v>
      </c>
      <c r="F103" t="s">
        <v>552</v>
      </c>
      <c r="I103">
        <v>43</v>
      </c>
      <c r="J103" t="s">
        <v>21</v>
      </c>
      <c r="K103" t="s">
        <v>22</v>
      </c>
      <c r="L103" t="s">
        <v>571</v>
      </c>
      <c r="M103" t="s">
        <v>24</v>
      </c>
      <c r="N103" t="s">
        <v>25</v>
      </c>
      <c r="O103" s="3">
        <f>COUNTIF(RELATIONSHIPS!$B:$B,A103)+COUNTIF(RELATIONSHIPS!$C:$C,A103)</f>
        <v>9</v>
      </c>
    </row>
    <row r="104" spans="1:15" x14ac:dyDescent="0.3">
      <c r="A104" t="s">
        <v>682</v>
      </c>
      <c r="B104" t="s">
        <v>683</v>
      </c>
      <c r="C104" t="s">
        <v>684</v>
      </c>
      <c r="D104" t="s">
        <v>590</v>
      </c>
      <c r="E104" t="s">
        <v>19</v>
      </c>
      <c r="F104" t="s">
        <v>590</v>
      </c>
      <c r="I104">
        <v>44</v>
      </c>
      <c r="J104" t="s">
        <v>21</v>
      </c>
      <c r="K104" t="s">
        <v>22</v>
      </c>
      <c r="L104" t="s">
        <v>657</v>
      </c>
      <c r="M104" t="s">
        <v>24</v>
      </c>
      <c r="N104" t="s">
        <v>25</v>
      </c>
      <c r="O104" s="3">
        <f>COUNTIF(RELATIONSHIPS!$B:$B,A104)+COUNTIF(RELATIONSHIPS!$C:$C,A104)</f>
        <v>2</v>
      </c>
    </row>
    <row r="105" spans="1:15" x14ac:dyDescent="0.3">
      <c r="A105" t="s">
        <v>685</v>
      </c>
      <c r="B105" t="s">
        <v>686</v>
      </c>
      <c r="C105" t="s">
        <v>687</v>
      </c>
      <c r="D105" t="s">
        <v>624</v>
      </c>
      <c r="E105" t="s">
        <v>19</v>
      </c>
      <c r="F105" t="s">
        <v>624</v>
      </c>
      <c r="I105">
        <v>45</v>
      </c>
      <c r="J105" t="s">
        <v>21</v>
      </c>
      <c r="K105" t="s">
        <v>22</v>
      </c>
      <c r="L105" t="s">
        <v>688</v>
      </c>
      <c r="M105" t="s">
        <v>24</v>
      </c>
      <c r="N105" t="s">
        <v>25</v>
      </c>
      <c r="O105" s="3">
        <f>COUNTIF(RELATIONSHIPS!$B:$B,A105)+COUNTIF(RELATIONSHIPS!$C:$C,A105)</f>
        <v>2</v>
      </c>
    </row>
    <row r="106" spans="1:15" x14ac:dyDescent="0.3">
      <c r="A106" t="s">
        <v>689</v>
      </c>
      <c r="B106" t="s">
        <v>690</v>
      </c>
      <c r="C106" t="s">
        <v>691</v>
      </c>
      <c r="D106" t="s">
        <v>535</v>
      </c>
      <c r="E106" t="s">
        <v>19</v>
      </c>
      <c r="F106" t="s">
        <v>535</v>
      </c>
      <c r="I106">
        <v>46</v>
      </c>
      <c r="J106" t="s">
        <v>21</v>
      </c>
      <c r="K106" t="s">
        <v>22</v>
      </c>
      <c r="L106" t="s">
        <v>571</v>
      </c>
      <c r="M106" t="s">
        <v>24</v>
      </c>
      <c r="N106" t="s">
        <v>25</v>
      </c>
      <c r="O106" s="3">
        <f>COUNTIF(RELATIONSHIPS!$B:$B,A106)+COUNTIF(RELATIONSHIPS!$C:$C,A106)</f>
        <v>9</v>
      </c>
    </row>
    <row r="107" spans="1:15" x14ac:dyDescent="0.3">
      <c r="A107" t="s">
        <v>692</v>
      </c>
      <c r="B107" t="s">
        <v>693</v>
      </c>
      <c r="C107" t="s">
        <v>694</v>
      </c>
      <c r="D107" t="s">
        <v>535</v>
      </c>
      <c r="E107" t="s">
        <v>19</v>
      </c>
      <c r="F107" t="s">
        <v>535</v>
      </c>
      <c r="I107">
        <v>47</v>
      </c>
      <c r="J107" t="s">
        <v>21</v>
      </c>
      <c r="K107" t="s">
        <v>22</v>
      </c>
      <c r="L107" t="s">
        <v>571</v>
      </c>
      <c r="M107" t="s">
        <v>24</v>
      </c>
      <c r="N107" t="s">
        <v>25</v>
      </c>
      <c r="O107" s="3">
        <f>COUNTIF(RELATIONSHIPS!$B:$B,A107)+COUNTIF(RELATIONSHIPS!$C:$C,A107)</f>
        <v>9</v>
      </c>
    </row>
    <row r="108" spans="1:15" x14ac:dyDescent="0.3">
      <c r="A108" t="s">
        <v>695</v>
      </c>
      <c r="B108" t="s">
        <v>696</v>
      </c>
      <c r="C108" t="s">
        <v>697</v>
      </c>
      <c r="D108" t="s">
        <v>698</v>
      </c>
      <c r="E108" t="s">
        <v>19</v>
      </c>
      <c r="F108" t="s">
        <v>698</v>
      </c>
      <c r="I108">
        <v>58</v>
      </c>
      <c r="J108" t="s">
        <v>21</v>
      </c>
      <c r="K108" t="s">
        <v>22</v>
      </c>
      <c r="L108" t="s">
        <v>688</v>
      </c>
      <c r="M108" t="s">
        <v>24</v>
      </c>
      <c r="N108" t="s">
        <v>25</v>
      </c>
      <c r="O108" s="3">
        <f>COUNTIF(RELATIONSHIPS!$B:$B,A108)+COUNTIF(RELATIONSHIPS!$C:$C,A108)</f>
        <v>4</v>
      </c>
    </row>
    <row r="109" spans="1:15" x14ac:dyDescent="0.3">
      <c r="A109" t="s">
        <v>699</v>
      </c>
      <c r="B109" t="s">
        <v>700</v>
      </c>
      <c r="C109" t="s">
        <v>701</v>
      </c>
      <c r="D109" t="s">
        <v>698</v>
      </c>
      <c r="E109" t="s">
        <v>19</v>
      </c>
      <c r="F109" t="s">
        <v>698</v>
      </c>
      <c r="I109">
        <v>59</v>
      </c>
      <c r="J109" t="s">
        <v>21</v>
      </c>
      <c r="K109" t="s">
        <v>22</v>
      </c>
      <c r="L109" t="s">
        <v>702</v>
      </c>
      <c r="M109" t="s">
        <v>24</v>
      </c>
      <c r="N109" t="s">
        <v>25</v>
      </c>
      <c r="O109" s="3">
        <f>COUNTIF(RELATIONSHIPS!$B:$B,A109)+COUNTIF(RELATIONSHIPS!$C:$C,A109)</f>
        <v>3</v>
      </c>
    </row>
    <row r="110" spans="1:15" x14ac:dyDescent="0.3">
      <c r="A110" t="s">
        <v>703</v>
      </c>
      <c r="B110" t="s">
        <v>704</v>
      </c>
      <c r="C110" t="s">
        <v>705</v>
      </c>
      <c r="D110" t="s">
        <v>698</v>
      </c>
      <c r="E110" t="s">
        <v>19</v>
      </c>
      <c r="F110" t="s">
        <v>698</v>
      </c>
      <c r="I110">
        <v>48</v>
      </c>
      <c r="J110" t="s">
        <v>21</v>
      </c>
      <c r="K110" t="s">
        <v>22</v>
      </c>
      <c r="L110" t="s">
        <v>657</v>
      </c>
      <c r="M110" t="s">
        <v>24</v>
      </c>
      <c r="N110" t="s">
        <v>25</v>
      </c>
      <c r="O110" s="3">
        <f>COUNTIF(RELATIONSHIPS!$B:$B,A110)+COUNTIF(RELATIONSHIPS!$C:$C,A110)</f>
        <v>3</v>
      </c>
    </row>
    <row r="111" spans="1:15" x14ac:dyDescent="0.3">
      <c r="A111" t="s">
        <v>706</v>
      </c>
      <c r="B111" t="s">
        <v>707</v>
      </c>
      <c r="C111" t="s">
        <v>708</v>
      </c>
      <c r="D111" t="s">
        <v>698</v>
      </c>
      <c r="E111" t="s">
        <v>19</v>
      </c>
      <c r="F111" t="s">
        <v>698</v>
      </c>
      <c r="I111">
        <v>49</v>
      </c>
      <c r="J111" t="s">
        <v>21</v>
      </c>
      <c r="K111" t="s">
        <v>22</v>
      </c>
      <c r="L111" t="s">
        <v>688</v>
      </c>
      <c r="M111" t="s">
        <v>24</v>
      </c>
      <c r="N111" t="s">
        <v>25</v>
      </c>
      <c r="O111" s="3">
        <f>COUNTIF(RELATIONSHIPS!$B:$B,A111)+COUNTIF(RELATIONSHIPS!$C:$C,A111)</f>
        <v>5</v>
      </c>
    </row>
    <row r="112" spans="1:15" x14ac:dyDescent="0.3">
      <c r="A112" t="s">
        <v>709</v>
      </c>
      <c r="B112" t="s">
        <v>710</v>
      </c>
      <c r="C112" t="s">
        <v>711</v>
      </c>
      <c r="D112" t="s">
        <v>698</v>
      </c>
      <c r="E112" t="s">
        <v>19</v>
      </c>
      <c r="F112" t="s">
        <v>698</v>
      </c>
      <c r="I112">
        <v>50</v>
      </c>
      <c r="J112" t="s">
        <v>21</v>
      </c>
      <c r="K112" t="s">
        <v>22</v>
      </c>
      <c r="L112" t="s">
        <v>571</v>
      </c>
      <c r="M112" t="s">
        <v>24</v>
      </c>
      <c r="N112" t="s">
        <v>25</v>
      </c>
      <c r="O112" s="3">
        <f>COUNTIF(RELATIONSHIPS!$B:$B,A112)+COUNTIF(RELATIONSHIPS!$C:$C,A112)</f>
        <v>3</v>
      </c>
    </row>
    <row r="113" spans="1:15" x14ac:dyDescent="0.3">
      <c r="A113" t="s">
        <v>712</v>
      </c>
      <c r="B113" t="s">
        <v>713</v>
      </c>
      <c r="C113" t="s">
        <v>714</v>
      </c>
      <c r="D113" t="s">
        <v>698</v>
      </c>
      <c r="E113" t="s">
        <v>19</v>
      </c>
      <c r="F113" t="s">
        <v>698</v>
      </c>
      <c r="I113">
        <v>51</v>
      </c>
      <c r="J113" t="s">
        <v>21</v>
      </c>
      <c r="K113" t="s">
        <v>22</v>
      </c>
      <c r="L113" t="s">
        <v>715</v>
      </c>
      <c r="M113" t="s">
        <v>24</v>
      </c>
      <c r="N113" t="s">
        <v>25</v>
      </c>
      <c r="O113" s="3">
        <f>COUNTIF(RELATIONSHIPS!$B:$B,A113)+COUNTIF(RELATIONSHIPS!$C:$C,A113)</f>
        <v>3</v>
      </c>
    </row>
    <row r="114" spans="1:15" x14ac:dyDescent="0.3">
      <c r="A114" t="s">
        <v>716</v>
      </c>
      <c r="B114" t="s">
        <v>717</v>
      </c>
      <c r="C114" t="s">
        <v>718</v>
      </c>
      <c r="D114" t="s">
        <v>698</v>
      </c>
      <c r="E114" t="s">
        <v>19</v>
      </c>
      <c r="F114" t="s">
        <v>698</v>
      </c>
      <c r="I114">
        <v>52</v>
      </c>
      <c r="J114" t="s">
        <v>21</v>
      </c>
      <c r="K114" t="s">
        <v>22</v>
      </c>
      <c r="L114" t="s">
        <v>599</v>
      </c>
      <c r="M114" t="s">
        <v>24</v>
      </c>
      <c r="N114" t="s">
        <v>25</v>
      </c>
      <c r="O114" s="3">
        <f>COUNTIF(RELATIONSHIPS!$B:$B,A114)+COUNTIF(RELATIONSHIPS!$C:$C,A114)</f>
        <v>3</v>
      </c>
    </row>
    <row r="115" spans="1:15" x14ac:dyDescent="0.3">
      <c r="A115" t="s">
        <v>719</v>
      </c>
      <c r="B115" t="s">
        <v>720</v>
      </c>
      <c r="C115" t="s">
        <v>721</v>
      </c>
      <c r="D115" t="s">
        <v>698</v>
      </c>
      <c r="E115" t="s">
        <v>19</v>
      </c>
      <c r="F115" t="s">
        <v>698</v>
      </c>
      <c r="I115">
        <v>53</v>
      </c>
      <c r="J115" t="s">
        <v>21</v>
      </c>
      <c r="K115" t="s">
        <v>22</v>
      </c>
      <c r="L115" t="s">
        <v>688</v>
      </c>
      <c r="M115" t="s">
        <v>24</v>
      </c>
      <c r="N115" t="s">
        <v>25</v>
      </c>
      <c r="O115" s="3">
        <f>COUNTIF(RELATIONSHIPS!$B:$B,A115)+COUNTIF(RELATIONSHIPS!$C:$C,A115)</f>
        <v>5</v>
      </c>
    </row>
    <row r="116" spans="1:15" x14ac:dyDescent="0.3">
      <c r="A116" t="s">
        <v>722</v>
      </c>
      <c r="B116" t="s">
        <v>723</v>
      </c>
      <c r="C116" t="s">
        <v>724</v>
      </c>
      <c r="D116" t="s">
        <v>725</v>
      </c>
      <c r="E116" t="s">
        <v>19</v>
      </c>
      <c r="F116" t="s">
        <v>725</v>
      </c>
      <c r="I116">
        <v>54</v>
      </c>
      <c r="J116" t="s">
        <v>21</v>
      </c>
      <c r="K116" t="s">
        <v>22</v>
      </c>
      <c r="L116" t="s">
        <v>726</v>
      </c>
      <c r="M116" t="s">
        <v>24</v>
      </c>
      <c r="N116" t="s">
        <v>25</v>
      </c>
      <c r="O116" s="3">
        <f>COUNTIF(RELATIONSHIPS!$B:$B,A116)+COUNTIF(RELATIONSHIPS!$C:$C,A116)</f>
        <v>6</v>
      </c>
    </row>
    <row r="117" spans="1:15" x14ac:dyDescent="0.3">
      <c r="A117" t="s">
        <v>727</v>
      </c>
      <c r="B117" t="s">
        <v>728</v>
      </c>
      <c r="C117" t="s">
        <v>729</v>
      </c>
      <c r="D117" t="s">
        <v>730</v>
      </c>
      <c r="E117" t="s">
        <v>19</v>
      </c>
      <c r="F117" t="s">
        <v>730</v>
      </c>
      <c r="I117">
        <v>55</v>
      </c>
      <c r="J117" t="s">
        <v>21</v>
      </c>
      <c r="K117" t="s">
        <v>22</v>
      </c>
      <c r="L117" t="s">
        <v>731</v>
      </c>
      <c r="M117" t="s">
        <v>24</v>
      </c>
      <c r="N117" t="s">
        <v>25</v>
      </c>
      <c r="O117" s="3">
        <f>COUNTIF(RELATIONSHIPS!$B:$B,A117)+COUNTIF(RELATIONSHIPS!$C:$C,A117)</f>
        <v>3</v>
      </c>
    </row>
    <row r="118" spans="1:15" x14ac:dyDescent="0.3">
      <c r="A118" t="s">
        <v>732</v>
      </c>
      <c r="B118" t="s">
        <v>733</v>
      </c>
      <c r="C118" t="s">
        <v>734</v>
      </c>
      <c r="D118" t="s">
        <v>535</v>
      </c>
      <c r="E118" t="s">
        <v>19</v>
      </c>
      <c r="F118" t="s">
        <v>535</v>
      </c>
      <c r="I118">
        <v>56</v>
      </c>
      <c r="J118" t="s">
        <v>21</v>
      </c>
      <c r="K118" t="s">
        <v>22</v>
      </c>
      <c r="L118" t="s">
        <v>735</v>
      </c>
      <c r="M118" t="s">
        <v>24</v>
      </c>
      <c r="N118" t="s">
        <v>25</v>
      </c>
      <c r="O118" s="3">
        <f>COUNTIF(RELATIONSHIPS!$B:$B,A118)+COUNTIF(RELATIONSHIPS!$C:$C,A118)</f>
        <v>9</v>
      </c>
    </row>
    <row r="119" spans="1:15" x14ac:dyDescent="0.3">
      <c r="A119" t="s">
        <v>736</v>
      </c>
      <c r="B119" t="s">
        <v>737</v>
      </c>
      <c r="C119" t="s">
        <v>738</v>
      </c>
      <c r="D119" t="s">
        <v>535</v>
      </c>
      <c r="E119" t="s">
        <v>19</v>
      </c>
      <c r="F119" t="s">
        <v>535</v>
      </c>
      <c r="I119">
        <v>68</v>
      </c>
      <c r="J119" t="s">
        <v>21</v>
      </c>
      <c r="K119" t="s">
        <v>22</v>
      </c>
      <c r="L119" t="s">
        <v>739</v>
      </c>
      <c r="M119" t="s">
        <v>24</v>
      </c>
      <c r="N119" t="s">
        <v>25</v>
      </c>
      <c r="O119" s="3">
        <f>COUNTIF(RELATIONSHIPS!$B:$B,A119)+COUNTIF(RELATIONSHIPS!$C:$C,A119)</f>
        <v>9</v>
      </c>
    </row>
    <row r="120" spans="1:15" x14ac:dyDescent="0.3">
      <c r="A120" t="s">
        <v>740</v>
      </c>
      <c r="B120" t="s">
        <v>741</v>
      </c>
      <c r="C120" t="s">
        <v>742</v>
      </c>
      <c r="D120" t="s">
        <v>519</v>
      </c>
      <c r="E120" t="s">
        <v>19</v>
      </c>
      <c r="F120" t="s">
        <v>519</v>
      </c>
      <c r="I120">
        <v>69</v>
      </c>
      <c r="J120" t="s">
        <v>21</v>
      </c>
      <c r="K120" t="s">
        <v>22</v>
      </c>
      <c r="L120" t="s">
        <v>739</v>
      </c>
      <c r="M120" t="s">
        <v>24</v>
      </c>
      <c r="N120" t="s">
        <v>25</v>
      </c>
      <c r="O120" s="3">
        <f>COUNTIF(RELATIONSHIPS!$B:$B,A120)+COUNTIF(RELATIONSHIPS!$C:$C,A120)</f>
        <v>9</v>
      </c>
    </row>
    <row r="121" spans="1:15" x14ac:dyDescent="0.3">
      <c r="A121" t="s">
        <v>743</v>
      </c>
      <c r="B121" t="s">
        <v>744</v>
      </c>
      <c r="C121" t="s">
        <v>745</v>
      </c>
      <c r="D121" t="s">
        <v>590</v>
      </c>
      <c r="E121" t="s">
        <v>19</v>
      </c>
      <c r="F121" t="s">
        <v>590</v>
      </c>
      <c r="I121">
        <v>56</v>
      </c>
      <c r="J121" t="s">
        <v>21</v>
      </c>
      <c r="K121" t="s">
        <v>22</v>
      </c>
      <c r="L121" t="s">
        <v>739</v>
      </c>
      <c r="M121" t="s">
        <v>24</v>
      </c>
      <c r="N121" t="s">
        <v>25</v>
      </c>
      <c r="O121" s="3">
        <f>COUNTIF(RELATIONSHIPS!$B:$B,A121)+COUNTIF(RELATIONSHIPS!$C:$C,A121)</f>
        <v>2</v>
      </c>
    </row>
    <row r="122" spans="1:15" x14ac:dyDescent="0.3">
      <c r="A122" t="s">
        <v>746</v>
      </c>
      <c r="B122" t="s">
        <v>747</v>
      </c>
      <c r="C122" t="s">
        <v>748</v>
      </c>
      <c r="D122" t="s">
        <v>749</v>
      </c>
      <c r="E122" t="s">
        <v>19</v>
      </c>
      <c r="F122" t="s">
        <v>749</v>
      </c>
      <c r="I122">
        <v>57</v>
      </c>
      <c r="J122" t="s">
        <v>21</v>
      </c>
      <c r="K122" t="s">
        <v>22</v>
      </c>
      <c r="L122" t="s">
        <v>750</v>
      </c>
      <c r="M122" t="s">
        <v>24</v>
      </c>
      <c r="N122" t="s">
        <v>25</v>
      </c>
      <c r="O122" s="3">
        <f>COUNTIF(RELATIONSHIPS!$B:$B,A122)+COUNTIF(RELATIONSHIPS!$C:$C,A122)</f>
        <v>2</v>
      </c>
    </row>
    <row r="123" spans="1:15" x14ac:dyDescent="0.3">
      <c r="A123" t="s">
        <v>751</v>
      </c>
      <c r="B123" t="s">
        <v>752</v>
      </c>
      <c r="C123" t="s">
        <v>753</v>
      </c>
      <c r="D123" t="s">
        <v>749</v>
      </c>
      <c r="E123" t="s">
        <v>19</v>
      </c>
      <c r="F123" t="s">
        <v>749</v>
      </c>
      <c r="I123">
        <v>58</v>
      </c>
      <c r="J123" t="s">
        <v>21</v>
      </c>
      <c r="K123" t="s">
        <v>22</v>
      </c>
      <c r="L123" t="s">
        <v>726</v>
      </c>
      <c r="M123" t="s">
        <v>24</v>
      </c>
      <c r="N123" t="s">
        <v>25</v>
      </c>
      <c r="O123" s="3">
        <f>COUNTIF(RELATIONSHIPS!$B:$B,A123)+COUNTIF(RELATIONSHIPS!$C:$C,A123)</f>
        <v>2</v>
      </c>
    </row>
    <row r="124" spans="1:15" x14ac:dyDescent="0.3">
      <c r="A124" t="s">
        <v>754</v>
      </c>
      <c r="B124" t="s">
        <v>755</v>
      </c>
      <c r="C124" t="s">
        <v>756</v>
      </c>
      <c r="D124" t="s">
        <v>535</v>
      </c>
      <c r="E124" t="s">
        <v>19</v>
      </c>
      <c r="F124" t="s">
        <v>535</v>
      </c>
      <c r="I124">
        <v>59</v>
      </c>
      <c r="J124" t="s">
        <v>21</v>
      </c>
      <c r="K124" t="s">
        <v>22</v>
      </c>
      <c r="L124" t="s">
        <v>702</v>
      </c>
      <c r="M124" t="s">
        <v>24</v>
      </c>
      <c r="N124" t="s">
        <v>25</v>
      </c>
      <c r="O124" s="3">
        <f>COUNTIF(RELATIONSHIPS!$B:$B,A124)+COUNTIF(RELATIONSHIPS!$C:$C,A124)</f>
        <v>9</v>
      </c>
    </row>
    <row r="125" spans="1:15" x14ac:dyDescent="0.3">
      <c r="A125" t="s">
        <v>757</v>
      </c>
      <c r="B125" t="s">
        <v>758</v>
      </c>
      <c r="C125" t="s">
        <v>759</v>
      </c>
      <c r="D125" t="s">
        <v>535</v>
      </c>
      <c r="E125" t="s">
        <v>19</v>
      </c>
      <c r="F125" t="s">
        <v>535</v>
      </c>
      <c r="I125">
        <v>60</v>
      </c>
      <c r="J125" t="s">
        <v>21</v>
      </c>
      <c r="K125" t="s">
        <v>22</v>
      </c>
      <c r="L125" t="s">
        <v>715</v>
      </c>
      <c r="M125" t="s">
        <v>24</v>
      </c>
      <c r="N125" t="s">
        <v>25</v>
      </c>
      <c r="O125" s="3">
        <f>COUNTIF(RELATIONSHIPS!$B:$B,A125)+COUNTIF(RELATIONSHIPS!$C:$C,A125)</f>
        <v>9</v>
      </c>
    </row>
    <row r="126" spans="1:15" x14ac:dyDescent="0.3">
      <c r="A126" t="s">
        <v>760</v>
      </c>
      <c r="B126" t="s">
        <v>761</v>
      </c>
      <c r="C126" t="s">
        <v>762</v>
      </c>
      <c r="D126" t="s">
        <v>519</v>
      </c>
      <c r="E126" t="s">
        <v>19</v>
      </c>
      <c r="F126" t="s">
        <v>519</v>
      </c>
      <c r="I126">
        <v>61</v>
      </c>
      <c r="J126" t="s">
        <v>21</v>
      </c>
      <c r="K126" t="s">
        <v>22</v>
      </c>
      <c r="L126" t="s">
        <v>763</v>
      </c>
      <c r="M126" t="s">
        <v>24</v>
      </c>
      <c r="N126" t="s">
        <v>25</v>
      </c>
      <c r="O126" s="3">
        <f>COUNTIF(RELATIONSHIPS!$B:$B,A126)+COUNTIF(RELATIONSHIPS!$C:$C,A126)</f>
        <v>9</v>
      </c>
    </row>
    <row r="127" spans="1:15" x14ac:dyDescent="0.3">
      <c r="A127" t="s">
        <v>764</v>
      </c>
      <c r="B127" t="s">
        <v>765</v>
      </c>
      <c r="C127" t="s">
        <v>766</v>
      </c>
      <c r="D127" t="s">
        <v>552</v>
      </c>
      <c r="E127" t="s">
        <v>19</v>
      </c>
      <c r="F127" t="s">
        <v>552</v>
      </c>
      <c r="I127">
        <v>62</v>
      </c>
      <c r="J127" t="s">
        <v>21</v>
      </c>
      <c r="K127" t="s">
        <v>22</v>
      </c>
      <c r="L127" t="s">
        <v>726</v>
      </c>
      <c r="M127" t="s">
        <v>24</v>
      </c>
      <c r="N127" t="s">
        <v>25</v>
      </c>
      <c r="O127" s="3">
        <f>COUNTIF(RELATIONSHIPS!$B:$B,A127)+COUNTIF(RELATIONSHIPS!$C:$C,A127)</f>
        <v>9</v>
      </c>
    </row>
    <row r="128" spans="1:15" x14ac:dyDescent="0.3">
      <c r="A128" t="s">
        <v>767</v>
      </c>
      <c r="B128" t="s">
        <v>768</v>
      </c>
      <c r="C128" t="s">
        <v>769</v>
      </c>
      <c r="D128" t="s">
        <v>552</v>
      </c>
      <c r="E128" t="s">
        <v>19</v>
      </c>
      <c r="F128" t="s">
        <v>552</v>
      </c>
      <c r="I128">
        <v>63</v>
      </c>
      <c r="J128" t="s">
        <v>21</v>
      </c>
      <c r="K128" t="s">
        <v>22</v>
      </c>
      <c r="L128" t="s">
        <v>726</v>
      </c>
      <c r="M128" t="s">
        <v>24</v>
      </c>
      <c r="N128" t="s">
        <v>25</v>
      </c>
      <c r="O128" s="3">
        <f>COUNTIF(RELATIONSHIPS!$B:$B,A128)+COUNTIF(RELATIONSHIPS!$C:$C,A128)</f>
        <v>2</v>
      </c>
    </row>
    <row r="129" spans="1:15" x14ac:dyDescent="0.3">
      <c r="A129" t="s">
        <v>770</v>
      </c>
      <c r="B129" t="s">
        <v>771</v>
      </c>
      <c r="C129" t="s">
        <v>772</v>
      </c>
      <c r="D129" t="s">
        <v>552</v>
      </c>
      <c r="E129" t="s">
        <v>19</v>
      </c>
      <c r="F129" t="s">
        <v>552</v>
      </c>
      <c r="I129">
        <v>78</v>
      </c>
      <c r="J129" t="s">
        <v>21</v>
      </c>
      <c r="K129" t="s">
        <v>22</v>
      </c>
      <c r="L129" t="s">
        <v>773</v>
      </c>
      <c r="M129" t="s">
        <v>24</v>
      </c>
      <c r="N129" t="s">
        <v>25</v>
      </c>
      <c r="O129" s="3">
        <f>COUNTIF(RELATIONSHIPS!$B:$B,A129)+COUNTIF(RELATIONSHIPS!$C:$C,A129)</f>
        <v>2</v>
      </c>
    </row>
    <row r="130" spans="1:15" x14ac:dyDescent="0.3">
      <c r="A130" t="s">
        <v>774</v>
      </c>
      <c r="B130" t="s">
        <v>775</v>
      </c>
      <c r="C130" t="s">
        <v>776</v>
      </c>
      <c r="D130" t="s">
        <v>552</v>
      </c>
      <c r="E130" t="s">
        <v>19</v>
      </c>
      <c r="F130" t="s">
        <v>552</v>
      </c>
      <c r="I130">
        <v>79</v>
      </c>
      <c r="J130" t="s">
        <v>21</v>
      </c>
      <c r="K130" t="s">
        <v>22</v>
      </c>
      <c r="L130" t="s">
        <v>763</v>
      </c>
      <c r="M130" t="s">
        <v>24</v>
      </c>
      <c r="N130" t="s">
        <v>25</v>
      </c>
      <c r="O130" s="3">
        <f>COUNTIF(RELATIONSHIPS!$B:$B,A130)+COUNTIF(RELATIONSHIPS!$C:$C,A130)</f>
        <v>2</v>
      </c>
    </row>
    <row r="131" spans="1:15" x14ac:dyDescent="0.3">
      <c r="A131" t="s">
        <v>777</v>
      </c>
      <c r="B131" t="s">
        <v>778</v>
      </c>
      <c r="C131" t="s">
        <v>779</v>
      </c>
      <c r="D131" t="s">
        <v>552</v>
      </c>
      <c r="E131" t="s">
        <v>19</v>
      </c>
      <c r="F131" t="s">
        <v>552</v>
      </c>
      <c r="I131">
        <v>80</v>
      </c>
      <c r="J131" t="s">
        <v>21</v>
      </c>
      <c r="K131" t="s">
        <v>22</v>
      </c>
      <c r="L131" t="s">
        <v>763</v>
      </c>
      <c r="M131" t="s">
        <v>24</v>
      </c>
      <c r="N131" t="s">
        <v>25</v>
      </c>
      <c r="O131" s="3">
        <f>COUNTIF(RELATIONSHIPS!$B:$B,A131)+COUNTIF(RELATIONSHIPS!$C:$C,A131)</f>
        <v>2</v>
      </c>
    </row>
    <row r="132" spans="1:15" x14ac:dyDescent="0.3">
      <c r="A132" t="s">
        <v>780</v>
      </c>
      <c r="B132" t="s">
        <v>781</v>
      </c>
      <c r="C132" t="s">
        <v>782</v>
      </c>
      <c r="D132" t="s">
        <v>548</v>
      </c>
      <c r="E132" t="s">
        <v>19</v>
      </c>
      <c r="F132" t="s">
        <v>548</v>
      </c>
      <c r="I132">
        <v>81</v>
      </c>
      <c r="J132" t="s">
        <v>21</v>
      </c>
      <c r="K132" t="s">
        <v>22</v>
      </c>
      <c r="L132" t="s">
        <v>763</v>
      </c>
      <c r="M132" t="s">
        <v>24</v>
      </c>
      <c r="N132" t="s">
        <v>25</v>
      </c>
      <c r="O132" s="3">
        <f>COUNTIF(RELATIONSHIPS!$B:$B,A132)+COUNTIF(RELATIONSHIPS!$C:$C,A132)</f>
        <v>9</v>
      </c>
    </row>
    <row r="133" spans="1:15" x14ac:dyDescent="0.3">
      <c r="A133" t="s">
        <v>783</v>
      </c>
      <c r="B133" t="s">
        <v>784</v>
      </c>
      <c r="C133" t="s">
        <v>785</v>
      </c>
      <c r="D133" t="s">
        <v>535</v>
      </c>
      <c r="E133" t="s">
        <v>19</v>
      </c>
      <c r="F133" t="s">
        <v>535</v>
      </c>
      <c r="I133">
        <v>82</v>
      </c>
      <c r="J133" t="s">
        <v>21</v>
      </c>
      <c r="K133" t="s">
        <v>22</v>
      </c>
      <c r="L133" t="s">
        <v>688</v>
      </c>
      <c r="M133" t="s">
        <v>24</v>
      </c>
      <c r="N133" t="s">
        <v>25</v>
      </c>
      <c r="O133" s="3">
        <f>COUNTIF(RELATIONSHIPS!$B:$B,A133)+COUNTIF(RELATIONSHIPS!$C:$C,A133)</f>
        <v>9</v>
      </c>
    </row>
    <row r="134" spans="1:15" x14ac:dyDescent="0.3">
      <c r="A134" t="s">
        <v>786</v>
      </c>
      <c r="B134" t="s">
        <v>787</v>
      </c>
      <c r="C134" t="s">
        <v>788</v>
      </c>
      <c r="D134" t="s">
        <v>535</v>
      </c>
      <c r="E134" t="s">
        <v>19</v>
      </c>
      <c r="F134" t="s">
        <v>535</v>
      </c>
      <c r="I134">
        <v>83</v>
      </c>
      <c r="J134" t="s">
        <v>21</v>
      </c>
      <c r="K134" t="s">
        <v>22</v>
      </c>
      <c r="L134" t="s">
        <v>688</v>
      </c>
      <c r="M134" t="s">
        <v>24</v>
      </c>
      <c r="N134" t="s">
        <v>25</v>
      </c>
      <c r="O134" s="3">
        <f>COUNTIF(RELATIONSHIPS!$B:$B,A134)+COUNTIF(RELATIONSHIPS!$C:$C,A134)</f>
        <v>9</v>
      </c>
    </row>
    <row r="135" spans="1:15" x14ac:dyDescent="0.3">
      <c r="A135" t="s">
        <v>789</v>
      </c>
      <c r="B135" t="s">
        <v>790</v>
      </c>
      <c r="C135" t="s">
        <v>791</v>
      </c>
      <c r="D135" t="s">
        <v>519</v>
      </c>
      <c r="E135" t="s">
        <v>19</v>
      </c>
      <c r="F135" t="s">
        <v>519</v>
      </c>
      <c r="I135">
        <v>84</v>
      </c>
      <c r="J135" t="s">
        <v>21</v>
      </c>
      <c r="K135" t="s">
        <v>22</v>
      </c>
      <c r="L135" t="s">
        <v>688</v>
      </c>
      <c r="M135" t="s">
        <v>24</v>
      </c>
      <c r="N135" t="s">
        <v>25</v>
      </c>
      <c r="O135" s="3">
        <f>COUNTIF(RELATIONSHIPS!$B:$B,A135)+COUNTIF(RELATIONSHIPS!$C:$C,A135)</f>
        <v>9</v>
      </c>
    </row>
    <row r="136" spans="1:15" x14ac:dyDescent="0.3">
      <c r="A136" t="s">
        <v>792</v>
      </c>
      <c r="B136" t="s">
        <v>793</v>
      </c>
      <c r="C136" t="s">
        <v>794</v>
      </c>
      <c r="D136" t="s">
        <v>552</v>
      </c>
      <c r="E136" t="s">
        <v>19</v>
      </c>
      <c r="F136" t="s">
        <v>552</v>
      </c>
      <c r="I136">
        <v>85</v>
      </c>
      <c r="J136" t="s">
        <v>21</v>
      </c>
      <c r="K136" t="s">
        <v>22</v>
      </c>
      <c r="L136" t="s">
        <v>688</v>
      </c>
      <c r="M136" t="s">
        <v>24</v>
      </c>
      <c r="N136" t="s">
        <v>25</v>
      </c>
      <c r="O136" s="3">
        <f>COUNTIF(RELATIONSHIPS!$B:$B,A136)+COUNTIF(RELATIONSHIPS!$C:$C,A136)</f>
        <v>9</v>
      </c>
    </row>
    <row r="137" spans="1:15" x14ac:dyDescent="0.3">
      <c r="A137" t="s">
        <v>795</v>
      </c>
      <c r="B137" t="s">
        <v>796</v>
      </c>
      <c r="C137" t="s">
        <v>797</v>
      </c>
      <c r="D137" t="s">
        <v>552</v>
      </c>
      <c r="E137" t="s">
        <v>19</v>
      </c>
      <c r="F137" t="s">
        <v>552</v>
      </c>
      <c r="I137">
        <v>86</v>
      </c>
      <c r="J137" t="s">
        <v>21</v>
      </c>
      <c r="K137" t="s">
        <v>22</v>
      </c>
      <c r="L137" t="s">
        <v>688</v>
      </c>
      <c r="M137" t="s">
        <v>24</v>
      </c>
      <c r="N137" t="s">
        <v>25</v>
      </c>
      <c r="O137" s="3">
        <f>COUNTIF(RELATIONSHIPS!$B:$B,A137)+COUNTIF(RELATIONSHIPS!$C:$C,A137)</f>
        <v>2</v>
      </c>
    </row>
    <row r="138" spans="1:15" x14ac:dyDescent="0.3">
      <c r="A138" t="s">
        <v>798</v>
      </c>
      <c r="B138" t="s">
        <v>799</v>
      </c>
      <c r="C138" t="s">
        <v>800</v>
      </c>
      <c r="D138" t="s">
        <v>548</v>
      </c>
      <c r="E138" t="s">
        <v>19</v>
      </c>
      <c r="F138" t="s">
        <v>548</v>
      </c>
      <c r="I138">
        <v>87</v>
      </c>
      <c r="J138" t="s">
        <v>21</v>
      </c>
      <c r="K138" t="s">
        <v>22</v>
      </c>
      <c r="L138" t="s">
        <v>625</v>
      </c>
      <c r="M138" t="s">
        <v>24</v>
      </c>
      <c r="N138" t="s">
        <v>25</v>
      </c>
      <c r="O138" s="3">
        <f>COUNTIF(RELATIONSHIPS!$B:$B,A138)+COUNTIF(RELATIONSHIPS!$C:$C,A138)</f>
        <v>9</v>
      </c>
    </row>
    <row r="139" spans="1:15" x14ac:dyDescent="0.3">
      <c r="A139" t="s">
        <v>801</v>
      </c>
      <c r="B139" t="s">
        <v>802</v>
      </c>
      <c r="C139" t="s">
        <v>803</v>
      </c>
      <c r="D139" t="s">
        <v>624</v>
      </c>
      <c r="E139" t="s">
        <v>19</v>
      </c>
      <c r="F139" t="s">
        <v>624</v>
      </c>
      <c r="I139">
        <v>88</v>
      </c>
      <c r="J139" t="s">
        <v>21</v>
      </c>
      <c r="K139" t="s">
        <v>22</v>
      </c>
      <c r="L139" t="s">
        <v>804</v>
      </c>
      <c r="M139" t="s">
        <v>24</v>
      </c>
      <c r="N139" t="s">
        <v>25</v>
      </c>
      <c r="O139" s="3">
        <f>COUNTIF(RELATIONSHIPS!$B:$B,A139)+COUNTIF(RELATIONSHIPS!$C:$C,A139)</f>
        <v>9</v>
      </c>
    </row>
    <row r="140" spans="1:15" x14ac:dyDescent="0.3">
      <c r="A140" t="s">
        <v>805</v>
      </c>
      <c r="B140" t="s">
        <v>806</v>
      </c>
      <c r="C140" t="s">
        <v>807</v>
      </c>
      <c r="D140" t="s">
        <v>624</v>
      </c>
      <c r="E140" t="s">
        <v>19</v>
      </c>
      <c r="F140" t="s">
        <v>624</v>
      </c>
      <c r="I140">
        <v>89</v>
      </c>
      <c r="J140" t="s">
        <v>21</v>
      </c>
      <c r="K140" t="s">
        <v>22</v>
      </c>
      <c r="L140" t="s">
        <v>808</v>
      </c>
      <c r="M140" t="s">
        <v>24</v>
      </c>
      <c r="N140" t="s">
        <v>25</v>
      </c>
      <c r="O140" s="3">
        <f>COUNTIF(RELATIONSHIPS!$B:$B,A140)+COUNTIF(RELATIONSHIPS!$C:$C,A140)</f>
        <v>10</v>
      </c>
    </row>
    <row r="141" spans="1:15" x14ac:dyDescent="0.3">
      <c r="A141" t="s">
        <v>809</v>
      </c>
      <c r="B141" t="s">
        <v>810</v>
      </c>
      <c r="C141" t="s">
        <v>811</v>
      </c>
      <c r="D141" t="s">
        <v>519</v>
      </c>
      <c r="E141" t="s">
        <v>19</v>
      </c>
      <c r="F141" t="s">
        <v>519</v>
      </c>
      <c r="I141">
        <v>90</v>
      </c>
      <c r="J141" t="s">
        <v>21</v>
      </c>
      <c r="K141" t="s">
        <v>22</v>
      </c>
      <c r="L141" t="s">
        <v>808</v>
      </c>
      <c r="M141" t="s">
        <v>24</v>
      </c>
      <c r="N141" t="s">
        <v>25</v>
      </c>
      <c r="O141" s="3">
        <f>COUNTIF(RELATIONSHIPS!$B:$B,A141)+COUNTIF(RELATIONSHIPS!$C:$C,A141)</f>
        <v>9</v>
      </c>
    </row>
    <row r="142" spans="1:15" x14ac:dyDescent="0.3">
      <c r="A142" t="s">
        <v>812</v>
      </c>
      <c r="B142" t="s">
        <v>813</v>
      </c>
      <c r="C142" t="s">
        <v>814</v>
      </c>
      <c r="D142" t="s">
        <v>590</v>
      </c>
      <c r="E142" t="s">
        <v>19</v>
      </c>
      <c r="F142" t="s">
        <v>590</v>
      </c>
      <c r="I142">
        <v>91</v>
      </c>
      <c r="J142" t="s">
        <v>21</v>
      </c>
      <c r="K142" t="s">
        <v>22</v>
      </c>
      <c r="L142" t="s">
        <v>815</v>
      </c>
      <c r="M142" t="s">
        <v>24</v>
      </c>
      <c r="N142" t="s">
        <v>25</v>
      </c>
      <c r="O142" s="3">
        <f>COUNTIF(RELATIONSHIPS!$B:$B,A142)+COUNTIF(RELATIONSHIPS!$C:$C,A142)</f>
        <v>2</v>
      </c>
    </row>
    <row r="143" spans="1:15" x14ac:dyDescent="0.3">
      <c r="A143" t="s">
        <v>816</v>
      </c>
      <c r="B143" t="s">
        <v>817</v>
      </c>
      <c r="C143" t="s">
        <v>818</v>
      </c>
      <c r="D143" t="s">
        <v>590</v>
      </c>
      <c r="E143" t="s">
        <v>19</v>
      </c>
      <c r="F143" t="s">
        <v>590</v>
      </c>
      <c r="I143">
        <v>92</v>
      </c>
      <c r="J143" t="s">
        <v>21</v>
      </c>
      <c r="K143" t="s">
        <v>22</v>
      </c>
      <c r="L143" t="s">
        <v>808</v>
      </c>
      <c r="M143" t="s">
        <v>24</v>
      </c>
      <c r="N143" t="s">
        <v>25</v>
      </c>
      <c r="O143" s="3">
        <f>COUNTIF(RELATIONSHIPS!$B:$B,A143)+COUNTIF(RELATIONSHIPS!$C:$C,A143)</f>
        <v>2</v>
      </c>
    </row>
    <row r="144" spans="1:15" x14ac:dyDescent="0.3">
      <c r="A144" t="s">
        <v>819</v>
      </c>
      <c r="B144" t="s">
        <v>820</v>
      </c>
      <c r="C144" t="s">
        <v>821</v>
      </c>
      <c r="D144" t="s">
        <v>535</v>
      </c>
      <c r="E144" t="s">
        <v>19</v>
      </c>
      <c r="F144" t="s">
        <v>535</v>
      </c>
      <c r="I144">
        <v>93</v>
      </c>
      <c r="J144" t="s">
        <v>21</v>
      </c>
      <c r="K144" t="s">
        <v>22</v>
      </c>
      <c r="L144" t="s">
        <v>715</v>
      </c>
      <c r="M144" t="s">
        <v>24</v>
      </c>
      <c r="N144" t="s">
        <v>25</v>
      </c>
      <c r="O144" s="3">
        <f>COUNTIF(RELATIONSHIPS!$B:$B,A144)+COUNTIF(RELATIONSHIPS!$C:$C,A144)</f>
        <v>9</v>
      </c>
    </row>
    <row r="145" spans="1:15" x14ac:dyDescent="0.3">
      <c r="A145" t="s">
        <v>822</v>
      </c>
      <c r="B145" t="s">
        <v>823</v>
      </c>
      <c r="C145" t="s">
        <v>824</v>
      </c>
      <c r="D145" t="s">
        <v>535</v>
      </c>
      <c r="E145" t="s">
        <v>19</v>
      </c>
      <c r="F145" t="s">
        <v>535</v>
      </c>
      <c r="I145">
        <v>94</v>
      </c>
      <c r="J145" t="s">
        <v>21</v>
      </c>
      <c r="K145" t="s">
        <v>22</v>
      </c>
      <c r="L145" t="s">
        <v>726</v>
      </c>
      <c r="M145" t="s">
        <v>24</v>
      </c>
      <c r="N145" t="s">
        <v>25</v>
      </c>
      <c r="O145" s="3">
        <f>COUNTIF(RELATIONSHIPS!$B:$B,A145)+COUNTIF(RELATIONSHIPS!$C:$C,A145)</f>
        <v>9</v>
      </c>
    </row>
    <row r="146" spans="1:15" x14ac:dyDescent="0.3">
      <c r="A146" t="s">
        <v>825</v>
      </c>
      <c r="B146" t="s">
        <v>826</v>
      </c>
      <c r="C146" t="s">
        <v>827</v>
      </c>
      <c r="D146" t="s">
        <v>519</v>
      </c>
      <c r="E146" t="s">
        <v>19</v>
      </c>
      <c r="F146" t="s">
        <v>519</v>
      </c>
      <c r="I146">
        <v>95</v>
      </c>
      <c r="J146" t="s">
        <v>21</v>
      </c>
      <c r="K146" t="s">
        <v>22</v>
      </c>
      <c r="L146" t="s">
        <v>591</v>
      </c>
      <c r="M146" t="s">
        <v>24</v>
      </c>
      <c r="N146" t="s">
        <v>25</v>
      </c>
      <c r="O146" s="3">
        <f>COUNTIF(RELATIONSHIPS!$B:$B,A146)+COUNTIF(RELATIONSHIPS!$C:$C,A146)</f>
        <v>9</v>
      </c>
    </row>
    <row r="147" spans="1:15" x14ac:dyDescent="0.3">
      <c r="A147" t="s">
        <v>828</v>
      </c>
      <c r="B147" t="s">
        <v>829</v>
      </c>
      <c r="C147" t="s">
        <v>830</v>
      </c>
      <c r="D147" t="s">
        <v>519</v>
      </c>
      <c r="E147" t="s">
        <v>19</v>
      </c>
      <c r="F147" t="s">
        <v>519</v>
      </c>
      <c r="I147">
        <v>96</v>
      </c>
      <c r="J147" t="s">
        <v>21</v>
      </c>
      <c r="K147" t="s">
        <v>22</v>
      </c>
      <c r="L147" t="s">
        <v>591</v>
      </c>
      <c r="M147" t="s">
        <v>24</v>
      </c>
      <c r="N147" t="s">
        <v>25</v>
      </c>
      <c r="O147" s="3">
        <f>COUNTIF(RELATIONSHIPS!$B:$B,A147)+COUNTIF(RELATIONSHIPS!$C:$C,A147)</f>
        <v>2</v>
      </c>
    </row>
    <row r="148" spans="1:15" x14ac:dyDescent="0.3">
      <c r="A148" t="s">
        <v>831</v>
      </c>
      <c r="B148" t="s">
        <v>832</v>
      </c>
      <c r="C148" t="s">
        <v>833</v>
      </c>
      <c r="D148" t="s">
        <v>548</v>
      </c>
      <c r="E148" t="s">
        <v>19</v>
      </c>
      <c r="F148" t="s">
        <v>548</v>
      </c>
      <c r="I148">
        <v>97</v>
      </c>
      <c r="J148" t="s">
        <v>21</v>
      </c>
      <c r="K148" t="s">
        <v>22</v>
      </c>
      <c r="L148" t="s">
        <v>763</v>
      </c>
      <c r="M148" t="s">
        <v>24</v>
      </c>
      <c r="N148" t="s">
        <v>25</v>
      </c>
      <c r="O148" s="3">
        <f>COUNTIF(RELATIONSHIPS!$B:$B,A148)+COUNTIF(RELATIONSHIPS!$C:$C,A148)</f>
        <v>9</v>
      </c>
    </row>
    <row r="149" spans="1:15" x14ac:dyDescent="0.3">
      <c r="A149" t="s">
        <v>834</v>
      </c>
      <c r="B149" t="s">
        <v>835</v>
      </c>
      <c r="C149" t="s">
        <v>836</v>
      </c>
      <c r="D149" t="s">
        <v>590</v>
      </c>
      <c r="E149" t="s">
        <v>19</v>
      </c>
      <c r="F149" t="s">
        <v>590</v>
      </c>
      <c r="I149">
        <v>98</v>
      </c>
      <c r="J149" t="s">
        <v>21</v>
      </c>
      <c r="K149" t="s">
        <v>22</v>
      </c>
      <c r="L149" t="s">
        <v>726</v>
      </c>
      <c r="M149" t="s">
        <v>24</v>
      </c>
      <c r="N149" t="s">
        <v>25</v>
      </c>
      <c r="O149" s="3">
        <f>COUNTIF(RELATIONSHIPS!$B:$B,A149)+COUNTIF(RELATIONSHIPS!$C:$C,A149)</f>
        <v>2</v>
      </c>
    </row>
    <row r="150" spans="1:15" x14ac:dyDescent="0.3">
      <c r="A150" t="s">
        <v>837</v>
      </c>
      <c r="B150" t="s">
        <v>838</v>
      </c>
      <c r="C150" t="s">
        <v>839</v>
      </c>
      <c r="D150" t="s">
        <v>590</v>
      </c>
      <c r="E150" t="s">
        <v>19</v>
      </c>
      <c r="F150" t="s">
        <v>590</v>
      </c>
      <c r="I150">
        <v>99</v>
      </c>
      <c r="J150" t="s">
        <v>21</v>
      </c>
      <c r="K150" t="s">
        <v>22</v>
      </c>
      <c r="L150" t="s">
        <v>726</v>
      </c>
      <c r="M150" t="s">
        <v>24</v>
      </c>
      <c r="N150" t="s">
        <v>25</v>
      </c>
      <c r="O150" s="3">
        <f>COUNTIF(RELATIONSHIPS!$B:$B,A150)+COUNTIF(RELATIONSHIPS!$C:$C,A150)</f>
        <v>2</v>
      </c>
    </row>
    <row r="151" spans="1:15" x14ac:dyDescent="0.3">
      <c r="A151" t="s">
        <v>840</v>
      </c>
      <c r="B151" t="s">
        <v>841</v>
      </c>
      <c r="C151" t="s">
        <v>842</v>
      </c>
      <c r="D151" t="s">
        <v>535</v>
      </c>
      <c r="E151" t="s">
        <v>19</v>
      </c>
      <c r="F151" t="s">
        <v>535</v>
      </c>
      <c r="I151">
        <v>100</v>
      </c>
      <c r="J151" t="s">
        <v>21</v>
      </c>
      <c r="K151" t="s">
        <v>22</v>
      </c>
      <c r="L151" t="s">
        <v>571</v>
      </c>
      <c r="M151" t="s">
        <v>24</v>
      </c>
      <c r="N151" t="s">
        <v>25</v>
      </c>
      <c r="O151" s="3">
        <f>COUNTIF(RELATIONSHIPS!$B:$B,A151)+COUNTIF(RELATIONSHIPS!$C:$C,A151)</f>
        <v>9</v>
      </c>
    </row>
    <row r="152" spans="1:15" x14ac:dyDescent="0.3">
      <c r="A152" t="s">
        <v>843</v>
      </c>
      <c r="B152" t="s">
        <v>844</v>
      </c>
      <c r="C152" t="s">
        <v>845</v>
      </c>
      <c r="D152" t="s">
        <v>535</v>
      </c>
      <c r="E152" t="s">
        <v>19</v>
      </c>
      <c r="F152" t="s">
        <v>535</v>
      </c>
      <c r="I152">
        <v>101</v>
      </c>
      <c r="J152" t="s">
        <v>21</v>
      </c>
      <c r="K152" t="s">
        <v>22</v>
      </c>
      <c r="L152" t="s">
        <v>544</v>
      </c>
      <c r="M152" t="s">
        <v>24</v>
      </c>
      <c r="N152" t="s">
        <v>25</v>
      </c>
      <c r="O152" s="3">
        <f>COUNTIF(RELATIONSHIPS!$B:$B,A152)+COUNTIF(RELATIONSHIPS!$C:$C,A152)</f>
        <v>9</v>
      </c>
    </row>
    <row r="153" spans="1:15" x14ac:dyDescent="0.3">
      <c r="A153" t="s">
        <v>846</v>
      </c>
      <c r="B153" t="s">
        <v>847</v>
      </c>
      <c r="C153" t="s">
        <v>848</v>
      </c>
      <c r="D153" t="s">
        <v>519</v>
      </c>
      <c r="E153" t="s">
        <v>19</v>
      </c>
      <c r="F153" t="s">
        <v>519</v>
      </c>
      <c r="I153">
        <v>102</v>
      </c>
      <c r="J153" t="s">
        <v>21</v>
      </c>
      <c r="K153" t="s">
        <v>22</v>
      </c>
      <c r="L153" t="s">
        <v>571</v>
      </c>
      <c r="M153" t="s">
        <v>24</v>
      </c>
      <c r="N153" t="s">
        <v>25</v>
      </c>
      <c r="O153" s="3">
        <f>COUNTIF(RELATIONSHIPS!$B:$B,A153)+COUNTIF(RELATIONSHIPS!$C:$C,A153)</f>
        <v>9</v>
      </c>
    </row>
    <row r="154" spans="1:15" x14ac:dyDescent="0.3">
      <c r="A154" t="s">
        <v>849</v>
      </c>
      <c r="B154" t="s">
        <v>850</v>
      </c>
      <c r="C154" t="s">
        <v>851</v>
      </c>
      <c r="D154" t="s">
        <v>548</v>
      </c>
      <c r="E154" t="s">
        <v>19</v>
      </c>
      <c r="F154" t="s">
        <v>548</v>
      </c>
      <c r="I154">
        <v>103</v>
      </c>
      <c r="J154" t="s">
        <v>21</v>
      </c>
      <c r="K154" t="s">
        <v>22</v>
      </c>
      <c r="L154" t="s">
        <v>571</v>
      </c>
      <c r="M154" t="s">
        <v>24</v>
      </c>
      <c r="N154" t="s">
        <v>25</v>
      </c>
      <c r="O154" s="3">
        <f>COUNTIF(RELATIONSHIPS!$B:$B,A154)+COUNTIF(RELATIONSHIPS!$C:$C,A154)</f>
        <v>9</v>
      </c>
    </row>
    <row r="155" spans="1:15" x14ac:dyDescent="0.3">
      <c r="A155" t="s">
        <v>852</v>
      </c>
      <c r="B155" t="s">
        <v>853</v>
      </c>
      <c r="C155" t="s">
        <v>854</v>
      </c>
      <c r="D155" t="s">
        <v>590</v>
      </c>
      <c r="E155" t="s">
        <v>19</v>
      </c>
      <c r="F155" t="s">
        <v>590</v>
      </c>
      <c r="I155">
        <v>104</v>
      </c>
      <c r="J155" t="s">
        <v>21</v>
      </c>
      <c r="K155" t="s">
        <v>22</v>
      </c>
      <c r="L155" t="s">
        <v>715</v>
      </c>
      <c r="M155" t="s">
        <v>24</v>
      </c>
      <c r="N155" t="s">
        <v>25</v>
      </c>
      <c r="O155" s="3">
        <f>COUNTIF(RELATIONSHIPS!$B:$B,A155)+COUNTIF(RELATIONSHIPS!$C:$C,A155)</f>
        <v>2</v>
      </c>
    </row>
    <row r="156" spans="1:15" x14ac:dyDescent="0.3">
      <c r="A156" t="s">
        <v>855</v>
      </c>
      <c r="B156" t="s">
        <v>856</v>
      </c>
      <c r="C156" t="s">
        <v>857</v>
      </c>
      <c r="D156" t="s">
        <v>535</v>
      </c>
      <c r="E156" t="s">
        <v>19</v>
      </c>
      <c r="F156" t="s">
        <v>535</v>
      </c>
      <c r="I156">
        <v>105</v>
      </c>
      <c r="J156" t="s">
        <v>21</v>
      </c>
      <c r="K156" t="s">
        <v>22</v>
      </c>
      <c r="L156" t="s">
        <v>715</v>
      </c>
      <c r="M156" t="s">
        <v>24</v>
      </c>
      <c r="N156" t="s">
        <v>25</v>
      </c>
      <c r="O156" s="3">
        <f>COUNTIF(RELATIONSHIPS!$B:$B,A156)+COUNTIF(RELATIONSHIPS!$C:$C,A156)</f>
        <v>9</v>
      </c>
    </row>
    <row r="157" spans="1:15" x14ac:dyDescent="0.3">
      <c r="A157" t="s">
        <v>858</v>
      </c>
      <c r="B157" t="s">
        <v>859</v>
      </c>
      <c r="C157" t="s">
        <v>860</v>
      </c>
      <c r="D157" t="s">
        <v>861</v>
      </c>
      <c r="E157" t="s">
        <v>19</v>
      </c>
      <c r="F157" t="s">
        <v>861</v>
      </c>
      <c r="I157">
        <v>106</v>
      </c>
      <c r="J157" t="s">
        <v>21</v>
      </c>
      <c r="K157" t="s">
        <v>22</v>
      </c>
      <c r="L157" t="s">
        <v>715</v>
      </c>
      <c r="M157" t="s">
        <v>24</v>
      </c>
      <c r="N157" t="s">
        <v>25</v>
      </c>
      <c r="O157" s="3">
        <f>COUNTIF(RELATIONSHIPS!$B:$B,A157)+COUNTIF(RELATIONSHIPS!$C:$C,A157)</f>
        <v>9</v>
      </c>
    </row>
    <row r="158" spans="1:15" x14ac:dyDescent="0.3">
      <c r="A158" t="s">
        <v>862</v>
      </c>
      <c r="B158" t="s">
        <v>863</v>
      </c>
      <c r="C158" t="s">
        <v>864</v>
      </c>
      <c r="D158" t="s">
        <v>519</v>
      </c>
      <c r="E158" t="s">
        <v>19</v>
      </c>
      <c r="F158" t="s">
        <v>519</v>
      </c>
      <c r="I158">
        <v>107</v>
      </c>
      <c r="J158" t="s">
        <v>21</v>
      </c>
      <c r="K158" t="s">
        <v>22</v>
      </c>
      <c r="L158" t="s">
        <v>715</v>
      </c>
      <c r="M158" t="s">
        <v>24</v>
      </c>
      <c r="N158" t="s">
        <v>25</v>
      </c>
      <c r="O158" s="3">
        <f>COUNTIF(RELATIONSHIPS!$B:$B,A158)+COUNTIF(RELATIONSHIPS!$C:$C,A158)</f>
        <v>9</v>
      </c>
    </row>
    <row r="159" spans="1:15" x14ac:dyDescent="0.3">
      <c r="A159" t="s">
        <v>865</v>
      </c>
      <c r="B159" t="s">
        <v>866</v>
      </c>
      <c r="C159" t="s">
        <v>867</v>
      </c>
      <c r="D159" t="s">
        <v>548</v>
      </c>
      <c r="E159" t="s">
        <v>19</v>
      </c>
      <c r="F159" t="s">
        <v>548</v>
      </c>
      <c r="I159">
        <v>108</v>
      </c>
      <c r="J159" t="s">
        <v>21</v>
      </c>
      <c r="K159" t="s">
        <v>22</v>
      </c>
      <c r="L159" t="s">
        <v>571</v>
      </c>
      <c r="M159" t="s">
        <v>24</v>
      </c>
      <c r="N159" t="s">
        <v>25</v>
      </c>
      <c r="O159" s="3">
        <f>COUNTIF(RELATIONSHIPS!$B:$B,A159)+COUNTIF(RELATIONSHIPS!$C:$C,A159)</f>
        <v>8</v>
      </c>
    </row>
    <row r="160" spans="1:15" x14ac:dyDescent="0.3">
      <c r="A160" t="s">
        <v>868</v>
      </c>
      <c r="B160" t="s">
        <v>869</v>
      </c>
      <c r="C160" t="s">
        <v>870</v>
      </c>
      <c r="D160" t="s">
        <v>871</v>
      </c>
      <c r="E160" t="s">
        <v>19</v>
      </c>
      <c r="F160" t="s">
        <v>871</v>
      </c>
      <c r="I160">
        <v>109</v>
      </c>
      <c r="J160" t="s">
        <v>21</v>
      </c>
      <c r="K160" t="s">
        <v>22</v>
      </c>
      <c r="L160" t="s">
        <v>571</v>
      </c>
      <c r="M160" t="s">
        <v>24</v>
      </c>
      <c r="N160" t="s">
        <v>25</v>
      </c>
      <c r="O160" s="3">
        <f>COUNTIF(RELATIONSHIPS!$B:$B,A160)+COUNTIF(RELATIONSHIPS!$C:$C,A160)</f>
        <v>1</v>
      </c>
    </row>
    <row r="161" spans="1:15" x14ac:dyDescent="0.3">
      <c r="A161" t="s">
        <v>872</v>
      </c>
      <c r="B161" t="s">
        <v>873</v>
      </c>
      <c r="C161" t="s">
        <v>874</v>
      </c>
      <c r="D161" t="s">
        <v>220</v>
      </c>
      <c r="E161" t="s">
        <v>19</v>
      </c>
      <c r="F161" t="s">
        <v>220</v>
      </c>
      <c r="I161">
        <v>110</v>
      </c>
      <c r="J161" t="s">
        <v>21</v>
      </c>
      <c r="K161" t="s">
        <v>22</v>
      </c>
      <c r="L161" t="s">
        <v>726</v>
      </c>
      <c r="M161" t="s">
        <v>24</v>
      </c>
      <c r="N161" t="s">
        <v>25</v>
      </c>
      <c r="O161" s="3">
        <f>COUNTIF(RELATIONSHIPS!$B:$B,A161)+COUNTIF(RELATIONSHIPS!$C:$C,A161)</f>
        <v>2</v>
      </c>
    </row>
    <row r="162" spans="1:15" x14ac:dyDescent="0.3">
      <c r="A162" t="s">
        <v>875</v>
      </c>
      <c r="B162" t="s">
        <v>876</v>
      </c>
      <c r="C162" t="s">
        <v>877</v>
      </c>
      <c r="D162" t="s">
        <v>220</v>
      </c>
      <c r="E162" t="s">
        <v>19</v>
      </c>
      <c r="F162" t="s">
        <v>220</v>
      </c>
      <c r="I162">
        <v>111</v>
      </c>
      <c r="J162" t="s">
        <v>21</v>
      </c>
      <c r="K162" t="s">
        <v>22</v>
      </c>
      <c r="L162" t="s">
        <v>625</v>
      </c>
      <c r="M162" t="s">
        <v>24</v>
      </c>
      <c r="N162" t="s">
        <v>25</v>
      </c>
      <c r="O162" s="3">
        <f>COUNTIF(RELATIONSHIPS!$B:$B,A162)+COUNTIF(RELATIONSHIPS!$C:$C,A162)</f>
        <v>2</v>
      </c>
    </row>
    <row r="163" spans="1:15" x14ac:dyDescent="0.3">
      <c r="A163" t="s">
        <v>878</v>
      </c>
      <c r="B163" t="s">
        <v>879</v>
      </c>
      <c r="C163" t="s">
        <v>880</v>
      </c>
      <c r="D163" t="s">
        <v>220</v>
      </c>
      <c r="E163" t="s">
        <v>19</v>
      </c>
      <c r="F163" t="s">
        <v>220</v>
      </c>
      <c r="I163">
        <v>112</v>
      </c>
      <c r="J163" t="s">
        <v>21</v>
      </c>
      <c r="K163" t="s">
        <v>22</v>
      </c>
      <c r="L163" t="s">
        <v>625</v>
      </c>
      <c r="M163" t="s">
        <v>24</v>
      </c>
      <c r="N163" t="s">
        <v>25</v>
      </c>
      <c r="O163" s="3">
        <f>COUNTIF(RELATIONSHIPS!$B:$B,A163)+COUNTIF(RELATIONSHIPS!$C:$C,A163)</f>
        <v>2</v>
      </c>
    </row>
    <row r="164" spans="1:15" x14ac:dyDescent="0.3">
      <c r="A164" t="s">
        <v>881</v>
      </c>
      <c r="B164" t="s">
        <v>882</v>
      </c>
      <c r="C164" t="s">
        <v>883</v>
      </c>
      <c r="D164" t="s">
        <v>220</v>
      </c>
      <c r="E164" t="s">
        <v>19</v>
      </c>
      <c r="F164" t="s">
        <v>220</v>
      </c>
      <c r="I164">
        <v>113</v>
      </c>
      <c r="J164" t="s">
        <v>21</v>
      </c>
      <c r="K164" t="s">
        <v>22</v>
      </c>
      <c r="L164" t="s">
        <v>563</v>
      </c>
      <c r="M164" t="s">
        <v>24</v>
      </c>
      <c r="N164" t="s">
        <v>25</v>
      </c>
      <c r="O164" s="3">
        <f>COUNTIF(RELATIONSHIPS!$B:$B,A164)+COUNTIF(RELATIONSHIPS!$C:$C,A164)</f>
        <v>2</v>
      </c>
    </row>
    <row r="165" spans="1:15" x14ac:dyDescent="0.3">
      <c r="A165" t="s">
        <v>884</v>
      </c>
      <c r="B165" t="s">
        <v>885</v>
      </c>
      <c r="C165" t="s">
        <v>886</v>
      </c>
      <c r="D165" t="s">
        <v>590</v>
      </c>
      <c r="E165" t="s">
        <v>19</v>
      </c>
      <c r="F165" t="s">
        <v>590</v>
      </c>
      <c r="I165">
        <v>114</v>
      </c>
      <c r="J165" t="s">
        <v>21</v>
      </c>
      <c r="K165" t="s">
        <v>22</v>
      </c>
      <c r="L165" t="s">
        <v>726</v>
      </c>
      <c r="M165" t="s">
        <v>24</v>
      </c>
      <c r="N165" t="s">
        <v>25</v>
      </c>
      <c r="O165" s="3">
        <f>COUNTIF(RELATIONSHIPS!$B:$B,A165)+COUNTIF(RELATIONSHIPS!$C:$C,A165)</f>
        <v>5</v>
      </c>
    </row>
    <row r="166" spans="1:15" x14ac:dyDescent="0.3">
      <c r="A166" t="s">
        <v>887</v>
      </c>
      <c r="B166" t="s">
        <v>888</v>
      </c>
      <c r="C166" t="s">
        <v>889</v>
      </c>
      <c r="D166" t="s">
        <v>590</v>
      </c>
      <c r="E166" t="s">
        <v>19</v>
      </c>
      <c r="F166" t="s">
        <v>590</v>
      </c>
      <c r="I166">
        <v>115</v>
      </c>
      <c r="J166" t="s">
        <v>21</v>
      </c>
      <c r="K166" t="s">
        <v>22</v>
      </c>
      <c r="L166" t="s">
        <v>726</v>
      </c>
      <c r="M166" t="s">
        <v>24</v>
      </c>
      <c r="N166" t="s">
        <v>25</v>
      </c>
      <c r="O166" s="3">
        <f>COUNTIF(RELATIONSHIPS!$B:$B,A166)+COUNTIF(RELATIONSHIPS!$C:$C,A166)</f>
        <v>3</v>
      </c>
    </row>
    <row r="167" spans="1:15" x14ac:dyDescent="0.3">
      <c r="A167" t="s">
        <v>890</v>
      </c>
      <c r="B167" t="s">
        <v>891</v>
      </c>
      <c r="C167" t="s">
        <v>892</v>
      </c>
      <c r="D167" t="s">
        <v>590</v>
      </c>
      <c r="E167" t="s">
        <v>19</v>
      </c>
      <c r="F167" t="s">
        <v>590</v>
      </c>
      <c r="I167">
        <v>116</v>
      </c>
      <c r="J167" t="s">
        <v>21</v>
      </c>
      <c r="K167" t="s">
        <v>22</v>
      </c>
      <c r="L167" t="s">
        <v>726</v>
      </c>
      <c r="M167" t="s">
        <v>24</v>
      </c>
      <c r="N167" t="s">
        <v>25</v>
      </c>
      <c r="O167" s="3">
        <f>COUNTIF(RELATIONSHIPS!$B:$B,A167)+COUNTIF(RELATIONSHIPS!$C:$C,A167)</f>
        <v>3</v>
      </c>
    </row>
    <row r="168" spans="1:15" x14ac:dyDescent="0.3">
      <c r="A168" t="s">
        <v>893</v>
      </c>
      <c r="B168" t="s">
        <v>894</v>
      </c>
      <c r="C168" t="s">
        <v>895</v>
      </c>
      <c r="D168" t="s">
        <v>590</v>
      </c>
      <c r="E168" t="s">
        <v>19</v>
      </c>
      <c r="F168" t="s">
        <v>590</v>
      </c>
      <c r="I168">
        <v>117</v>
      </c>
      <c r="J168" t="s">
        <v>21</v>
      </c>
      <c r="K168" t="s">
        <v>22</v>
      </c>
      <c r="L168" t="s">
        <v>726</v>
      </c>
      <c r="M168" t="s">
        <v>24</v>
      </c>
      <c r="N168" t="s">
        <v>25</v>
      </c>
      <c r="O168" s="3">
        <f>COUNTIF(RELATIONSHIPS!$B:$B,A168)+COUNTIF(RELATIONSHIPS!$C:$C,A168)</f>
        <v>3</v>
      </c>
    </row>
    <row r="169" spans="1:15" x14ac:dyDescent="0.3">
      <c r="A169" t="s">
        <v>896</v>
      </c>
      <c r="B169" t="s">
        <v>897</v>
      </c>
      <c r="C169" t="s">
        <v>898</v>
      </c>
      <c r="D169" t="s">
        <v>590</v>
      </c>
      <c r="E169" t="s">
        <v>19</v>
      </c>
      <c r="F169" t="s">
        <v>590</v>
      </c>
      <c r="I169">
        <v>118</v>
      </c>
      <c r="J169" t="s">
        <v>21</v>
      </c>
      <c r="K169" t="s">
        <v>22</v>
      </c>
      <c r="L169" t="s">
        <v>726</v>
      </c>
      <c r="M169" t="s">
        <v>24</v>
      </c>
      <c r="N169" t="s">
        <v>25</v>
      </c>
      <c r="O169" s="3">
        <f>COUNTIF(RELATIONSHIPS!$B:$B,A169)+COUNTIF(RELATIONSHIPS!$C:$C,A169)</f>
        <v>3</v>
      </c>
    </row>
    <row r="170" spans="1:15" x14ac:dyDescent="0.3">
      <c r="A170" t="s">
        <v>899</v>
      </c>
      <c r="B170" t="s">
        <v>900</v>
      </c>
      <c r="C170" t="s">
        <v>901</v>
      </c>
      <c r="D170" t="s">
        <v>590</v>
      </c>
      <c r="E170" t="s">
        <v>19</v>
      </c>
      <c r="F170" t="s">
        <v>590</v>
      </c>
      <c r="I170">
        <v>119</v>
      </c>
      <c r="J170" t="s">
        <v>21</v>
      </c>
      <c r="K170" t="s">
        <v>22</v>
      </c>
      <c r="L170" t="s">
        <v>726</v>
      </c>
      <c r="M170" t="s">
        <v>24</v>
      </c>
      <c r="N170" t="s">
        <v>25</v>
      </c>
      <c r="O170" s="3">
        <f>COUNTIF(RELATIONSHIPS!$B:$B,A170)+COUNTIF(RELATIONSHIPS!$C:$C,A170)</f>
        <v>3</v>
      </c>
    </row>
    <row r="171" spans="1:15" x14ac:dyDescent="0.3">
      <c r="A171" t="s">
        <v>902</v>
      </c>
      <c r="B171" t="s">
        <v>903</v>
      </c>
      <c r="C171" t="s">
        <v>904</v>
      </c>
      <c r="D171" t="s">
        <v>861</v>
      </c>
      <c r="E171" t="s">
        <v>19</v>
      </c>
      <c r="F171" t="s">
        <v>861</v>
      </c>
      <c r="I171">
        <v>120</v>
      </c>
      <c r="J171" t="s">
        <v>21</v>
      </c>
      <c r="K171" t="s">
        <v>22</v>
      </c>
      <c r="L171" t="s">
        <v>629</v>
      </c>
      <c r="M171" t="s">
        <v>24</v>
      </c>
      <c r="N171" t="s">
        <v>25</v>
      </c>
      <c r="O171" s="3">
        <f>COUNTIF(RELATIONSHIPS!$B:$B,A171)+COUNTIF(RELATIONSHIPS!$C:$C,A171)</f>
        <v>9</v>
      </c>
    </row>
    <row r="172" spans="1:15" x14ac:dyDescent="0.3">
      <c r="A172" t="s">
        <v>905</v>
      </c>
      <c r="B172" t="s">
        <v>906</v>
      </c>
      <c r="C172" t="s">
        <v>907</v>
      </c>
      <c r="D172" t="s">
        <v>624</v>
      </c>
      <c r="E172" t="s">
        <v>19</v>
      </c>
      <c r="F172" t="s">
        <v>624</v>
      </c>
      <c r="I172">
        <v>121</v>
      </c>
      <c r="J172" t="s">
        <v>21</v>
      </c>
      <c r="K172" t="s">
        <v>22</v>
      </c>
      <c r="L172" t="s">
        <v>908</v>
      </c>
      <c r="M172" t="s">
        <v>24</v>
      </c>
      <c r="N172" t="s">
        <v>25</v>
      </c>
      <c r="O172" s="3">
        <f>COUNTIF(RELATIONSHIPS!$B:$B,A172)+COUNTIF(RELATIONSHIPS!$C:$C,A172)</f>
        <v>9</v>
      </c>
    </row>
    <row r="173" spans="1:15" x14ac:dyDescent="0.3">
      <c r="A173" t="s">
        <v>909</v>
      </c>
      <c r="B173" t="s">
        <v>910</v>
      </c>
      <c r="C173" t="s">
        <v>911</v>
      </c>
      <c r="D173" t="s">
        <v>519</v>
      </c>
      <c r="E173" t="s">
        <v>19</v>
      </c>
      <c r="F173" t="s">
        <v>519</v>
      </c>
      <c r="I173">
        <v>122</v>
      </c>
      <c r="J173" t="s">
        <v>21</v>
      </c>
      <c r="K173" t="s">
        <v>22</v>
      </c>
      <c r="L173" t="s">
        <v>629</v>
      </c>
      <c r="M173" t="s">
        <v>24</v>
      </c>
      <c r="N173" t="s">
        <v>25</v>
      </c>
      <c r="O173" s="3">
        <f>COUNTIF(RELATIONSHIPS!$B:$B,A173)+COUNTIF(RELATIONSHIPS!$C:$C,A173)</f>
        <v>9</v>
      </c>
    </row>
    <row r="174" spans="1:15" x14ac:dyDescent="0.3">
      <c r="A174" t="s">
        <v>912</v>
      </c>
      <c r="B174" t="s">
        <v>913</v>
      </c>
      <c r="C174" t="s">
        <v>914</v>
      </c>
      <c r="D174" t="s">
        <v>590</v>
      </c>
      <c r="E174" t="s">
        <v>19</v>
      </c>
      <c r="F174" t="s">
        <v>590</v>
      </c>
      <c r="I174">
        <v>123</v>
      </c>
      <c r="J174" t="s">
        <v>21</v>
      </c>
      <c r="K174" t="s">
        <v>22</v>
      </c>
      <c r="L174" t="s">
        <v>629</v>
      </c>
      <c r="M174" t="s">
        <v>24</v>
      </c>
      <c r="N174" t="s">
        <v>25</v>
      </c>
      <c r="O174" s="3">
        <f>COUNTIF(RELATIONSHIPS!$B:$B,A174)+COUNTIF(RELATIONSHIPS!$C:$C,A174)</f>
        <v>2</v>
      </c>
    </row>
    <row r="175" spans="1:15" x14ac:dyDescent="0.3">
      <c r="A175" t="s">
        <v>915</v>
      </c>
      <c r="B175" t="s">
        <v>916</v>
      </c>
      <c r="C175" t="s">
        <v>917</v>
      </c>
      <c r="D175" t="s">
        <v>918</v>
      </c>
      <c r="E175" t="s">
        <v>19</v>
      </c>
      <c r="F175" t="s">
        <v>918</v>
      </c>
      <c r="I175">
        <v>124</v>
      </c>
      <c r="J175" t="s">
        <v>21</v>
      </c>
      <c r="K175" t="s">
        <v>22</v>
      </c>
      <c r="L175" t="s">
        <v>919</v>
      </c>
      <c r="M175" t="s">
        <v>24</v>
      </c>
      <c r="N175" t="s">
        <v>25</v>
      </c>
      <c r="O175" s="3">
        <f>COUNTIF(RELATIONSHIPS!$B:$B,A175)+COUNTIF(RELATIONSHIPS!$C:$C,A175)</f>
        <v>2</v>
      </c>
    </row>
    <row r="176" spans="1:15" x14ac:dyDescent="0.3">
      <c r="A176" t="s">
        <v>920</v>
      </c>
      <c r="B176" t="s">
        <v>921</v>
      </c>
      <c r="C176" t="s">
        <v>922</v>
      </c>
      <c r="D176" t="s">
        <v>923</v>
      </c>
      <c r="E176" t="s">
        <v>19</v>
      </c>
      <c r="F176" t="s">
        <v>923</v>
      </c>
      <c r="I176">
        <v>125</v>
      </c>
      <c r="J176" t="s">
        <v>21</v>
      </c>
      <c r="K176" t="s">
        <v>22</v>
      </c>
      <c r="L176" t="s">
        <v>715</v>
      </c>
      <c r="M176" t="s">
        <v>24</v>
      </c>
      <c r="N176" t="s">
        <v>25</v>
      </c>
      <c r="O176" s="3">
        <f>COUNTIF(RELATIONSHIPS!$B:$B,A176)+COUNTIF(RELATIONSHIPS!$C:$C,A176)</f>
        <v>2</v>
      </c>
    </row>
    <row r="177" spans="1:15" x14ac:dyDescent="0.3">
      <c r="A177" t="s">
        <v>924</v>
      </c>
      <c r="B177" t="s">
        <v>925</v>
      </c>
      <c r="C177" t="s">
        <v>926</v>
      </c>
      <c r="D177" t="s">
        <v>923</v>
      </c>
      <c r="E177" t="s">
        <v>19</v>
      </c>
      <c r="F177" t="s">
        <v>923</v>
      </c>
      <c r="I177">
        <v>126</v>
      </c>
      <c r="J177" t="s">
        <v>21</v>
      </c>
      <c r="K177" t="s">
        <v>22</v>
      </c>
      <c r="L177" t="s">
        <v>625</v>
      </c>
      <c r="M177" t="s">
        <v>24</v>
      </c>
      <c r="N177" t="s">
        <v>25</v>
      </c>
      <c r="O177" s="3">
        <f>COUNTIF(RELATIONSHIPS!$B:$B,A177)+COUNTIF(RELATIONSHIPS!$C:$C,A177)</f>
        <v>2</v>
      </c>
    </row>
    <row r="178" spans="1:15" x14ac:dyDescent="0.3">
      <c r="A178" t="s">
        <v>927</v>
      </c>
      <c r="B178" t="s">
        <v>928</v>
      </c>
      <c r="C178" t="s">
        <v>929</v>
      </c>
      <c r="D178" t="s">
        <v>923</v>
      </c>
      <c r="E178" t="s">
        <v>19</v>
      </c>
      <c r="F178" t="s">
        <v>923</v>
      </c>
      <c r="I178">
        <v>127</v>
      </c>
      <c r="J178" t="s">
        <v>21</v>
      </c>
      <c r="K178" t="s">
        <v>22</v>
      </c>
      <c r="L178" t="s">
        <v>763</v>
      </c>
      <c r="M178" t="s">
        <v>24</v>
      </c>
      <c r="N178" t="s">
        <v>25</v>
      </c>
      <c r="O178" s="3">
        <f>COUNTIF(RELATIONSHIPS!$B:$B,A178)+COUNTIF(RELATIONSHIPS!$C:$C,A178)</f>
        <v>2</v>
      </c>
    </row>
    <row r="179" spans="1:15" x14ac:dyDescent="0.3">
      <c r="A179" t="s">
        <v>930</v>
      </c>
      <c r="B179" t="s">
        <v>931</v>
      </c>
      <c r="C179" t="s">
        <v>932</v>
      </c>
      <c r="D179" t="s">
        <v>923</v>
      </c>
      <c r="E179" t="s">
        <v>19</v>
      </c>
      <c r="F179" t="s">
        <v>923</v>
      </c>
      <c r="I179">
        <v>128</v>
      </c>
      <c r="J179" t="s">
        <v>21</v>
      </c>
      <c r="K179" t="s">
        <v>22</v>
      </c>
      <c r="L179" t="s">
        <v>563</v>
      </c>
      <c r="M179" t="s">
        <v>24</v>
      </c>
      <c r="N179" t="s">
        <v>25</v>
      </c>
      <c r="O179" s="3">
        <f>COUNTIF(RELATIONSHIPS!$B:$B,A179)+COUNTIF(RELATIONSHIPS!$C:$C,A179)</f>
        <v>2</v>
      </c>
    </row>
    <row r="180" spans="1:15" x14ac:dyDescent="0.3">
      <c r="A180" t="s">
        <v>933</v>
      </c>
      <c r="B180" t="s">
        <v>934</v>
      </c>
      <c r="C180" t="s">
        <v>935</v>
      </c>
      <c r="D180" t="s">
        <v>923</v>
      </c>
      <c r="E180" t="s">
        <v>19</v>
      </c>
      <c r="F180" t="s">
        <v>923</v>
      </c>
      <c r="I180">
        <v>129</v>
      </c>
      <c r="J180" t="s">
        <v>21</v>
      </c>
      <c r="K180" t="s">
        <v>22</v>
      </c>
      <c r="L180" t="s">
        <v>919</v>
      </c>
      <c r="M180" t="s">
        <v>24</v>
      </c>
      <c r="N180" t="s">
        <v>25</v>
      </c>
      <c r="O180" s="3">
        <f>COUNTIF(RELATIONSHIPS!$B:$B,A180)+COUNTIF(RELATIONSHIPS!$C:$C,A180)</f>
        <v>2</v>
      </c>
    </row>
    <row r="181" spans="1:15" x14ac:dyDescent="0.3">
      <c r="A181" t="s">
        <v>936</v>
      </c>
      <c r="B181" t="s">
        <v>937</v>
      </c>
      <c r="C181" t="s">
        <v>938</v>
      </c>
      <c r="D181" t="s">
        <v>871</v>
      </c>
      <c r="E181" t="s">
        <v>19</v>
      </c>
      <c r="F181" t="s">
        <v>871</v>
      </c>
      <c r="I181">
        <v>130</v>
      </c>
      <c r="J181" t="s">
        <v>21</v>
      </c>
      <c r="K181" t="s">
        <v>22</v>
      </c>
      <c r="L181" t="s">
        <v>571</v>
      </c>
      <c r="M181" t="s">
        <v>24</v>
      </c>
      <c r="N181" t="s">
        <v>25</v>
      </c>
      <c r="O181" s="3">
        <f>COUNTIF(RELATIONSHIPS!$B:$B,A181)+COUNTIF(RELATIONSHIPS!$C:$C,A181)</f>
        <v>2</v>
      </c>
    </row>
    <row r="182" spans="1:15" x14ac:dyDescent="0.3">
      <c r="A182" t="s">
        <v>939</v>
      </c>
      <c r="B182" t="s">
        <v>940</v>
      </c>
      <c r="C182" t="s">
        <v>941</v>
      </c>
      <c r="D182" t="s">
        <v>871</v>
      </c>
      <c r="E182" t="s">
        <v>19</v>
      </c>
      <c r="F182" t="s">
        <v>871</v>
      </c>
      <c r="I182">
        <v>131</v>
      </c>
      <c r="J182" t="s">
        <v>21</v>
      </c>
      <c r="K182" t="s">
        <v>22</v>
      </c>
      <c r="L182" t="s">
        <v>629</v>
      </c>
      <c r="M182" t="s">
        <v>24</v>
      </c>
      <c r="N182" t="s">
        <v>25</v>
      </c>
      <c r="O182" s="3">
        <f>COUNTIF(RELATIONSHIPS!$B:$B,A182)+COUNTIF(RELATIONSHIPS!$C:$C,A182)</f>
        <v>2</v>
      </c>
    </row>
    <row r="183" spans="1:15" x14ac:dyDescent="0.3">
      <c r="A183" t="s">
        <v>942</v>
      </c>
      <c r="B183" t="s">
        <v>943</v>
      </c>
      <c r="C183" t="s">
        <v>944</v>
      </c>
      <c r="D183" t="s">
        <v>945</v>
      </c>
      <c r="E183" t="s">
        <v>19</v>
      </c>
      <c r="F183" t="s">
        <v>945</v>
      </c>
      <c r="I183">
        <v>132</v>
      </c>
      <c r="J183" t="s">
        <v>21</v>
      </c>
      <c r="K183" t="s">
        <v>22</v>
      </c>
      <c r="L183" t="s">
        <v>571</v>
      </c>
      <c r="M183" t="s">
        <v>24</v>
      </c>
      <c r="N183" t="s">
        <v>25</v>
      </c>
      <c r="O183" s="3">
        <f>COUNTIF(RELATIONSHIPS!$B:$B,A183)+COUNTIF(RELATIONSHIPS!$C:$C,A183)</f>
        <v>2</v>
      </c>
    </row>
    <row r="184" spans="1:15" x14ac:dyDescent="0.3">
      <c r="A184" t="s">
        <v>946</v>
      </c>
      <c r="B184" t="s">
        <v>947</v>
      </c>
      <c r="C184" t="s">
        <v>948</v>
      </c>
      <c r="D184" t="s">
        <v>945</v>
      </c>
      <c r="E184" t="s">
        <v>19</v>
      </c>
      <c r="F184" t="s">
        <v>945</v>
      </c>
      <c r="I184">
        <v>133</v>
      </c>
      <c r="J184" t="s">
        <v>21</v>
      </c>
      <c r="K184" t="s">
        <v>22</v>
      </c>
      <c r="L184" t="s">
        <v>726</v>
      </c>
      <c r="M184" t="s">
        <v>24</v>
      </c>
      <c r="N184" t="s">
        <v>25</v>
      </c>
      <c r="O184" s="3">
        <f>COUNTIF(RELATIONSHIPS!$B:$B,A184)+COUNTIF(RELATIONSHIPS!$C:$C,A184)</f>
        <v>2</v>
      </c>
    </row>
    <row r="185" spans="1:15" x14ac:dyDescent="0.3">
      <c r="A185" t="s">
        <v>949</v>
      </c>
      <c r="B185" t="s">
        <v>950</v>
      </c>
      <c r="C185" t="s">
        <v>951</v>
      </c>
      <c r="D185" t="s">
        <v>945</v>
      </c>
      <c r="E185" t="s">
        <v>19</v>
      </c>
      <c r="F185" t="s">
        <v>945</v>
      </c>
      <c r="I185">
        <v>134</v>
      </c>
      <c r="J185" t="s">
        <v>21</v>
      </c>
      <c r="K185" t="s">
        <v>22</v>
      </c>
      <c r="L185" t="s">
        <v>726</v>
      </c>
      <c r="M185" t="s">
        <v>24</v>
      </c>
      <c r="N185" t="s">
        <v>25</v>
      </c>
      <c r="O185" s="3">
        <f>COUNTIF(RELATIONSHIPS!$B:$B,A185)+COUNTIF(RELATIONSHIPS!$C:$C,A185)</f>
        <v>2</v>
      </c>
    </row>
    <row r="186" spans="1:15" x14ac:dyDescent="0.3">
      <c r="A186" t="s">
        <v>952</v>
      </c>
      <c r="B186" t="s">
        <v>953</v>
      </c>
      <c r="C186" t="s">
        <v>954</v>
      </c>
      <c r="D186" t="s">
        <v>861</v>
      </c>
      <c r="E186" t="s">
        <v>19</v>
      </c>
      <c r="F186" t="s">
        <v>861</v>
      </c>
      <c r="I186">
        <v>135</v>
      </c>
      <c r="J186" t="s">
        <v>21</v>
      </c>
      <c r="K186" t="s">
        <v>22</v>
      </c>
      <c r="L186" t="s">
        <v>715</v>
      </c>
      <c r="M186" t="s">
        <v>24</v>
      </c>
      <c r="N186" t="s">
        <v>25</v>
      </c>
      <c r="O186" s="3">
        <f>COUNTIF(RELATIONSHIPS!$B:$B,A186)+COUNTIF(RELATIONSHIPS!$C:$C,A186)</f>
        <v>9</v>
      </c>
    </row>
    <row r="187" spans="1:15" x14ac:dyDescent="0.3">
      <c r="A187" t="s">
        <v>955</v>
      </c>
      <c r="B187" t="s">
        <v>956</v>
      </c>
      <c r="C187" t="s">
        <v>957</v>
      </c>
      <c r="D187" t="s">
        <v>519</v>
      </c>
      <c r="E187" t="s">
        <v>19</v>
      </c>
      <c r="F187" t="s">
        <v>519</v>
      </c>
      <c r="I187">
        <v>136</v>
      </c>
      <c r="J187" t="s">
        <v>21</v>
      </c>
      <c r="K187" t="s">
        <v>22</v>
      </c>
      <c r="L187" t="s">
        <v>571</v>
      </c>
      <c r="M187" t="s">
        <v>24</v>
      </c>
      <c r="N187" t="s">
        <v>25</v>
      </c>
      <c r="O187" s="3">
        <f>COUNTIF(RELATIONSHIPS!$B:$B,A187)+COUNTIF(RELATIONSHIPS!$C:$C,A187)</f>
        <v>9</v>
      </c>
    </row>
    <row r="188" spans="1:15" x14ac:dyDescent="0.3">
      <c r="A188" t="s">
        <v>958</v>
      </c>
      <c r="B188" t="s">
        <v>959</v>
      </c>
      <c r="C188" t="s">
        <v>960</v>
      </c>
      <c r="D188" t="s">
        <v>519</v>
      </c>
      <c r="E188" t="s">
        <v>19</v>
      </c>
      <c r="F188" t="s">
        <v>519</v>
      </c>
      <c r="I188">
        <v>137</v>
      </c>
      <c r="J188" t="s">
        <v>21</v>
      </c>
      <c r="K188" t="s">
        <v>22</v>
      </c>
      <c r="L188" t="s">
        <v>571</v>
      </c>
      <c r="M188" t="s">
        <v>24</v>
      </c>
      <c r="N188" t="s">
        <v>25</v>
      </c>
      <c r="O188" s="3">
        <f>COUNTIF(RELATIONSHIPS!$B:$B,A188)+COUNTIF(RELATIONSHIPS!$C:$C,A188)</f>
        <v>9</v>
      </c>
    </row>
    <row r="189" spans="1:15" x14ac:dyDescent="0.3">
      <c r="A189" t="s">
        <v>961</v>
      </c>
      <c r="B189" t="s">
        <v>962</v>
      </c>
      <c r="C189" t="s">
        <v>963</v>
      </c>
      <c r="D189" t="s">
        <v>519</v>
      </c>
      <c r="E189" t="s">
        <v>19</v>
      </c>
      <c r="F189" t="s">
        <v>519</v>
      </c>
      <c r="I189">
        <v>138</v>
      </c>
      <c r="J189" t="s">
        <v>21</v>
      </c>
      <c r="K189" t="s">
        <v>22</v>
      </c>
      <c r="L189" t="s">
        <v>571</v>
      </c>
      <c r="M189" t="s">
        <v>24</v>
      </c>
      <c r="N189" t="s">
        <v>25</v>
      </c>
      <c r="O189" s="3">
        <f>COUNTIF(RELATIONSHIPS!$B:$B,A189)+COUNTIF(RELATIONSHIPS!$C:$C,A189)</f>
        <v>2</v>
      </c>
    </row>
    <row r="190" spans="1:15" x14ac:dyDescent="0.3">
      <c r="A190" t="s">
        <v>964</v>
      </c>
      <c r="B190" t="s">
        <v>965</v>
      </c>
      <c r="C190" t="s">
        <v>966</v>
      </c>
      <c r="D190" t="s">
        <v>519</v>
      </c>
      <c r="E190" t="s">
        <v>19</v>
      </c>
      <c r="F190" t="s">
        <v>519</v>
      </c>
      <c r="I190">
        <v>139</v>
      </c>
      <c r="J190" t="s">
        <v>21</v>
      </c>
      <c r="K190" t="s">
        <v>22</v>
      </c>
      <c r="L190" t="s">
        <v>571</v>
      </c>
      <c r="M190" t="s">
        <v>24</v>
      </c>
      <c r="N190" t="s">
        <v>25</v>
      </c>
      <c r="O190" s="3">
        <f>COUNTIF(RELATIONSHIPS!$B:$B,A190)+COUNTIF(RELATIONSHIPS!$C:$C,A190)</f>
        <v>2</v>
      </c>
    </row>
    <row r="191" spans="1:15" x14ac:dyDescent="0.3">
      <c r="A191" t="s">
        <v>967</v>
      </c>
      <c r="B191" t="s">
        <v>968</v>
      </c>
      <c r="C191" t="s">
        <v>969</v>
      </c>
      <c r="D191" t="s">
        <v>519</v>
      </c>
      <c r="E191" t="s">
        <v>19</v>
      </c>
      <c r="F191" t="s">
        <v>519</v>
      </c>
      <c r="I191">
        <v>140</v>
      </c>
      <c r="J191" t="s">
        <v>21</v>
      </c>
      <c r="K191" t="s">
        <v>22</v>
      </c>
      <c r="L191" t="s">
        <v>571</v>
      </c>
      <c r="M191" t="s">
        <v>24</v>
      </c>
      <c r="N191" t="s">
        <v>25</v>
      </c>
      <c r="O191" s="3">
        <f>COUNTIF(RELATIONSHIPS!$B:$B,A191)+COUNTIF(RELATIONSHIPS!$C:$C,A191)</f>
        <v>2</v>
      </c>
    </row>
    <row r="192" spans="1:15" x14ac:dyDescent="0.3">
      <c r="A192" t="s">
        <v>970</v>
      </c>
      <c r="B192" t="s">
        <v>971</v>
      </c>
      <c r="C192" t="s">
        <v>972</v>
      </c>
      <c r="D192" t="s">
        <v>519</v>
      </c>
      <c r="E192" t="s">
        <v>19</v>
      </c>
      <c r="F192" t="s">
        <v>519</v>
      </c>
      <c r="I192">
        <v>141</v>
      </c>
      <c r="J192" t="s">
        <v>21</v>
      </c>
      <c r="K192" t="s">
        <v>22</v>
      </c>
      <c r="L192" t="s">
        <v>571</v>
      </c>
      <c r="M192" t="s">
        <v>24</v>
      </c>
      <c r="N192" t="s">
        <v>25</v>
      </c>
      <c r="O192" s="3">
        <f>COUNTIF(RELATIONSHIPS!$B:$B,A192)+COUNTIF(RELATIONSHIPS!$C:$C,A192)</f>
        <v>2</v>
      </c>
    </row>
    <row r="193" spans="1:15" x14ac:dyDescent="0.3">
      <c r="A193" t="s">
        <v>973</v>
      </c>
      <c r="B193" t="s">
        <v>974</v>
      </c>
      <c r="C193" t="s">
        <v>975</v>
      </c>
      <c r="D193" t="s">
        <v>519</v>
      </c>
      <c r="E193" t="s">
        <v>19</v>
      </c>
      <c r="F193" t="s">
        <v>519</v>
      </c>
      <c r="I193">
        <v>142</v>
      </c>
      <c r="J193" t="s">
        <v>21</v>
      </c>
      <c r="K193" t="s">
        <v>22</v>
      </c>
      <c r="L193" t="s">
        <v>571</v>
      </c>
      <c r="M193" t="s">
        <v>24</v>
      </c>
      <c r="N193" t="s">
        <v>25</v>
      </c>
      <c r="O193" s="3">
        <f>COUNTIF(RELATIONSHIPS!$B:$B,A193)+COUNTIF(RELATIONSHIPS!$C:$C,A193)</f>
        <v>2</v>
      </c>
    </row>
    <row r="194" spans="1:15" x14ac:dyDescent="0.3">
      <c r="A194" t="s">
        <v>976</v>
      </c>
      <c r="B194" t="s">
        <v>977</v>
      </c>
      <c r="C194" t="s">
        <v>978</v>
      </c>
      <c r="D194" t="s">
        <v>519</v>
      </c>
      <c r="E194" t="s">
        <v>19</v>
      </c>
      <c r="F194" t="s">
        <v>519</v>
      </c>
      <c r="I194">
        <v>143</v>
      </c>
      <c r="J194" t="s">
        <v>21</v>
      </c>
      <c r="K194" t="s">
        <v>22</v>
      </c>
      <c r="L194" t="s">
        <v>571</v>
      </c>
      <c r="M194" t="s">
        <v>24</v>
      </c>
      <c r="N194" t="s">
        <v>25</v>
      </c>
      <c r="O194" s="3">
        <f>COUNTIF(RELATIONSHIPS!$B:$B,A194)+COUNTIF(RELATIONSHIPS!$C:$C,A194)</f>
        <v>2</v>
      </c>
    </row>
    <row r="195" spans="1:15" x14ac:dyDescent="0.3">
      <c r="A195" t="s">
        <v>979</v>
      </c>
      <c r="B195" t="s">
        <v>980</v>
      </c>
      <c r="C195" t="s">
        <v>981</v>
      </c>
      <c r="D195" t="s">
        <v>519</v>
      </c>
      <c r="E195" t="s">
        <v>19</v>
      </c>
      <c r="F195" t="s">
        <v>519</v>
      </c>
      <c r="I195">
        <v>144</v>
      </c>
      <c r="J195" t="s">
        <v>21</v>
      </c>
      <c r="K195" t="s">
        <v>22</v>
      </c>
      <c r="L195" t="s">
        <v>571</v>
      </c>
      <c r="M195" t="s">
        <v>24</v>
      </c>
      <c r="N195" t="s">
        <v>25</v>
      </c>
      <c r="O195" s="3">
        <f>COUNTIF(RELATIONSHIPS!$B:$B,A195)+COUNTIF(RELATIONSHIPS!$C:$C,A195)</f>
        <v>2</v>
      </c>
    </row>
    <row r="196" spans="1:15" x14ac:dyDescent="0.3">
      <c r="A196" t="s">
        <v>982</v>
      </c>
      <c r="B196" t="s">
        <v>983</v>
      </c>
      <c r="C196" t="s">
        <v>984</v>
      </c>
      <c r="D196" t="s">
        <v>519</v>
      </c>
      <c r="E196" t="s">
        <v>19</v>
      </c>
      <c r="F196" t="s">
        <v>519</v>
      </c>
      <c r="I196">
        <v>145</v>
      </c>
      <c r="J196" t="s">
        <v>21</v>
      </c>
      <c r="K196" t="s">
        <v>22</v>
      </c>
      <c r="L196" t="s">
        <v>571</v>
      </c>
      <c r="M196" t="s">
        <v>24</v>
      </c>
      <c r="N196" t="s">
        <v>25</v>
      </c>
      <c r="O196" s="3">
        <f>COUNTIF(RELATIONSHIPS!$B:$B,A196)+COUNTIF(RELATIONSHIPS!$C:$C,A196)</f>
        <v>2</v>
      </c>
    </row>
    <row r="197" spans="1:15" x14ac:dyDescent="0.3">
      <c r="A197" t="s">
        <v>985</v>
      </c>
      <c r="B197" t="s">
        <v>986</v>
      </c>
      <c r="C197" t="s">
        <v>987</v>
      </c>
      <c r="D197" t="s">
        <v>548</v>
      </c>
      <c r="E197" t="s">
        <v>19</v>
      </c>
      <c r="F197" t="s">
        <v>548</v>
      </c>
      <c r="I197">
        <v>146</v>
      </c>
      <c r="J197" t="s">
        <v>21</v>
      </c>
      <c r="K197" t="s">
        <v>22</v>
      </c>
      <c r="L197" t="s">
        <v>715</v>
      </c>
      <c r="M197" t="s">
        <v>24</v>
      </c>
      <c r="N197" t="s">
        <v>25</v>
      </c>
      <c r="O197" s="3">
        <f>COUNTIF(RELATIONSHIPS!$B:$B,A197)+COUNTIF(RELATIONSHIPS!$C:$C,A197)</f>
        <v>9</v>
      </c>
    </row>
    <row r="198" spans="1:15" x14ac:dyDescent="0.3">
      <c r="A198" t="s">
        <v>988</v>
      </c>
      <c r="B198" t="s">
        <v>989</v>
      </c>
      <c r="C198" t="s">
        <v>990</v>
      </c>
      <c r="D198" t="s">
        <v>590</v>
      </c>
      <c r="E198" t="s">
        <v>19</v>
      </c>
      <c r="F198" t="s">
        <v>590</v>
      </c>
      <c r="I198">
        <v>147</v>
      </c>
      <c r="J198" t="s">
        <v>21</v>
      </c>
      <c r="K198" t="s">
        <v>22</v>
      </c>
      <c r="L198" t="s">
        <v>571</v>
      </c>
      <c r="M198" t="s">
        <v>24</v>
      </c>
      <c r="N198" t="s">
        <v>25</v>
      </c>
      <c r="O198" s="3">
        <f>COUNTIF(RELATIONSHIPS!$B:$B,A198)+COUNTIF(RELATIONSHIPS!$C:$C,A198)</f>
        <v>2</v>
      </c>
    </row>
    <row r="199" spans="1:15" x14ac:dyDescent="0.3">
      <c r="A199" t="s">
        <v>991</v>
      </c>
      <c r="B199" t="s">
        <v>992</v>
      </c>
      <c r="C199" t="s">
        <v>993</v>
      </c>
      <c r="D199" t="s">
        <v>994</v>
      </c>
      <c r="E199" t="s">
        <v>19</v>
      </c>
      <c r="F199" t="s">
        <v>994</v>
      </c>
      <c r="I199">
        <v>148</v>
      </c>
      <c r="J199" t="s">
        <v>21</v>
      </c>
      <c r="K199" t="s">
        <v>22</v>
      </c>
      <c r="L199" t="s">
        <v>563</v>
      </c>
      <c r="M199" t="s">
        <v>24</v>
      </c>
      <c r="N199" t="s">
        <v>25</v>
      </c>
      <c r="O199" s="3">
        <f>COUNTIF(RELATIONSHIPS!$B:$B,A199)+COUNTIF(RELATIONSHIPS!$C:$C,A199)</f>
        <v>3</v>
      </c>
    </row>
    <row r="200" spans="1:15" x14ac:dyDescent="0.3">
      <c r="A200" t="s">
        <v>995</v>
      </c>
      <c r="B200" t="s">
        <v>996</v>
      </c>
      <c r="C200" t="s">
        <v>997</v>
      </c>
      <c r="D200" t="s">
        <v>994</v>
      </c>
      <c r="E200" t="s">
        <v>19</v>
      </c>
      <c r="F200" t="s">
        <v>994</v>
      </c>
      <c r="I200">
        <v>149</v>
      </c>
      <c r="J200" t="s">
        <v>21</v>
      </c>
      <c r="K200" t="s">
        <v>22</v>
      </c>
      <c r="L200" t="s">
        <v>563</v>
      </c>
      <c r="M200" t="s">
        <v>24</v>
      </c>
      <c r="N200" t="s">
        <v>25</v>
      </c>
      <c r="O200" s="3">
        <f>COUNTIF(RELATIONSHIPS!$B:$B,A200)+COUNTIF(RELATIONSHIPS!$C:$C,A200)</f>
        <v>2</v>
      </c>
    </row>
    <row r="201" spans="1:15" x14ac:dyDescent="0.3">
      <c r="A201" t="s">
        <v>998</v>
      </c>
      <c r="B201" t="s">
        <v>999</v>
      </c>
      <c r="C201" t="s">
        <v>1000</v>
      </c>
      <c r="D201" t="s">
        <v>994</v>
      </c>
      <c r="E201" t="s">
        <v>19</v>
      </c>
      <c r="F201" t="s">
        <v>994</v>
      </c>
      <c r="I201">
        <v>150</v>
      </c>
      <c r="J201" t="s">
        <v>21</v>
      </c>
      <c r="K201" t="s">
        <v>22</v>
      </c>
      <c r="L201" t="s">
        <v>1001</v>
      </c>
      <c r="M201" t="s">
        <v>24</v>
      </c>
      <c r="N201" t="s">
        <v>25</v>
      </c>
      <c r="O201" s="3">
        <f>COUNTIF(RELATIONSHIPS!$B:$B,A201)+COUNTIF(RELATIONSHIPS!$C:$C,A201)</f>
        <v>2</v>
      </c>
    </row>
    <row r="202" spans="1:15" x14ac:dyDescent="0.3">
      <c r="A202" t="s">
        <v>1002</v>
      </c>
      <c r="B202" t="s">
        <v>1003</v>
      </c>
      <c r="C202" t="s">
        <v>1004</v>
      </c>
      <c r="D202" t="s">
        <v>994</v>
      </c>
      <c r="E202" t="s">
        <v>19</v>
      </c>
      <c r="F202" t="s">
        <v>994</v>
      </c>
      <c r="I202">
        <v>151</v>
      </c>
      <c r="J202" t="s">
        <v>21</v>
      </c>
      <c r="K202" t="s">
        <v>22</v>
      </c>
      <c r="L202" t="s">
        <v>1005</v>
      </c>
      <c r="M202" t="s">
        <v>24</v>
      </c>
      <c r="N202" t="s">
        <v>25</v>
      </c>
      <c r="O202" s="3">
        <f>COUNTIF(RELATIONSHIPS!$B:$B,A202)+COUNTIF(RELATIONSHIPS!$C:$C,A202)</f>
        <v>3</v>
      </c>
    </row>
    <row r="203" spans="1:15" x14ac:dyDescent="0.3">
      <c r="A203" t="s">
        <v>1006</v>
      </c>
      <c r="B203" t="s">
        <v>1007</v>
      </c>
      <c r="C203" t="s">
        <v>1008</v>
      </c>
      <c r="D203" t="s">
        <v>1009</v>
      </c>
      <c r="E203" t="s">
        <v>19</v>
      </c>
      <c r="F203" t="s">
        <v>1009</v>
      </c>
      <c r="I203">
        <v>152</v>
      </c>
      <c r="J203" t="s">
        <v>21</v>
      </c>
      <c r="K203" t="s">
        <v>22</v>
      </c>
      <c r="L203" t="s">
        <v>808</v>
      </c>
      <c r="M203" t="s">
        <v>24</v>
      </c>
      <c r="N203" t="s">
        <v>25</v>
      </c>
      <c r="O203" s="3">
        <f>COUNTIF(RELATIONSHIPS!$B:$B,A203)+COUNTIF(RELATIONSHIPS!$C:$C,A203)</f>
        <v>2</v>
      </c>
    </row>
    <row r="204" spans="1:15" x14ac:dyDescent="0.3">
      <c r="A204" t="s">
        <v>1010</v>
      </c>
      <c r="B204" t="s">
        <v>1011</v>
      </c>
      <c r="C204" t="s">
        <v>1012</v>
      </c>
      <c r="D204" t="s">
        <v>1009</v>
      </c>
      <c r="E204" t="s">
        <v>19</v>
      </c>
      <c r="F204" t="s">
        <v>1009</v>
      </c>
      <c r="I204">
        <v>153</v>
      </c>
      <c r="J204" t="s">
        <v>21</v>
      </c>
      <c r="K204" t="s">
        <v>22</v>
      </c>
      <c r="L204" t="s">
        <v>808</v>
      </c>
      <c r="M204" t="s">
        <v>24</v>
      </c>
      <c r="N204" t="s">
        <v>25</v>
      </c>
      <c r="O204" s="3">
        <f>COUNTIF(RELATIONSHIPS!$B:$B,A204)+COUNTIF(RELATIONSHIPS!$C:$C,A204)</f>
        <v>2</v>
      </c>
    </row>
    <row r="205" spans="1:15" x14ac:dyDescent="0.3">
      <c r="A205" t="s">
        <v>1013</v>
      </c>
      <c r="B205" t="s">
        <v>1014</v>
      </c>
      <c r="C205" t="s">
        <v>1015</v>
      </c>
      <c r="D205" t="s">
        <v>1009</v>
      </c>
      <c r="E205" t="s">
        <v>19</v>
      </c>
      <c r="F205" t="s">
        <v>1009</v>
      </c>
      <c r="I205">
        <v>154</v>
      </c>
      <c r="J205" t="s">
        <v>21</v>
      </c>
      <c r="K205" t="s">
        <v>22</v>
      </c>
      <c r="L205" t="s">
        <v>808</v>
      </c>
      <c r="M205" t="s">
        <v>24</v>
      </c>
      <c r="N205" t="s">
        <v>25</v>
      </c>
      <c r="O205" s="3">
        <f>COUNTIF(RELATIONSHIPS!$B:$B,A205)+COUNTIF(RELATIONSHIPS!$C:$C,A205)</f>
        <v>2</v>
      </c>
    </row>
    <row r="206" spans="1:15" x14ac:dyDescent="0.3">
      <c r="A206" t="s">
        <v>1016</v>
      </c>
      <c r="B206" t="s">
        <v>1017</v>
      </c>
      <c r="C206" t="s">
        <v>1018</v>
      </c>
      <c r="D206" t="s">
        <v>1009</v>
      </c>
      <c r="E206" t="s">
        <v>19</v>
      </c>
      <c r="F206" t="s">
        <v>1009</v>
      </c>
      <c r="I206">
        <v>155</v>
      </c>
      <c r="J206" t="s">
        <v>21</v>
      </c>
      <c r="K206" t="s">
        <v>22</v>
      </c>
      <c r="L206" t="s">
        <v>808</v>
      </c>
      <c r="M206" t="s">
        <v>24</v>
      </c>
      <c r="N206" t="s">
        <v>25</v>
      </c>
      <c r="O206" s="3">
        <f>COUNTIF(RELATIONSHIPS!$B:$B,A206)+COUNTIF(RELATIONSHIPS!$C:$C,A206)</f>
        <v>2</v>
      </c>
    </row>
    <row r="207" spans="1:15" x14ac:dyDescent="0.3">
      <c r="A207" t="s">
        <v>1019</v>
      </c>
      <c r="B207" t="s">
        <v>1020</v>
      </c>
      <c r="C207" t="s">
        <v>1021</v>
      </c>
      <c r="D207" t="s">
        <v>1009</v>
      </c>
      <c r="E207" t="s">
        <v>19</v>
      </c>
      <c r="F207" t="s">
        <v>1009</v>
      </c>
      <c r="I207">
        <v>156</v>
      </c>
      <c r="J207" t="s">
        <v>21</v>
      </c>
      <c r="K207" t="s">
        <v>22</v>
      </c>
      <c r="L207" t="s">
        <v>808</v>
      </c>
      <c r="M207" t="s">
        <v>24</v>
      </c>
      <c r="N207" t="s">
        <v>25</v>
      </c>
      <c r="O207" s="3">
        <f>COUNTIF(RELATIONSHIPS!$B:$B,A207)+COUNTIF(RELATIONSHIPS!$C:$C,A207)</f>
        <v>2</v>
      </c>
    </row>
    <row r="208" spans="1:15" x14ac:dyDescent="0.3">
      <c r="A208" t="s">
        <v>1022</v>
      </c>
      <c r="B208" t="s">
        <v>1023</v>
      </c>
      <c r="C208" t="s">
        <v>1024</v>
      </c>
      <c r="D208" t="s">
        <v>1009</v>
      </c>
      <c r="E208" t="s">
        <v>19</v>
      </c>
      <c r="F208" t="s">
        <v>1009</v>
      </c>
      <c r="I208">
        <v>157</v>
      </c>
      <c r="J208" t="s">
        <v>21</v>
      </c>
      <c r="K208" t="s">
        <v>22</v>
      </c>
      <c r="L208" t="s">
        <v>808</v>
      </c>
      <c r="M208" t="s">
        <v>24</v>
      </c>
      <c r="N208" t="s">
        <v>25</v>
      </c>
      <c r="O208" s="3">
        <f>COUNTIF(RELATIONSHIPS!$B:$B,A208)+COUNTIF(RELATIONSHIPS!$C:$C,A208)</f>
        <v>2</v>
      </c>
    </row>
    <row r="209" spans="1:15" x14ac:dyDescent="0.3">
      <c r="A209" t="s">
        <v>1025</v>
      </c>
      <c r="B209" t="s">
        <v>1026</v>
      </c>
      <c r="C209" t="s">
        <v>1027</v>
      </c>
      <c r="D209" t="s">
        <v>1009</v>
      </c>
      <c r="E209" t="s">
        <v>19</v>
      </c>
      <c r="F209" t="s">
        <v>1009</v>
      </c>
      <c r="I209">
        <v>158</v>
      </c>
      <c r="J209" t="s">
        <v>21</v>
      </c>
      <c r="K209" t="s">
        <v>22</v>
      </c>
      <c r="L209" t="s">
        <v>808</v>
      </c>
      <c r="M209" t="s">
        <v>24</v>
      </c>
      <c r="N209" t="s">
        <v>25</v>
      </c>
      <c r="O209" s="3">
        <f>COUNTIF(RELATIONSHIPS!$B:$B,A209)+COUNTIF(RELATIONSHIPS!$C:$C,A209)</f>
        <v>2</v>
      </c>
    </row>
    <row r="210" spans="1:15" x14ac:dyDescent="0.3">
      <c r="A210" t="s">
        <v>1028</v>
      </c>
      <c r="B210" t="s">
        <v>1029</v>
      </c>
      <c r="C210" t="s">
        <v>1030</v>
      </c>
      <c r="D210" t="s">
        <v>1009</v>
      </c>
      <c r="E210" t="s">
        <v>19</v>
      </c>
      <c r="F210" t="s">
        <v>1009</v>
      </c>
      <c r="I210">
        <v>159</v>
      </c>
      <c r="J210" t="s">
        <v>21</v>
      </c>
      <c r="K210" t="s">
        <v>22</v>
      </c>
      <c r="L210" t="s">
        <v>808</v>
      </c>
      <c r="M210" t="s">
        <v>24</v>
      </c>
      <c r="N210" t="s">
        <v>25</v>
      </c>
      <c r="O210" s="3">
        <f>COUNTIF(RELATIONSHIPS!$B:$B,A210)+COUNTIF(RELATIONSHIPS!$C:$C,A210)</f>
        <v>2</v>
      </c>
    </row>
    <row r="211" spans="1:15" x14ac:dyDescent="0.3">
      <c r="A211" t="s">
        <v>1031</v>
      </c>
      <c r="B211" t="s">
        <v>1032</v>
      </c>
      <c r="C211" t="s">
        <v>1033</v>
      </c>
      <c r="D211" t="s">
        <v>1009</v>
      </c>
      <c r="E211" t="s">
        <v>19</v>
      </c>
      <c r="F211" t="s">
        <v>1009</v>
      </c>
      <c r="I211">
        <v>160</v>
      </c>
      <c r="J211" t="s">
        <v>21</v>
      </c>
      <c r="K211" t="s">
        <v>22</v>
      </c>
      <c r="L211" t="s">
        <v>808</v>
      </c>
      <c r="M211" t="s">
        <v>24</v>
      </c>
      <c r="N211" t="s">
        <v>25</v>
      </c>
      <c r="O211" s="3">
        <f>COUNTIF(RELATIONSHIPS!$B:$B,A211)+COUNTIF(RELATIONSHIPS!$C:$C,A211)</f>
        <v>2</v>
      </c>
    </row>
    <row r="212" spans="1:15" x14ac:dyDescent="0.3">
      <c r="A212" t="s">
        <v>1034</v>
      </c>
      <c r="B212" t="s">
        <v>1035</v>
      </c>
      <c r="C212" t="s">
        <v>1036</v>
      </c>
      <c r="D212" t="s">
        <v>1037</v>
      </c>
      <c r="E212" t="s">
        <v>19</v>
      </c>
      <c r="F212" t="s">
        <v>1037</v>
      </c>
      <c r="I212">
        <v>161</v>
      </c>
      <c r="J212" t="s">
        <v>21</v>
      </c>
      <c r="K212" t="s">
        <v>22</v>
      </c>
      <c r="L212" t="s">
        <v>1038</v>
      </c>
      <c r="M212" t="s">
        <v>24</v>
      </c>
      <c r="N212" t="s">
        <v>25</v>
      </c>
      <c r="O212" s="3">
        <f>COUNTIF(RELATIONSHIPS!$B:$B,A212)+COUNTIF(RELATIONSHIPS!$C:$C,A212)</f>
        <v>2</v>
      </c>
    </row>
    <row r="213" spans="1:15" x14ac:dyDescent="0.3">
      <c r="A213" t="s">
        <v>1039</v>
      </c>
      <c r="B213" t="s">
        <v>1040</v>
      </c>
      <c r="C213" t="s">
        <v>1041</v>
      </c>
      <c r="D213" t="s">
        <v>1037</v>
      </c>
      <c r="E213" t="s">
        <v>19</v>
      </c>
      <c r="F213" t="s">
        <v>1037</v>
      </c>
      <c r="I213">
        <v>162</v>
      </c>
      <c r="J213" t="s">
        <v>21</v>
      </c>
      <c r="K213" t="s">
        <v>22</v>
      </c>
      <c r="L213" t="s">
        <v>1042</v>
      </c>
      <c r="M213" t="s">
        <v>24</v>
      </c>
      <c r="N213" t="s">
        <v>25</v>
      </c>
      <c r="O213" s="3">
        <f>COUNTIF(RELATIONSHIPS!$B:$B,A213)+COUNTIF(RELATIONSHIPS!$C:$C,A213)</f>
        <v>2</v>
      </c>
    </row>
    <row r="214" spans="1:15" x14ac:dyDescent="0.3">
      <c r="A214" t="s">
        <v>1043</v>
      </c>
      <c r="B214" t="s">
        <v>1044</v>
      </c>
      <c r="C214" t="s">
        <v>1045</v>
      </c>
      <c r="D214" t="s">
        <v>1037</v>
      </c>
      <c r="E214" t="s">
        <v>19</v>
      </c>
      <c r="F214" t="s">
        <v>1037</v>
      </c>
      <c r="I214">
        <v>163</v>
      </c>
      <c r="J214" t="s">
        <v>21</v>
      </c>
      <c r="K214" t="s">
        <v>22</v>
      </c>
      <c r="L214" t="s">
        <v>1046</v>
      </c>
      <c r="M214" t="s">
        <v>24</v>
      </c>
      <c r="N214" t="s">
        <v>25</v>
      </c>
      <c r="O214" s="3">
        <f>COUNTIF(RELATIONSHIPS!$B:$B,A214)+COUNTIF(RELATIONSHIPS!$C:$C,A214)</f>
        <v>2</v>
      </c>
    </row>
    <row r="215" spans="1:15" x14ac:dyDescent="0.3">
      <c r="A215" t="s">
        <v>1047</v>
      </c>
      <c r="B215" t="s">
        <v>1048</v>
      </c>
      <c r="C215" t="s">
        <v>1049</v>
      </c>
      <c r="D215" t="s">
        <v>1037</v>
      </c>
      <c r="E215" t="s">
        <v>19</v>
      </c>
      <c r="F215" t="s">
        <v>1037</v>
      </c>
      <c r="I215">
        <v>164</v>
      </c>
      <c r="J215" t="s">
        <v>21</v>
      </c>
      <c r="K215" t="s">
        <v>22</v>
      </c>
      <c r="L215" t="s">
        <v>563</v>
      </c>
      <c r="M215" t="s">
        <v>24</v>
      </c>
      <c r="N215" t="s">
        <v>25</v>
      </c>
      <c r="O215" s="3">
        <f>COUNTIF(RELATIONSHIPS!$B:$B,A215)+COUNTIF(RELATIONSHIPS!$C:$C,A215)</f>
        <v>2</v>
      </c>
    </row>
    <row r="216" spans="1:15" x14ac:dyDescent="0.3">
      <c r="A216" t="s">
        <v>1050</v>
      </c>
      <c r="B216" t="s">
        <v>1051</v>
      </c>
      <c r="C216" t="s">
        <v>1052</v>
      </c>
      <c r="D216" t="s">
        <v>1037</v>
      </c>
      <c r="E216" t="s">
        <v>19</v>
      </c>
      <c r="F216" t="s">
        <v>1037</v>
      </c>
      <c r="I216">
        <v>165</v>
      </c>
      <c r="J216" t="s">
        <v>21</v>
      </c>
      <c r="K216" t="s">
        <v>22</v>
      </c>
      <c r="L216" t="s">
        <v>1053</v>
      </c>
      <c r="M216" t="s">
        <v>24</v>
      </c>
      <c r="N216" t="s">
        <v>25</v>
      </c>
      <c r="O216" s="3">
        <f>COUNTIF(RELATIONSHIPS!$B:$B,A216)+COUNTIF(RELATIONSHIPS!$C:$C,A216)</f>
        <v>2</v>
      </c>
    </row>
    <row r="217" spans="1:15" x14ac:dyDescent="0.3">
      <c r="A217" t="s">
        <v>1054</v>
      </c>
      <c r="B217" t="s">
        <v>1055</v>
      </c>
      <c r="C217" t="s">
        <v>1056</v>
      </c>
      <c r="D217" t="s">
        <v>1037</v>
      </c>
      <c r="E217" t="s">
        <v>19</v>
      </c>
      <c r="F217" t="s">
        <v>1037</v>
      </c>
      <c r="I217">
        <v>166</v>
      </c>
      <c r="J217" t="s">
        <v>21</v>
      </c>
      <c r="K217" t="s">
        <v>22</v>
      </c>
      <c r="L217" t="s">
        <v>1057</v>
      </c>
      <c r="M217" t="s">
        <v>24</v>
      </c>
      <c r="N217" t="s">
        <v>25</v>
      </c>
      <c r="O217" s="3">
        <f>COUNTIF(RELATIONSHIPS!$B:$B,A217)+COUNTIF(RELATIONSHIPS!$C:$C,A217)</f>
        <v>3</v>
      </c>
    </row>
    <row r="218" spans="1:15" x14ac:dyDescent="0.3">
      <c r="A218" t="s">
        <v>1058</v>
      </c>
      <c r="B218" t="s">
        <v>1059</v>
      </c>
      <c r="C218" t="s">
        <v>1060</v>
      </c>
      <c r="D218" t="s">
        <v>1061</v>
      </c>
      <c r="E218" t="s">
        <v>19</v>
      </c>
      <c r="F218" t="s">
        <v>1061</v>
      </c>
      <c r="I218">
        <v>167</v>
      </c>
      <c r="J218" t="s">
        <v>21</v>
      </c>
      <c r="K218" t="s">
        <v>22</v>
      </c>
      <c r="L218" t="s">
        <v>520</v>
      </c>
      <c r="M218" t="s">
        <v>24</v>
      </c>
      <c r="N218" t="s">
        <v>25</v>
      </c>
      <c r="O218" s="3">
        <f>COUNTIF(RELATIONSHIPS!$B:$B,A218)+COUNTIF(RELATIONSHIPS!$C:$C,A218)</f>
        <v>2</v>
      </c>
    </row>
    <row r="219" spans="1:15" x14ac:dyDescent="0.3">
      <c r="A219" t="s">
        <v>1062</v>
      </c>
      <c r="B219" t="s">
        <v>1063</v>
      </c>
      <c r="C219" t="s">
        <v>1064</v>
      </c>
      <c r="D219" t="s">
        <v>1061</v>
      </c>
      <c r="E219" t="s">
        <v>19</v>
      </c>
      <c r="F219" t="s">
        <v>1061</v>
      </c>
      <c r="I219">
        <v>168</v>
      </c>
      <c r="J219" t="s">
        <v>21</v>
      </c>
      <c r="K219" t="s">
        <v>22</v>
      </c>
      <c r="L219" t="s">
        <v>563</v>
      </c>
      <c r="M219" t="s">
        <v>24</v>
      </c>
      <c r="N219" t="s">
        <v>25</v>
      </c>
      <c r="O219" s="3">
        <f>COUNTIF(RELATIONSHIPS!$B:$B,A219)+COUNTIF(RELATIONSHIPS!$C:$C,A219)</f>
        <v>2</v>
      </c>
    </row>
    <row r="220" spans="1:15" x14ac:dyDescent="0.3">
      <c r="A220" t="s">
        <v>1065</v>
      </c>
      <c r="B220" t="s">
        <v>1066</v>
      </c>
      <c r="C220" t="s">
        <v>1067</v>
      </c>
      <c r="D220" t="s">
        <v>1061</v>
      </c>
      <c r="E220" t="s">
        <v>19</v>
      </c>
      <c r="F220" t="s">
        <v>1061</v>
      </c>
      <c r="I220">
        <v>169</v>
      </c>
      <c r="J220" t="s">
        <v>21</v>
      </c>
      <c r="K220" t="s">
        <v>22</v>
      </c>
      <c r="L220" t="s">
        <v>629</v>
      </c>
      <c r="M220" t="s">
        <v>24</v>
      </c>
      <c r="N220" t="s">
        <v>25</v>
      </c>
      <c r="O220" s="3">
        <f>COUNTIF(RELATIONSHIPS!$B:$B,A220)+COUNTIF(RELATIONSHIPS!$C:$C,A220)</f>
        <v>4</v>
      </c>
    </row>
    <row r="221" spans="1:15" x14ac:dyDescent="0.3">
      <c r="A221" t="s">
        <v>1068</v>
      </c>
      <c r="B221" t="s">
        <v>1069</v>
      </c>
      <c r="C221" t="s">
        <v>1070</v>
      </c>
      <c r="D221" t="s">
        <v>1061</v>
      </c>
      <c r="E221" t="s">
        <v>19</v>
      </c>
      <c r="F221" t="s">
        <v>1061</v>
      </c>
      <c r="I221">
        <v>170</v>
      </c>
      <c r="J221" t="s">
        <v>21</v>
      </c>
      <c r="K221" t="s">
        <v>22</v>
      </c>
      <c r="L221" t="s">
        <v>629</v>
      </c>
      <c r="M221" t="s">
        <v>24</v>
      </c>
      <c r="N221" t="s">
        <v>25</v>
      </c>
      <c r="O221" s="3">
        <f>COUNTIF(RELATIONSHIPS!$B:$B,A221)+COUNTIF(RELATIONSHIPS!$C:$C,A221)</f>
        <v>4</v>
      </c>
    </row>
    <row r="222" spans="1:15" x14ac:dyDescent="0.3">
      <c r="A222" t="s">
        <v>1071</v>
      </c>
      <c r="B222" t="s">
        <v>1072</v>
      </c>
      <c r="C222" t="s">
        <v>1073</v>
      </c>
      <c r="D222" t="s">
        <v>1074</v>
      </c>
      <c r="E222" t="s">
        <v>19</v>
      </c>
      <c r="F222" t="s">
        <v>1074</v>
      </c>
      <c r="I222">
        <v>171</v>
      </c>
      <c r="J222" t="s">
        <v>21</v>
      </c>
      <c r="K222" t="s">
        <v>22</v>
      </c>
      <c r="L222" t="s">
        <v>726</v>
      </c>
      <c r="M222" t="s">
        <v>24</v>
      </c>
      <c r="N222" t="s">
        <v>25</v>
      </c>
      <c r="O222" s="3">
        <f>COUNTIF(RELATIONSHIPS!$B:$B,A222)+COUNTIF(RELATIONSHIPS!$C:$C,A222)</f>
        <v>3</v>
      </c>
    </row>
    <row r="223" spans="1:15" x14ac:dyDescent="0.3">
      <c r="A223" t="s">
        <v>1075</v>
      </c>
      <c r="B223" t="s">
        <v>1076</v>
      </c>
      <c r="C223" t="s">
        <v>1077</v>
      </c>
      <c r="D223" t="s">
        <v>1078</v>
      </c>
      <c r="E223" t="s">
        <v>19</v>
      </c>
      <c r="F223" t="s">
        <v>1078</v>
      </c>
      <c r="I223">
        <v>172</v>
      </c>
      <c r="J223" t="s">
        <v>21</v>
      </c>
      <c r="K223" t="s">
        <v>22</v>
      </c>
      <c r="L223" t="s">
        <v>715</v>
      </c>
      <c r="M223" t="s">
        <v>24</v>
      </c>
      <c r="N223" t="s">
        <v>25</v>
      </c>
      <c r="O223" s="3">
        <f>COUNTIF(RELATIONSHIPS!$B:$B,A223)+COUNTIF(RELATIONSHIPS!$C:$C,A223)</f>
        <v>3</v>
      </c>
    </row>
    <row r="224" spans="1:15" x14ac:dyDescent="0.3">
      <c r="A224" t="s">
        <v>1079</v>
      </c>
      <c r="B224" t="s">
        <v>1080</v>
      </c>
      <c r="C224" t="s">
        <v>1081</v>
      </c>
      <c r="D224" t="s">
        <v>1078</v>
      </c>
      <c r="E224" t="s">
        <v>19</v>
      </c>
      <c r="F224" t="s">
        <v>1078</v>
      </c>
      <c r="I224">
        <v>173</v>
      </c>
      <c r="J224" t="s">
        <v>21</v>
      </c>
      <c r="K224" t="s">
        <v>22</v>
      </c>
      <c r="L224" t="s">
        <v>1082</v>
      </c>
      <c r="M224" t="s">
        <v>24</v>
      </c>
      <c r="N224" t="s">
        <v>25</v>
      </c>
      <c r="O224" s="3">
        <f>COUNTIF(RELATIONSHIPS!$B:$B,A224)+COUNTIF(RELATIONSHIPS!$C:$C,A224)</f>
        <v>2</v>
      </c>
    </row>
    <row r="225" spans="1:15" x14ac:dyDescent="0.3">
      <c r="A225" t="s">
        <v>1083</v>
      </c>
      <c r="B225" t="s">
        <v>1084</v>
      </c>
      <c r="C225" t="s">
        <v>1085</v>
      </c>
      <c r="D225" t="s">
        <v>1078</v>
      </c>
      <c r="E225" t="s">
        <v>19</v>
      </c>
      <c r="F225" t="s">
        <v>1078</v>
      </c>
      <c r="I225">
        <v>174</v>
      </c>
      <c r="J225" t="s">
        <v>21</v>
      </c>
      <c r="K225" t="s">
        <v>22</v>
      </c>
      <c r="L225" t="s">
        <v>1086</v>
      </c>
      <c r="M225" t="s">
        <v>24</v>
      </c>
      <c r="N225" t="s">
        <v>25</v>
      </c>
      <c r="O225" s="3">
        <f>COUNTIF(RELATIONSHIPS!$B:$B,A225)+COUNTIF(RELATIONSHIPS!$C:$C,A225)</f>
        <v>2</v>
      </c>
    </row>
    <row r="226" spans="1:15" x14ac:dyDescent="0.3">
      <c r="A226" t="s">
        <v>1087</v>
      </c>
      <c r="B226" t="s">
        <v>1088</v>
      </c>
      <c r="C226" t="s">
        <v>1089</v>
      </c>
      <c r="D226" t="s">
        <v>1090</v>
      </c>
      <c r="E226" t="s">
        <v>19</v>
      </c>
      <c r="F226" t="s">
        <v>1090</v>
      </c>
      <c r="I226">
        <v>175</v>
      </c>
      <c r="J226" t="s">
        <v>21</v>
      </c>
      <c r="K226" t="s">
        <v>22</v>
      </c>
      <c r="L226" t="s">
        <v>1091</v>
      </c>
      <c r="M226" t="s">
        <v>24</v>
      </c>
      <c r="N226" t="s">
        <v>25</v>
      </c>
      <c r="O226" s="3">
        <f>COUNTIF(RELATIONSHIPS!$B:$B,A226)+COUNTIF(RELATIONSHIPS!$C:$C,A226)</f>
        <v>2</v>
      </c>
    </row>
    <row r="227" spans="1:15" x14ac:dyDescent="0.3">
      <c r="A227" t="s">
        <v>1092</v>
      </c>
      <c r="B227" t="s">
        <v>1093</v>
      </c>
      <c r="C227" t="s">
        <v>1094</v>
      </c>
      <c r="D227" t="s">
        <v>1090</v>
      </c>
      <c r="E227" t="s">
        <v>19</v>
      </c>
      <c r="F227" t="s">
        <v>1090</v>
      </c>
      <c r="I227">
        <v>176</v>
      </c>
      <c r="J227" t="s">
        <v>21</v>
      </c>
      <c r="K227" t="s">
        <v>22</v>
      </c>
      <c r="L227" t="s">
        <v>1091</v>
      </c>
      <c r="M227" t="s">
        <v>24</v>
      </c>
      <c r="N227" t="s">
        <v>25</v>
      </c>
      <c r="O227" s="3">
        <f>COUNTIF(RELATIONSHIPS!$B:$B,A227)+COUNTIF(RELATIONSHIPS!$C:$C,A227)</f>
        <v>2</v>
      </c>
    </row>
    <row r="228" spans="1:15" x14ac:dyDescent="0.3">
      <c r="A228" t="s">
        <v>1095</v>
      </c>
      <c r="B228" t="s">
        <v>1096</v>
      </c>
      <c r="C228" t="s">
        <v>1097</v>
      </c>
      <c r="D228" t="s">
        <v>1090</v>
      </c>
      <c r="E228" t="s">
        <v>19</v>
      </c>
      <c r="F228" t="s">
        <v>1090</v>
      </c>
      <c r="I228">
        <v>177</v>
      </c>
      <c r="J228" t="s">
        <v>21</v>
      </c>
      <c r="K228" t="s">
        <v>22</v>
      </c>
      <c r="L228" t="s">
        <v>633</v>
      </c>
      <c r="M228" t="s">
        <v>24</v>
      </c>
      <c r="N228" t="s">
        <v>25</v>
      </c>
      <c r="O228" s="3">
        <f>COUNTIF(RELATIONSHIPS!$B:$B,A228)+COUNTIF(RELATIONSHIPS!$C:$C,A228)</f>
        <v>2</v>
      </c>
    </row>
    <row r="229" spans="1:15" x14ac:dyDescent="0.3">
      <c r="A229" t="s">
        <v>1098</v>
      </c>
      <c r="B229" t="s">
        <v>1099</v>
      </c>
      <c r="C229" t="s">
        <v>1100</v>
      </c>
      <c r="D229" t="s">
        <v>1090</v>
      </c>
      <c r="E229" t="s">
        <v>19</v>
      </c>
      <c r="F229" t="s">
        <v>1090</v>
      </c>
      <c r="I229">
        <v>178</v>
      </c>
      <c r="J229" t="s">
        <v>21</v>
      </c>
      <c r="K229" t="s">
        <v>22</v>
      </c>
      <c r="L229" t="s">
        <v>633</v>
      </c>
      <c r="M229" t="s">
        <v>24</v>
      </c>
      <c r="N229" t="s">
        <v>25</v>
      </c>
      <c r="O229" s="3">
        <f>COUNTIF(RELATIONSHIPS!$B:$B,A229)+COUNTIF(RELATIONSHIPS!$C:$C,A229)</f>
        <v>2</v>
      </c>
    </row>
    <row r="230" spans="1:15" x14ac:dyDescent="0.3">
      <c r="A230" t="s">
        <v>1101</v>
      </c>
      <c r="B230" t="s">
        <v>1102</v>
      </c>
      <c r="C230" t="s">
        <v>1103</v>
      </c>
      <c r="D230" t="s">
        <v>1090</v>
      </c>
      <c r="E230" t="s">
        <v>19</v>
      </c>
      <c r="F230" t="s">
        <v>1090</v>
      </c>
      <c r="I230">
        <v>179</v>
      </c>
      <c r="J230" t="s">
        <v>21</v>
      </c>
      <c r="K230" t="s">
        <v>22</v>
      </c>
      <c r="L230" t="s">
        <v>563</v>
      </c>
      <c r="M230" t="s">
        <v>24</v>
      </c>
      <c r="N230" t="s">
        <v>25</v>
      </c>
      <c r="O230" s="3">
        <f>COUNTIF(RELATIONSHIPS!$B:$B,A230)+COUNTIF(RELATIONSHIPS!$C:$C,A230)</f>
        <v>2</v>
      </c>
    </row>
    <row r="231" spans="1:15" x14ac:dyDescent="0.3">
      <c r="A231" t="s">
        <v>1104</v>
      </c>
      <c r="B231" t="s">
        <v>1105</v>
      </c>
      <c r="C231" t="s">
        <v>1106</v>
      </c>
      <c r="D231" t="s">
        <v>1107</v>
      </c>
      <c r="E231" t="s">
        <v>19</v>
      </c>
      <c r="F231" t="s">
        <v>1107</v>
      </c>
      <c r="I231">
        <v>180</v>
      </c>
      <c r="J231" t="s">
        <v>21</v>
      </c>
      <c r="K231" t="s">
        <v>22</v>
      </c>
      <c r="L231" t="s">
        <v>1108</v>
      </c>
      <c r="M231" t="s">
        <v>24</v>
      </c>
      <c r="N231" t="s">
        <v>25</v>
      </c>
      <c r="O231" s="3">
        <f>COUNTIF(RELATIONSHIPS!$B:$B,A231)+COUNTIF(RELATIONSHIPS!$C:$C,A231)</f>
        <v>2</v>
      </c>
    </row>
    <row r="232" spans="1:15" x14ac:dyDescent="0.3">
      <c r="A232" t="s">
        <v>1109</v>
      </c>
      <c r="B232" t="s">
        <v>1110</v>
      </c>
      <c r="C232" t="s">
        <v>1111</v>
      </c>
      <c r="D232" t="s">
        <v>1112</v>
      </c>
      <c r="E232" t="s">
        <v>19</v>
      </c>
      <c r="F232" t="s">
        <v>1112</v>
      </c>
      <c r="I232">
        <v>181</v>
      </c>
      <c r="J232" t="s">
        <v>21</v>
      </c>
      <c r="K232" t="s">
        <v>22</v>
      </c>
      <c r="L232" t="s">
        <v>1113</v>
      </c>
      <c r="M232" t="s">
        <v>24</v>
      </c>
      <c r="N232" t="s">
        <v>25</v>
      </c>
      <c r="O232" s="3">
        <f>COUNTIF(RELATIONSHIPS!$B:$B,A232)+COUNTIF(RELATIONSHIPS!$C:$C,A232)</f>
        <v>3</v>
      </c>
    </row>
    <row r="233" spans="1:15" x14ac:dyDescent="0.3">
      <c r="A233" t="s">
        <v>1114</v>
      </c>
      <c r="B233" t="s">
        <v>1115</v>
      </c>
      <c r="C233" t="s">
        <v>1116</v>
      </c>
      <c r="D233" t="s">
        <v>1112</v>
      </c>
      <c r="E233" t="s">
        <v>19</v>
      </c>
      <c r="F233" t="s">
        <v>1112</v>
      </c>
      <c r="I233">
        <v>182</v>
      </c>
      <c r="J233" t="s">
        <v>21</v>
      </c>
      <c r="K233" t="s">
        <v>22</v>
      </c>
      <c r="L233" t="s">
        <v>1113</v>
      </c>
      <c r="M233" t="s">
        <v>24</v>
      </c>
      <c r="N233" t="s">
        <v>25</v>
      </c>
      <c r="O233" s="3">
        <f>COUNTIF(RELATIONSHIPS!$B:$B,A233)+COUNTIF(RELATIONSHIPS!$C:$C,A233)</f>
        <v>2</v>
      </c>
    </row>
    <row r="234" spans="1:15" x14ac:dyDescent="0.3">
      <c r="A234" t="s">
        <v>1117</v>
      </c>
      <c r="B234" t="s">
        <v>1118</v>
      </c>
      <c r="C234" t="s">
        <v>1119</v>
      </c>
      <c r="D234" t="s">
        <v>1112</v>
      </c>
      <c r="E234" t="s">
        <v>19</v>
      </c>
      <c r="F234" t="s">
        <v>1112</v>
      </c>
      <c r="I234">
        <v>183</v>
      </c>
      <c r="J234" t="s">
        <v>21</v>
      </c>
      <c r="K234" t="s">
        <v>22</v>
      </c>
      <c r="L234" t="s">
        <v>1113</v>
      </c>
      <c r="M234" t="s">
        <v>24</v>
      </c>
      <c r="N234" t="s">
        <v>25</v>
      </c>
      <c r="O234" s="3">
        <f>COUNTIF(RELATIONSHIPS!$B:$B,A234)+COUNTIF(RELATIONSHIPS!$C:$C,A234)</f>
        <v>2</v>
      </c>
    </row>
    <row r="235" spans="1:15" x14ac:dyDescent="0.3">
      <c r="A235" t="s">
        <v>1120</v>
      </c>
      <c r="B235" t="s">
        <v>1121</v>
      </c>
      <c r="C235" t="s">
        <v>1122</v>
      </c>
      <c r="D235" t="s">
        <v>1123</v>
      </c>
      <c r="E235" t="s">
        <v>19</v>
      </c>
      <c r="F235" t="s">
        <v>1123</v>
      </c>
      <c r="I235">
        <v>184</v>
      </c>
      <c r="J235" t="s">
        <v>21</v>
      </c>
      <c r="K235" t="s">
        <v>22</v>
      </c>
      <c r="L235" t="s">
        <v>1124</v>
      </c>
      <c r="M235" t="s">
        <v>24</v>
      </c>
      <c r="N235" t="s">
        <v>25</v>
      </c>
      <c r="O235" s="3">
        <f>COUNTIF(RELATIONSHIPS!$B:$B,A235)+COUNTIF(RELATIONSHIPS!$C:$C,A235)</f>
        <v>3</v>
      </c>
    </row>
    <row r="236" spans="1:15" x14ac:dyDescent="0.3">
      <c r="A236" t="s">
        <v>1125</v>
      </c>
      <c r="B236" t="s">
        <v>1126</v>
      </c>
      <c r="C236" t="s">
        <v>1127</v>
      </c>
      <c r="D236" t="s">
        <v>590</v>
      </c>
      <c r="E236" t="s">
        <v>19</v>
      </c>
      <c r="F236" t="s">
        <v>590</v>
      </c>
      <c r="I236">
        <v>185</v>
      </c>
      <c r="J236" t="s">
        <v>21</v>
      </c>
      <c r="K236" t="s">
        <v>22</v>
      </c>
      <c r="L236" t="s">
        <v>1128</v>
      </c>
      <c r="M236" t="s">
        <v>24</v>
      </c>
      <c r="N236" t="s">
        <v>25</v>
      </c>
      <c r="O236" s="3">
        <f>COUNTIF(RELATIONSHIPS!$B:$B,A236)+COUNTIF(RELATIONSHIPS!$C:$C,A236)</f>
        <v>2</v>
      </c>
    </row>
    <row r="237" spans="1:15" x14ac:dyDescent="0.3">
      <c r="A237" t="s">
        <v>1129</v>
      </c>
      <c r="B237" t="s">
        <v>1130</v>
      </c>
      <c r="C237" t="s">
        <v>1131</v>
      </c>
      <c r="D237" t="s">
        <v>590</v>
      </c>
      <c r="E237" t="s">
        <v>19</v>
      </c>
      <c r="F237" t="s">
        <v>590</v>
      </c>
      <c r="I237">
        <v>186</v>
      </c>
      <c r="J237" t="s">
        <v>21</v>
      </c>
      <c r="K237" t="s">
        <v>22</v>
      </c>
      <c r="L237" t="s">
        <v>1132</v>
      </c>
      <c r="M237" t="s">
        <v>24</v>
      </c>
      <c r="N237" t="s">
        <v>25</v>
      </c>
      <c r="O237" s="3">
        <f>COUNTIF(RELATIONSHIPS!$B:$B,A237)+COUNTIF(RELATIONSHIPS!$C:$C,A237)</f>
        <v>3</v>
      </c>
    </row>
    <row r="238" spans="1:15" x14ac:dyDescent="0.3">
      <c r="A238" t="s">
        <v>1133</v>
      </c>
      <c r="B238" t="s">
        <v>1134</v>
      </c>
      <c r="C238" t="s">
        <v>1135</v>
      </c>
      <c r="D238" t="s">
        <v>1136</v>
      </c>
      <c r="E238" t="s">
        <v>19</v>
      </c>
      <c r="F238" t="s">
        <v>1136</v>
      </c>
      <c r="I238">
        <v>187</v>
      </c>
      <c r="J238" t="s">
        <v>21</v>
      </c>
      <c r="K238" t="s">
        <v>22</v>
      </c>
      <c r="L238" t="s">
        <v>1137</v>
      </c>
      <c r="M238" t="s">
        <v>24</v>
      </c>
      <c r="N238" t="s">
        <v>25</v>
      </c>
      <c r="O238" s="3">
        <f>COUNTIF(RELATIONSHIPS!$B:$B,A238)+COUNTIF(RELATIONSHIPS!$C:$C,A238)</f>
        <v>2</v>
      </c>
    </row>
    <row r="239" spans="1:15" x14ac:dyDescent="0.3">
      <c r="A239" t="s">
        <v>1138</v>
      </c>
      <c r="B239" t="s">
        <v>1139</v>
      </c>
      <c r="C239" t="s">
        <v>1140</v>
      </c>
      <c r="D239" t="s">
        <v>1141</v>
      </c>
      <c r="E239" t="s">
        <v>19</v>
      </c>
      <c r="F239" t="s">
        <v>1141</v>
      </c>
      <c r="I239">
        <v>188</v>
      </c>
      <c r="J239" t="s">
        <v>21</v>
      </c>
      <c r="K239" t="s">
        <v>22</v>
      </c>
      <c r="L239" t="s">
        <v>1142</v>
      </c>
      <c r="M239" t="s">
        <v>24</v>
      </c>
      <c r="N239" t="s">
        <v>25</v>
      </c>
      <c r="O239" s="3">
        <f>COUNTIF(RELATIONSHIPS!$B:$B,A239)+COUNTIF(RELATIONSHIPS!$C:$C,A239)</f>
        <v>1</v>
      </c>
    </row>
    <row r="240" spans="1:15" x14ac:dyDescent="0.3">
      <c r="A240" t="s">
        <v>1143</v>
      </c>
      <c r="B240" t="s">
        <v>1144</v>
      </c>
      <c r="C240" t="s">
        <v>1145</v>
      </c>
      <c r="D240" t="s">
        <v>1146</v>
      </c>
      <c r="E240" t="s">
        <v>19</v>
      </c>
      <c r="F240" t="s">
        <v>1146</v>
      </c>
      <c r="I240">
        <v>189</v>
      </c>
      <c r="J240" t="s">
        <v>21</v>
      </c>
      <c r="K240" t="s">
        <v>22</v>
      </c>
      <c r="L240" t="s">
        <v>1147</v>
      </c>
      <c r="M240" t="s">
        <v>24</v>
      </c>
      <c r="N240" t="s">
        <v>25</v>
      </c>
      <c r="O240" s="3">
        <f>COUNTIF(RELATIONSHIPS!$B:$B,A240)+COUNTIF(RELATIONSHIPS!$C:$C,A240)</f>
        <v>7</v>
      </c>
    </row>
    <row r="241" spans="1:15" x14ac:dyDescent="0.3">
      <c r="A241" t="s">
        <v>1148</v>
      </c>
      <c r="B241" t="s">
        <v>1149</v>
      </c>
      <c r="C241" t="s">
        <v>1150</v>
      </c>
      <c r="D241" t="s">
        <v>698</v>
      </c>
      <c r="E241" t="s">
        <v>19</v>
      </c>
      <c r="F241" t="s">
        <v>698</v>
      </c>
      <c r="I241">
        <v>190</v>
      </c>
      <c r="J241" t="s">
        <v>21</v>
      </c>
      <c r="K241" t="s">
        <v>22</v>
      </c>
      <c r="L241" t="s">
        <v>1151</v>
      </c>
      <c r="M241" t="s">
        <v>24</v>
      </c>
      <c r="N241" t="s">
        <v>25</v>
      </c>
      <c r="O241" s="3">
        <f>COUNTIF(RELATIONSHIPS!$B:$B,A241)+COUNTIF(RELATIONSHIPS!$C:$C,A241)</f>
        <v>4</v>
      </c>
    </row>
    <row r="242" spans="1:15" x14ac:dyDescent="0.3">
      <c r="A242" t="s">
        <v>1599</v>
      </c>
      <c r="B242" t="s">
        <v>1600</v>
      </c>
      <c r="C242" t="s">
        <v>1601</v>
      </c>
      <c r="D242" t="s">
        <v>1602</v>
      </c>
      <c r="E242" t="s">
        <v>19</v>
      </c>
      <c r="F242" t="s">
        <v>1602</v>
      </c>
      <c r="I242">
        <v>191</v>
      </c>
      <c r="J242" t="s">
        <v>21</v>
      </c>
      <c r="K242" t="s">
        <v>22</v>
      </c>
      <c r="L242" t="s">
        <v>1603</v>
      </c>
      <c r="M242" t="s">
        <v>22</v>
      </c>
      <c r="N242" t="s">
        <v>25</v>
      </c>
      <c r="O242" s="3">
        <f>COUNTIF(RELATIONSHIPS!$B:$B,A242)+COUNTIF(RELATIONSHIPS!$C:$C,A242)</f>
        <v>7</v>
      </c>
    </row>
    <row r="243" spans="1:15" x14ac:dyDescent="0.3">
      <c r="A243" t="s">
        <v>1604</v>
      </c>
      <c r="B243" t="s">
        <v>1605</v>
      </c>
      <c r="C243" t="s">
        <v>1606</v>
      </c>
      <c r="D243" t="s">
        <v>861</v>
      </c>
      <c r="E243" t="s">
        <v>19</v>
      </c>
      <c r="F243" t="s">
        <v>861</v>
      </c>
      <c r="I243">
        <v>192</v>
      </c>
      <c r="J243" t="s">
        <v>1607</v>
      </c>
      <c r="K243" t="s">
        <v>22</v>
      </c>
      <c r="L243" t="s">
        <v>1608</v>
      </c>
      <c r="M243" t="s">
        <v>22</v>
      </c>
      <c r="N243" t="s">
        <v>25</v>
      </c>
      <c r="O243" s="3">
        <f>COUNTIF(RELATIONSHIPS!$B:$B,A243)+COUNTIF(RELATIONSHIPS!$C:$C,A243)</f>
        <v>14</v>
      </c>
    </row>
    <row r="244" spans="1:15" x14ac:dyDescent="0.3">
      <c r="A244" t="s">
        <v>1609</v>
      </c>
      <c r="B244" t="s">
        <v>1610</v>
      </c>
      <c r="C244" t="s">
        <v>1611</v>
      </c>
      <c r="D244" t="s">
        <v>552</v>
      </c>
      <c r="E244" t="s">
        <v>19</v>
      </c>
      <c r="F244" t="s">
        <v>552</v>
      </c>
      <c r="I244">
        <v>193</v>
      </c>
      <c r="J244" t="s">
        <v>1612</v>
      </c>
      <c r="K244" t="s">
        <v>22</v>
      </c>
      <c r="L244" t="s">
        <v>1613</v>
      </c>
      <c r="M244" t="s">
        <v>22</v>
      </c>
      <c r="N244" t="s">
        <v>25</v>
      </c>
      <c r="O244" s="3">
        <f>COUNTIF(RELATIONSHIPS!$B:$B,A244)+COUNTIF(RELATIONSHIPS!$C:$C,A244)</f>
        <v>8</v>
      </c>
    </row>
    <row r="245" spans="1:15" x14ac:dyDescent="0.3">
      <c r="A245" t="s">
        <v>1614</v>
      </c>
      <c r="B245" t="s">
        <v>1615</v>
      </c>
      <c r="C245" t="s">
        <v>1616</v>
      </c>
      <c r="D245" t="s">
        <v>590</v>
      </c>
      <c r="E245" t="s">
        <v>19</v>
      </c>
      <c r="F245" t="s">
        <v>590</v>
      </c>
      <c r="I245">
        <v>194</v>
      </c>
      <c r="J245" t="s">
        <v>1617</v>
      </c>
      <c r="K245" t="s">
        <v>22</v>
      </c>
      <c r="L245" t="s">
        <v>1618</v>
      </c>
      <c r="M245" t="s">
        <v>22</v>
      </c>
      <c r="N245" t="s">
        <v>25</v>
      </c>
      <c r="O245" s="3">
        <f>COUNTIF(RELATIONSHIPS!$B:$B,A245)+COUNTIF(RELATIONSHIPS!$C:$C,A245)</f>
        <v>5</v>
      </c>
    </row>
    <row r="246" spans="1:15" x14ac:dyDescent="0.3">
      <c r="A246" t="s">
        <v>1619</v>
      </c>
      <c r="B246" t="s">
        <v>1620</v>
      </c>
      <c r="C246" t="s">
        <v>1621</v>
      </c>
      <c r="D246" t="s">
        <v>861</v>
      </c>
      <c r="E246" t="s">
        <v>19</v>
      </c>
      <c r="F246" t="s">
        <v>861</v>
      </c>
      <c r="I246">
        <v>195</v>
      </c>
      <c r="J246" t="s">
        <v>1607</v>
      </c>
      <c r="K246" t="s">
        <v>22</v>
      </c>
      <c r="L246" t="s">
        <v>1622</v>
      </c>
      <c r="M246" t="s">
        <v>22</v>
      </c>
      <c r="N246" t="s">
        <v>25</v>
      </c>
      <c r="O246" s="3">
        <f>COUNTIF(RELATIONSHIPS!$B:$B,A246)+COUNTIF(RELATIONSHIPS!$C:$C,A246)</f>
        <v>4</v>
      </c>
    </row>
    <row r="247" spans="1:15" x14ac:dyDescent="0.3">
      <c r="A247" t="s">
        <v>1623</v>
      </c>
      <c r="B247" t="s">
        <v>1624</v>
      </c>
      <c r="C247" t="s">
        <v>1625</v>
      </c>
      <c r="D247" t="s">
        <v>945</v>
      </c>
      <c r="E247" t="s">
        <v>19</v>
      </c>
      <c r="F247" t="s">
        <v>945</v>
      </c>
      <c r="I247">
        <v>196</v>
      </c>
      <c r="J247" t="s">
        <v>1607</v>
      </c>
      <c r="K247" t="s">
        <v>22</v>
      </c>
      <c r="L247" t="s">
        <v>1626</v>
      </c>
      <c r="M247" t="s">
        <v>22</v>
      </c>
      <c r="N247" t="s">
        <v>25</v>
      </c>
      <c r="O247" s="3">
        <f>COUNTIF(RELATIONSHIPS!$B:$B,A247)+COUNTIF(RELATIONSHIPS!$C:$C,A247)</f>
        <v>4</v>
      </c>
    </row>
    <row r="248" spans="1:15" x14ac:dyDescent="0.3">
      <c r="A248" t="s">
        <v>1627</v>
      </c>
      <c r="B248" t="s">
        <v>1628</v>
      </c>
      <c r="C248" t="s">
        <v>1629</v>
      </c>
      <c r="D248" t="s">
        <v>923</v>
      </c>
      <c r="E248" t="s">
        <v>19</v>
      </c>
      <c r="F248" t="s">
        <v>923</v>
      </c>
      <c r="I248">
        <v>197</v>
      </c>
      <c r="J248" t="s">
        <v>1630</v>
      </c>
      <c r="K248" t="s">
        <v>22</v>
      </c>
      <c r="L248" t="s">
        <v>1631</v>
      </c>
      <c r="M248" t="s">
        <v>22</v>
      </c>
      <c r="N248" t="s">
        <v>25</v>
      </c>
      <c r="O248" s="3">
        <f>COUNTIF(RELATIONSHIPS!$B:$B,A248)+COUNTIF(RELATIONSHIPS!$C:$C,A248)</f>
        <v>6</v>
      </c>
    </row>
    <row r="249" spans="1:15" x14ac:dyDescent="0.3">
      <c r="A249" t="s">
        <v>1632</v>
      </c>
      <c r="B249" t="s">
        <v>1633</v>
      </c>
      <c r="C249" t="s">
        <v>1634</v>
      </c>
      <c r="D249" t="s">
        <v>519</v>
      </c>
      <c r="E249" t="s">
        <v>19</v>
      </c>
      <c r="F249" t="s">
        <v>519</v>
      </c>
      <c r="I249">
        <v>198</v>
      </c>
      <c r="J249" t="s">
        <v>21</v>
      </c>
      <c r="K249" t="s">
        <v>22</v>
      </c>
      <c r="L249" t="s">
        <v>1635</v>
      </c>
      <c r="M249" t="s">
        <v>22</v>
      </c>
      <c r="N249" t="s">
        <v>25</v>
      </c>
      <c r="O249" s="3">
        <f>COUNTIF(RELATIONSHIPS!$B:$B,A249)+COUNTIF(RELATIONSHIPS!$C:$C,A249)</f>
        <v>2</v>
      </c>
    </row>
    <row r="250" spans="1:15" x14ac:dyDescent="0.3">
      <c r="A250" t="s">
        <v>1636</v>
      </c>
      <c r="B250" t="s">
        <v>1637</v>
      </c>
      <c r="C250" t="s">
        <v>1638</v>
      </c>
      <c r="D250" t="s">
        <v>552</v>
      </c>
      <c r="E250" t="s">
        <v>19</v>
      </c>
      <c r="F250" t="s">
        <v>552</v>
      </c>
      <c r="I250">
        <v>199</v>
      </c>
      <c r="J250" t="s">
        <v>21</v>
      </c>
      <c r="K250" t="s">
        <v>22</v>
      </c>
      <c r="L250" t="s">
        <v>1639</v>
      </c>
      <c r="M250" t="s">
        <v>22</v>
      </c>
      <c r="N250" t="s">
        <v>25</v>
      </c>
      <c r="O250" s="3">
        <f>COUNTIF(RELATIONSHIPS!$B:$B,A250)+COUNTIF(RELATIONSHIPS!$C:$C,A250)</f>
        <v>3</v>
      </c>
    </row>
    <row r="251" spans="1:15" x14ac:dyDescent="0.3">
      <c r="A251" t="s">
        <v>1640</v>
      </c>
      <c r="B251" t="s">
        <v>1641</v>
      </c>
      <c r="C251" t="s">
        <v>1642</v>
      </c>
      <c r="D251" t="s">
        <v>1078</v>
      </c>
      <c r="E251" t="s">
        <v>19</v>
      </c>
      <c r="F251" t="s">
        <v>1078</v>
      </c>
      <c r="I251">
        <v>200</v>
      </c>
      <c r="J251" t="s">
        <v>1607</v>
      </c>
      <c r="K251" t="s">
        <v>22</v>
      </c>
      <c r="L251" t="s">
        <v>1643</v>
      </c>
      <c r="M251" t="s">
        <v>22</v>
      </c>
      <c r="N251" t="s">
        <v>25</v>
      </c>
      <c r="O251" s="3">
        <f>COUNTIF(RELATIONSHIPS!$B:$B,A251)+COUNTIF(RELATIONSHIPS!$C:$C,A251)</f>
        <v>2</v>
      </c>
    </row>
    <row r="252" spans="1:15" x14ac:dyDescent="0.3">
      <c r="A252" t="s">
        <v>1644</v>
      </c>
      <c r="B252" t="s">
        <v>1645</v>
      </c>
      <c r="C252" t="s">
        <v>1646</v>
      </c>
      <c r="D252" t="s">
        <v>725</v>
      </c>
      <c r="E252" t="s">
        <v>19</v>
      </c>
      <c r="F252" t="s">
        <v>725</v>
      </c>
      <c r="I252">
        <v>201</v>
      </c>
      <c r="J252" t="s">
        <v>1607</v>
      </c>
      <c r="K252" t="s">
        <v>22</v>
      </c>
      <c r="L252" t="s">
        <v>1647</v>
      </c>
      <c r="M252" t="s">
        <v>22</v>
      </c>
      <c r="N252" t="s">
        <v>25</v>
      </c>
      <c r="O252" s="3">
        <f>COUNTIF(RELATIONSHIPS!$B:$B,A252)+COUNTIF(RELATIONSHIPS!$C:$C,A252)</f>
        <v>3</v>
      </c>
    </row>
    <row r="253" spans="1:15" x14ac:dyDescent="0.3">
      <c r="A253" t="s">
        <v>1720</v>
      </c>
      <c r="B253" t="s">
        <v>1721</v>
      </c>
      <c r="C253" t="s">
        <v>1722</v>
      </c>
      <c r="D253" t="s">
        <v>923</v>
      </c>
      <c r="E253" t="s">
        <v>19</v>
      </c>
      <c r="F253" t="s">
        <v>923</v>
      </c>
      <c r="I253">
        <v>202</v>
      </c>
      <c r="J253" t="s">
        <v>1723</v>
      </c>
      <c r="K253" t="s">
        <v>22</v>
      </c>
      <c r="L253" t="s">
        <v>1724</v>
      </c>
      <c r="M253" t="s">
        <v>22</v>
      </c>
      <c r="N253" t="s">
        <v>25</v>
      </c>
      <c r="O253" s="3">
        <f>COUNTIF(RELATIONSHIPS!$B:$B,A253)+COUNTIF(RELATIONSHIPS!$C:$C,A253)</f>
        <v>8</v>
      </c>
    </row>
    <row r="254" spans="1:15" x14ac:dyDescent="0.3">
      <c r="A254" t="s">
        <v>1725</v>
      </c>
      <c r="B254" t="s">
        <v>1726</v>
      </c>
      <c r="C254" t="s">
        <v>1727</v>
      </c>
      <c r="D254" t="s">
        <v>29</v>
      </c>
      <c r="E254" t="s">
        <v>19</v>
      </c>
      <c r="F254" t="s">
        <v>29</v>
      </c>
      <c r="I254">
        <v>203</v>
      </c>
      <c r="J254" t="s">
        <v>1723</v>
      </c>
      <c r="K254" t="s">
        <v>22</v>
      </c>
      <c r="L254" t="s">
        <v>1728</v>
      </c>
      <c r="M254" t="s">
        <v>22</v>
      </c>
      <c r="N254" t="s">
        <v>25</v>
      </c>
      <c r="O254" s="3">
        <f>COUNTIF(RELATIONSHIPS!$B:$B,A254)+COUNTIF(RELATIONSHIPS!$C:$C,A254)</f>
        <v>3</v>
      </c>
    </row>
    <row r="255" spans="1:15" x14ac:dyDescent="0.3">
      <c r="A255" t="s">
        <v>2033</v>
      </c>
      <c r="B255" t="s">
        <v>2034</v>
      </c>
      <c r="C255" t="s">
        <v>2035</v>
      </c>
      <c r="D255" t="s">
        <v>923</v>
      </c>
      <c r="E255" t="s">
        <v>19</v>
      </c>
      <c r="F255" t="s">
        <v>923</v>
      </c>
      <c r="G255" t="s">
        <v>2036</v>
      </c>
      <c r="H255" t="s">
        <v>2037</v>
      </c>
      <c r="I255">
        <v>204</v>
      </c>
      <c r="J255" t="s">
        <v>21</v>
      </c>
      <c r="K255" t="s">
        <v>22</v>
      </c>
      <c r="L255" t="s">
        <v>2038</v>
      </c>
      <c r="M255" t="s">
        <v>22</v>
      </c>
      <c r="N255" t="s">
        <v>25</v>
      </c>
      <c r="O255">
        <f>COUNTIF(RELATIONSHIPS!$B:$B,A255)+COUNTIF(RELATIONSHIPS!$C:$C,A255)</f>
        <v>9</v>
      </c>
    </row>
    <row r="256" spans="1:15" x14ac:dyDescent="0.3">
      <c r="A256" t="s">
        <v>2039</v>
      </c>
      <c r="B256" t="s">
        <v>2040</v>
      </c>
      <c r="C256" t="s">
        <v>2041</v>
      </c>
      <c r="D256" t="s">
        <v>923</v>
      </c>
      <c r="E256" t="s">
        <v>19</v>
      </c>
      <c r="F256" t="s">
        <v>923</v>
      </c>
      <c r="G256" t="s">
        <v>2036</v>
      </c>
      <c r="H256" t="s">
        <v>2037</v>
      </c>
      <c r="I256">
        <v>205</v>
      </c>
      <c r="J256" t="s">
        <v>21</v>
      </c>
      <c r="K256" t="s">
        <v>22</v>
      </c>
      <c r="L256" t="s">
        <v>1639</v>
      </c>
      <c r="M256" t="s">
        <v>22</v>
      </c>
      <c r="N256" t="s">
        <v>25</v>
      </c>
      <c r="O256">
        <f>COUNTIF(RELATIONSHIPS!$B:$B,A256)+COUNTIF(RELATIONSHIPS!$C:$C,A256)</f>
        <v>8</v>
      </c>
    </row>
    <row r="257" spans="1:15" x14ac:dyDescent="0.3">
      <c r="A257" t="s">
        <v>2042</v>
      </c>
      <c r="B257" t="s">
        <v>2043</v>
      </c>
      <c r="C257" t="s">
        <v>2044</v>
      </c>
      <c r="D257" t="s">
        <v>923</v>
      </c>
      <c r="E257" t="s">
        <v>19</v>
      </c>
      <c r="F257" t="s">
        <v>923</v>
      </c>
      <c r="G257" t="s">
        <v>2036</v>
      </c>
      <c r="H257" t="s">
        <v>2037</v>
      </c>
      <c r="I257">
        <v>206</v>
      </c>
      <c r="J257" t="s">
        <v>21</v>
      </c>
      <c r="K257" t="s">
        <v>22</v>
      </c>
      <c r="L257" t="s">
        <v>2045</v>
      </c>
      <c r="M257" t="s">
        <v>22</v>
      </c>
      <c r="N257" t="s">
        <v>25</v>
      </c>
      <c r="O257">
        <f>COUNTIF(RELATIONSHIPS!$B:$B,A257)+COUNTIF(RELATIONSHIPS!$C:$C,A257)</f>
        <v>13</v>
      </c>
    </row>
    <row r="258" spans="1:15" x14ac:dyDescent="0.3">
      <c r="A258" t="s">
        <v>2046</v>
      </c>
      <c r="B258" t="s">
        <v>2047</v>
      </c>
      <c r="C258" t="s">
        <v>2048</v>
      </c>
      <c r="D258" t="s">
        <v>725</v>
      </c>
      <c r="E258" t="s">
        <v>19</v>
      </c>
      <c r="F258" t="s">
        <v>725</v>
      </c>
      <c r="G258" t="s">
        <v>2049</v>
      </c>
      <c r="H258" t="s">
        <v>2037</v>
      </c>
      <c r="I258">
        <v>207</v>
      </c>
      <c r="J258" t="s">
        <v>21</v>
      </c>
      <c r="K258" t="s">
        <v>22</v>
      </c>
      <c r="L258" t="s">
        <v>2050</v>
      </c>
      <c r="M258" t="s">
        <v>22</v>
      </c>
      <c r="N258" t="s">
        <v>25</v>
      </c>
      <c r="O258">
        <f>COUNTIF(RELATIONSHIPS!$B:$B,A258)+COUNTIF(RELATIONSHIPS!$C:$C,A258)</f>
        <v>4</v>
      </c>
    </row>
    <row r="259" spans="1:15" x14ac:dyDescent="0.3">
      <c r="A259" t="s">
        <v>2091</v>
      </c>
      <c r="B259" t="s">
        <v>2092</v>
      </c>
      <c r="C259" t="s">
        <v>2093</v>
      </c>
      <c r="D259" t="s">
        <v>2094</v>
      </c>
      <c r="E259" t="s">
        <v>19</v>
      </c>
      <c r="F259" t="s">
        <v>2094</v>
      </c>
      <c r="G259" t="s">
        <v>2095</v>
      </c>
      <c r="H259" t="s">
        <v>2037</v>
      </c>
      <c r="I259">
        <v>208</v>
      </c>
      <c r="J259" t="s">
        <v>21</v>
      </c>
      <c r="K259" t="s">
        <v>22</v>
      </c>
      <c r="L259" t="s">
        <v>2096</v>
      </c>
      <c r="M259" t="s">
        <v>22</v>
      </c>
      <c r="N259" t="s">
        <v>25</v>
      </c>
      <c r="O259">
        <f>COUNTIF(RELATIONSHIPS!$B:$B,A259)+COUNTIF(RELATIONSHIPS!$C:$C,A259)</f>
        <v>2</v>
      </c>
    </row>
    <row r="260" spans="1:15" x14ac:dyDescent="0.3">
      <c r="A260" t="s">
        <v>2097</v>
      </c>
      <c r="B260" t="s">
        <v>2098</v>
      </c>
      <c r="C260" t="s">
        <v>2099</v>
      </c>
      <c r="D260" t="s">
        <v>2094</v>
      </c>
      <c r="E260" t="s">
        <v>19</v>
      </c>
      <c r="F260" t="s">
        <v>2094</v>
      </c>
      <c r="G260" t="s">
        <v>2095</v>
      </c>
      <c r="H260" t="s">
        <v>2037</v>
      </c>
      <c r="I260">
        <v>209</v>
      </c>
      <c r="J260" t="s">
        <v>21</v>
      </c>
      <c r="K260" t="s">
        <v>22</v>
      </c>
      <c r="L260" t="s">
        <v>2100</v>
      </c>
      <c r="M260" t="s">
        <v>22</v>
      </c>
      <c r="N260" t="s">
        <v>25</v>
      </c>
      <c r="O260">
        <f>COUNTIF(RELATIONSHIPS!$B:$B,A260)+COUNTIF(RELATIONSHIPS!$C:$C,A260)</f>
        <v>2</v>
      </c>
    </row>
    <row r="261" spans="1:15" x14ac:dyDescent="0.3">
      <c r="A261" t="s">
        <v>2101</v>
      </c>
      <c r="B261" t="s">
        <v>2102</v>
      </c>
      <c r="C261" t="s">
        <v>2103</v>
      </c>
      <c r="D261" t="s">
        <v>2094</v>
      </c>
      <c r="E261" t="s">
        <v>19</v>
      </c>
      <c r="F261" t="s">
        <v>2094</v>
      </c>
      <c r="G261" t="s">
        <v>2095</v>
      </c>
      <c r="H261" t="s">
        <v>2037</v>
      </c>
      <c r="I261">
        <v>210</v>
      </c>
      <c r="J261" t="s">
        <v>21</v>
      </c>
      <c r="K261" t="s">
        <v>22</v>
      </c>
      <c r="L261" t="s">
        <v>2104</v>
      </c>
      <c r="M261" t="s">
        <v>22</v>
      </c>
      <c r="N261" t="s">
        <v>25</v>
      </c>
      <c r="O261">
        <f>COUNTIF(RELATIONSHIPS!$B:$B,A261)+COUNTIF(RELATIONSHIPS!$C:$C,A261)</f>
        <v>4</v>
      </c>
    </row>
    <row r="262" spans="1:15" x14ac:dyDescent="0.3">
      <c r="A262" t="s">
        <v>2123</v>
      </c>
      <c r="B262" t="s">
        <v>2124</v>
      </c>
      <c r="C262" t="s">
        <v>2125</v>
      </c>
      <c r="D262" t="s">
        <v>519</v>
      </c>
      <c r="E262" t="s">
        <v>19</v>
      </c>
      <c r="F262" t="s">
        <v>519</v>
      </c>
      <c r="G262" t="s">
        <v>2036</v>
      </c>
      <c r="H262" t="s">
        <v>2037</v>
      </c>
      <c r="I262">
        <v>211</v>
      </c>
      <c r="J262" t="s">
        <v>1607</v>
      </c>
      <c r="K262" t="s">
        <v>22</v>
      </c>
      <c r="L262" t="s">
        <v>2126</v>
      </c>
      <c r="M262" t="s">
        <v>22</v>
      </c>
      <c r="N262" t="s">
        <v>25</v>
      </c>
      <c r="O262">
        <f>COUNTIF(RELATIONSHIPS!$B:$B,A262)+COUNTIF(RELATIONSHIPS!$C:$CC,A262)</f>
        <v>6</v>
      </c>
    </row>
    <row r="263" spans="1:15" x14ac:dyDescent="0.3">
      <c r="A263" t="s">
        <v>2127</v>
      </c>
      <c r="B263" t="s">
        <v>2128</v>
      </c>
      <c r="C263" t="s">
        <v>2129</v>
      </c>
      <c r="D263" t="s">
        <v>519</v>
      </c>
      <c r="E263" t="s">
        <v>19</v>
      </c>
      <c r="F263" t="s">
        <v>519</v>
      </c>
      <c r="G263" t="s">
        <v>2036</v>
      </c>
      <c r="H263" t="s">
        <v>2037</v>
      </c>
      <c r="I263">
        <v>212</v>
      </c>
      <c r="J263" t="s">
        <v>1607</v>
      </c>
      <c r="K263" t="s">
        <v>22</v>
      </c>
      <c r="L263" t="s">
        <v>2130</v>
      </c>
      <c r="M263" t="s">
        <v>22</v>
      </c>
      <c r="N263" t="s">
        <v>25</v>
      </c>
      <c r="O263">
        <f>COUNTIF(RELATIONSHIPS!$B:$B,A263)+COUNTIF(RELATIONSHIPS!$C:$C,A263)</f>
        <v>3</v>
      </c>
    </row>
    <row r="264" spans="1:15" x14ac:dyDescent="0.3">
      <c r="A264" t="s">
        <v>2147</v>
      </c>
      <c r="B264" t="s">
        <v>2148</v>
      </c>
      <c r="C264" s="56" t="s">
        <v>2149</v>
      </c>
      <c r="D264" t="s">
        <v>725</v>
      </c>
      <c r="E264" t="s">
        <v>2150</v>
      </c>
      <c r="F264" t="s">
        <v>725</v>
      </c>
      <c r="G264" t="s">
        <v>2049</v>
      </c>
      <c r="H264" t="s">
        <v>2037</v>
      </c>
      <c r="I264">
        <v>213</v>
      </c>
      <c r="J264" t="s">
        <v>21</v>
      </c>
      <c r="K264" t="s">
        <v>22</v>
      </c>
      <c r="L264" t="s">
        <v>2151</v>
      </c>
      <c r="M264" t="s">
        <v>22</v>
      </c>
      <c r="N264" t="s">
        <v>25</v>
      </c>
      <c r="O264">
        <f>COUNTIF(RELATIONSHIPS!$B:$B,A264)+COUNTIF(RELATIONSHIPS!$C:$C,A264)</f>
        <v>5</v>
      </c>
    </row>
    <row r="265" spans="1:15" x14ac:dyDescent="0.3">
      <c r="A265" t="s">
        <v>2152</v>
      </c>
      <c r="B265" t="s">
        <v>2153</v>
      </c>
      <c r="C265" t="s">
        <v>2154</v>
      </c>
      <c r="D265" t="s">
        <v>220</v>
      </c>
      <c r="E265" t="s">
        <v>19</v>
      </c>
      <c r="F265" t="s">
        <v>220</v>
      </c>
      <c r="G265" t="s">
        <v>2036</v>
      </c>
      <c r="H265" t="s">
        <v>2037</v>
      </c>
      <c r="I265">
        <v>214</v>
      </c>
      <c r="J265" t="s">
        <v>21</v>
      </c>
      <c r="K265" t="s">
        <v>22</v>
      </c>
      <c r="L265" t="s">
        <v>2155</v>
      </c>
      <c r="M265" t="s">
        <v>22</v>
      </c>
      <c r="N265" t="s">
        <v>25</v>
      </c>
      <c r="O265">
        <f>COUNTIF(RELATIONSHIPS!$B:$B,A265)+COUNTIF(RELATIONSHIPS!$C:$C,A265)</f>
        <v>9</v>
      </c>
    </row>
    <row r="266" spans="1:15" x14ac:dyDescent="0.3">
      <c r="A266" t="s">
        <v>2156</v>
      </c>
      <c r="B266" t="s">
        <v>2157</v>
      </c>
      <c r="C266" t="s">
        <v>2158</v>
      </c>
      <c r="D266" t="s">
        <v>725</v>
      </c>
      <c r="E266" t="s">
        <v>19</v>
      </c>
      <c r="F266" t="s">
        <v>725</v>
      </c>
      <c r="G266" t="s">
        <v>2049</v>
      </c>
      <c r="H266" t="s">
        <v>2037</v>
      </c>
      <c r="I266">
        <v>215</v>
      </c>
      <c r="J266" t="s">
        <v>21</v>
      </c>
      <c r="K266" t="s">
        <v>22</v>
      </c>
      <c r="L266" t="s">
        <v>2159</v>
      </c>
      <c r="M266" t="s">
        <v>22</v>
      </c>
      <c r="N266" t="s">
        <v>25</v>
      </c>
      <c r="O266">
        <f>COUNTIF(RELATIONSHIPS!$B:$B,A266)+COUNTIF(RELATIONSHIPS!$C:$C,A266)</f>
        <v>6</v>
      </c>
    </row>
    <row r="267" spans="1:15" x14ac:dyDescent="0.3">
      <c r="A267" t="s">
        <v>2225</v>
      </c>
      <c r="B267" t="s">
        <v>2226</v>
      </c>
      <c r="C267" t="s">
        <v>2227</v>
      </c>
      <c r="D267" t="s">
        <v>11</v>
      </c>
      <c r="E267" t="s">
        <v>19</v>
      </c>
      <c r="F267" t="s">
        <v>11</v>
      </c>
      <c r="H267" t="s">
        <v>2228</v>
      </c>
      <c r="J267" t="s">
        <v>21</v>
      </c>
      <c r="K267" t="s">
        <v>19</v>
      </c>
      <c r="L267" t="s">
        <v>571</v>
      </c>
      <c r="M267" t="s">
        <v>2229</v>
      </c>
      <c r="N267" t="s">
        <v>25</v>
      </c>
      <c r="O267">
        <f>COUNTIF(RELATIONSHIPS!$B:$B,A267)+COUNTIF(RELATIONSHIPS!$C:$C,A267)</f>
        <v>93</v>
      </c>
    </row>
    <row r="268" spans="1:15" x14ac:dyDescent="0.3">
      <c r="A268" t="s">
        <v>2230</v>
      </c>
      <c r="B268" t="s">
        <v>2231</v>
      </c>
      <c r="C268" t="s">
        <v>2232</v>
      </c>
      <c r="D268" t="s">
        <v>11</v>
      </c>
      <c r="E268" t="s">
        <v>19</v>
      </c>
      <c r="F268" t="s">
        <v>11</v>
      </c>
      <c r="H268" t="s">
        <v>2228</v>
      </c>
      <c r="J268" t="s">
        <v>21</v>
      </c>
      <c r="K268" t="s">
        <v>19</v>
      </c>
      <c r="L268" t="s">
        <v>726</v>
      </c>
      <c r="M268" t="s">
        <v>2229</v>
      </c>
      <c r="N268" t="s">
        <v>25</v>
      </c>
      <c r="O268">
        <f>COUNTIF(RELATIONSHIPS!$B:$B,A268)+COUNTIF(RELATIONSHIPS!$C:$C,A268)</f>
        <v>93</v>
      </c>
    </row>
    <row r="269" spans="1:15" x14ac:dyDescent="0.3">
      <c r="A269" t="s">
        <v>2233</v>
      </c>
      <c r="B269" t="s">
        <v>2234</v>
      </c>
      <c r="C269" t="s">
        <v>2235</v>
      </c>
      <c r="D269" t="s">
        <v>11</v>
      </c>
      <c r="E269" t="s">
        <v>19</v>
      </c>
      <c r="F269" t="s">
        <v>11</v>
      </c>
      <c r="H269" t="s">
        <v>2228</v>
      </c>
      <c r="J269" t="s">
        <v>21</v>
      </c>
      <c r="K269" t="s">
        <v>19</v>
      </c>
      <c r="L269" t="s">
        <v>2236</v>
      </c>
      <c r="M269" t="s">
        <v>2229</v>
      </c>
      <c r="N269" t="s">
        <v>25</v>
      </c>
      <c r="O269">
        <f>COUNTIF(RELATIONSHIPS!$B:$B,A269)+COUNTIF(RELATIONSHIPS!$C:$C,A269)</f>
        <v>93</v>
      </c>
    </row>
    <row r="270" spans="1:15" x14ac:dyDescent="0.3">
      <c r="A270" t="s">
        <v>2237</v>
      </c>
      <c r="B270" t="s">
        <v>2238</v>
      </c>
      <c r="C270" t="s">
        <v>2239</v>
      </c>
      <c r="D270" t="s">
        <v>11</v>
      </c>
      <c r="E270" t="s">
        <v>19</v>
      </c>
      <c r="F270" t="s">
        <v>11</v>
      </c>
      <c r="H270" t="s">
        <v>2228</v>
      </c>
      <c r="J270" t="s">
        <v>21</v>
      </c>
      <c r="K270" t="s">
        <v>19</v>
      </c>
      <c r="L270" t="s">
        <v>2240</v>
      </c>
      <c r="M270" t="s">
        <v>2229</v>
      </c>
      <c r="N270" t="s">
        <v>25</v>
      </c>
      <c r="O270">
        <f>COUNTIF(RELATIONSHIPS!$B:$B,A270)+COUNTIF(RELATIONSHIPS!$C:$C,A270)</f>
        <v>92</v>
      </c>
    </row>
    <row r="271" spans="1:15" x14ac:dyDescent="0.3">
      <c r="A271" t="s">
        <v>2241</v>
      </c>
      <c r="B271" t="s">
        <v>2242</v>
      </c>
      <c r="C271" t="s">
        <v>2243</v>
      </c>
      <c r="D271" t="s">
        <v>11</v>
      </c>
      <c r="E271" t="s">
        <v>19</v>
      </c>
      <c r="F271" t="s">
        <v>11</v>
      </c>
      <c r="H271" t="s">
        <v>2228</v>
      </c>
      <c r="J271" t="s">
        <v>21</v>
      </c>
      <c r="K271" t="s">
        <v>19</v>
      </c>
      <c r="L271" t="s">
        <v>2196</v>
      </c>
      <c r="M271" t="s">
        <v>2229</v>
      </c>
      <c r="N271" t="s">
        <v>25</v>
      </c>
      <c r="O271">
        <f>COUNTIF(RELATIONSHIPS!$B:$B,A271)+COUNTIF(RELATIONSHIPS!$C:$C,A271)</f>
        <v>92</v>
      </c>
    </row>
    <row r="272" spans="1:15" x14ac:dyDescent="0.3">
      <c r="A272" t="s">
        <v>2244</v>
      </c>
      <c r="B272" t="s">
        <v>2245</v>
      </c>
      <c r="C272" t="s">
        <v>2246</v>
      </c>
      <c r="D272" t="s">
        <v>11</v>
      </c>
      <c r="E272" t="s">
        <v>19</v>
      </c>
      <c r="F272" t="s">
        <v>11</v>
      </c>
      <c r="H272" t="s">
        <v>2228</v>
      </c>
      <c r="J272" t="s">
        <v>21</v>
      </c>
      <c r="K272" t="s">
        <v>19</v>
      </c>
      <c r="L272" t="s">
        <v>220</v>
      </c>
      <c r="M272" t="s">
        <v>2229</v>
      </c>
      <c r="N272" t="s">
        <v>25</v>
      </c>
      <c r="O272">
        <f>COUNTIF(RELATIONSHIPS!$B:$B,A272)+COUNTIF(RELATIONSHIPS!$C:$C,A272)</f>
        <v>93</v>
      </c>
    </row>
    <row r="273" spans="1:15" x14ac:dyDescent="0.3">
      <c r="A273" t="s">
        <v>2247</v>
      </c>
      <c r="B273" t="s">
        <v>2248</v>
      </c>
      <c r="C273" t="s">
        <v>2249</v>
      </c>
      <c r="D273" t="s">
        <v>11</v>
      </c>
      <c r="E273" t="s">
        <v>19</v>
      </c>
      <c r="F273" t="s">
        <v>11</v>
      </c>
      <c r="H273" t="s">
        <v>2228</v>
      </c>
      <c r="J273" t="s">
        <v>21</v>
      </c>
      <c r="K273" t="s">
        <v>19</v>
      </c>
      <c r="L273" t="s">
        <v>520</v>
      </c>
      <c r="M273" t="s">
        <v>2229</v>
      </c>
      <c r="N273" t="s">
        <v>25</v>
      </c>
      <c r="O273">
        <f>COUNTIF(RELATIONSHIPS!$B:$B,A273)+COUNTIF(RELATIONSHIPS!$C:$C,A273)</f>
        <v>93</v>
      </c>
    </row>
    <row r="274" spans="1:15" x14ac:dyDescent="0.3">
      <c r="A274" t="s">
        <v>2919</v>
      </c>
      <c r="B274" t="s">
        <v>2920</v>
      </c>
      <c r="C274" t="s">
        <v>2921</v>
      </c>
      <c r="D274" t="s">
        <v>923</v>
      </c>
      <c r="E274" t="s">
        <v>19</v>
      </c>
      <c r="F274" t="s">
        <v>923</v>
      </c>
      <c r="G274" t="s">
        <v>2036</v>
      </c>
      <c r="H274" t="s">
        <v>2037</v>
      </c>
      <c r="I274">
        <v>216</v>
      </c>
      <c r="J274" t="s">
        <v>21</v>
      </c>
      <c r="K274" t="s">
        <v>22</v>
      </c>
      <c r="L274" t="s">
        <v>2922</v>
      </c>
      <c r="M274" t="s">
        <v>2923</v>
      </c>
      <c r="N274" t="s">
        <v>25</v>
      </c>
      <c r="O274">
        <f>COUNTIF(RELATIONSHIPS!$B:$B,A274)+COUNTIF(RELATIONSHIPS!$C:$C,A274)</f>
        <v>6</v>
      </c>
    </row>
    <row r="275" spans="1:15" x14ac:dyDescent="0.3">
      <c r="A275" t="s">
        <v>2924</v>
      </c>
      <c r="B275" t="s">
        <v>2925</v>
      </c>
      <c r="C275" t="s">
        <v>2926</v>
      </c>
      <c r="D275" t="s">
        <v>725</v>
      </c>
      <c r="E275" t="s">
        <v>19</v>
      </c>
      <c r="F275" t="s">
        <v>725</v>
      </c>
      <c r="G275" t="s">
        <v>2049</v>
      </c>
      <c r="H275" t="s">
        <v>2037</v>
      </c>
      <c r="I275">
        <v>217</v>
      </c>
      <c r="J275" t="s">
        <v>21</v>
      </c>
      <c r="K275" t="s">
        <v>22</v>
      </c>
      <c r="L275" t="s">
        <v>2927</v>
      </c>
      <c r="M275" t="s">
        <v>22</v>
      </c>
      <c r="N275" t="s">
        <v>25</v>
      </c>
      <c r="O275">
        <f>COUNTIF(RELATIONSHIPS!$B:$B,A275)+COUNTIF(RELATIONSHIPS!$C:$C,A275)</f>
        <v>5</v>
      </c>
    </row>
    <row r="276" spans="1:15" x14ac:dyDescent="0.3">
      <c r="A276" t="s">
        <v>2928</v>
      </c>
      <c r="B276" t="s">
        <v>2929</v>
      </c>
      <c r="C276" t="s">
        <v>2930</v>
      </c>
      <c r="D276" t="s">
        <v>220</v>
      </c>
      <c r="E276" t="s">
        <v>19</v>
      </c>
      <c r="F276" t="s">
        <v>220</v>
      </c>
      <c r="G276" t="s">
        <v>2036</v>
      </c>
      <c r="H276" t="s">
        <v>2037</v>
      </c>
      <c r="I276">
        <v>218</v>
      </c>
      <c r="J276" t="s">
        <v>1723</v>
      </c>
      <c r="K276" t="s">
        <v>2923</v>
      </c>
      <c r="L276" t="s">
        <v>2931</v>
      </c>
      <c r="M276" t="s">
        <v>2923</v>
      </c>
      <c r="N276" t="s">
        <v>25</v>
      </c>
      <c r="O276">
        <f>COUNTIF(RELATIONSHIPS!$B:$B,A276)+COUNTIF(RELATIONSHIPS!$C:$C,A276)</f>
        <v>6</v>
      </c>
    </row>
  </sheetData>
  <conditionalFormatting sqref="J2:J276 K255:N276">
    <cfRule type="containsText" dxfId="18" priority="1" operator="containsText" text="canonical">
      <formula>NOT(ISERROR(SEARCH("canonical",J2)))</formula>
    </cfRule>
    <cfRule type="containsText" dxfId="17" priority="2" operator="containsText" text="needs_math">
      <formula>NOT(ISERROR(SEARCH("needs_math",J2)))</formula>
    </cfRule>
    <cfRule type="containsText" dxfId="16" priority="3" operator="containsText" text="needs_source">
      <formula>NOT(ISERROR(SEARCH("needs_source",J2)))</formula>
    </cfRule>
    <cfRule type="containsText" dxfId="15" priority="4" operator="containsText" text="needs_formalization">
      <formula>NOT(ISERROR(SEARCH("needs_formalization",J2)))</formula>
    </cfRule>
    <cfRule type="containsText" dxfId="14" priority="5" operator="containsText" text="active">
      <formula>NOT(ISERROR(SEARCH("active",J2)))</formula>
    </cfRule>
    <cfRule type="containsText" dxfId="13" priority="7" operator="containsText" text="canonical">
      <formula>NOT(ISERROR(SEARCH("canonical",J2)))</formula>
    </cfRule>
    <cfRule type="containsText" dxfId="12" priority="8" operator="containsText" text="needs_math">
      <formula>NOT(ISERROR(SEARCH("needs_math",J2)))</formula>
    </cfRule>
    <cfRule type="containsText" dxfId="11" priority="9" operator="containsText" text="needs_source">
      <formula>NOT(ISERROR(SEARCH("needs_source",J2)))</formula>
    </cfRule>
    <cfRule type="containsText" dxfId="10" priority="10" operator="containsText" text="needs_formalization">
      <formula>NOT(ISERROR(SEARCH("needs_formalization",J2)))</formula>
    </cfRule>
    <cfRule type="containsText" dxfId="9" priority="11" operator="containsText" text="active">
      <formula>NOT(ISERROR(SEARCH("active",J2)))</formula>
    </cfRule>
  </conditionalFormatting>
  <conditionalFormatting sqref="O2:O254">
    <cfRule type="colorScale" priority="6">
      <colorScale>
        <cfvo type="min"/>
        <cfvo type="max"/>
        <color rgb="FFFF7128"/>
        <color rgb="FFFFEF9C"/>
      </colorScale>
    </cfRule>
  </conditionalFormatting>
  <dataValidations disablePrompts="1" count="5">
    <dataValidation type="list" allowBlank="1" prompt="Select node type" sqref="D2:D104" xr:uid="{00000000-0002-0000-0000-000000000000}">
      <formula1>"question,branch,derivation,axiom,theorem,lemma,boundary_condition,claim,scripture_unit,concept,equation,observation,definition,experiment,person,place,event"</formula1>
    </dataValidation>
    <dataValidation type="list" allowBlank="1" sqref="E2:E104" xr:uid="{00000000-0002-0000-0000-000001000000}">
      <formula1>"word,phrase,sentence,verse,paragraph,chapter,book,corpus,system"</formula1>
    </dataValidation>
    <dataValidation type="list" allowBlank="1" sqref="F2:F104" xr:uid="{00000000-0002-0000-0000-000002000000}">
      <formula1>"axiom,theorem,lemma,corollary,definition,boundary_condition,conjecture,observation,postulate,question,branch,derivation,kill_zone,annotation,claim,evidence_bundle,source,cross_reference,person,place,event,concept,equation,experiment,scripture_unit"</formula1>
    </dataValidation>
    <dataValidation type="list" allowBlank="1" sqref="G2:G104" xr:uid="{00000000-0002-0000-0000-000003000000}">
      <formula1>"type1_binary,type2_identity,type3_ground,type4_constraint"</formula1>
    </dataValidation>
    <dataValidation type="list" allowBlank="1" sqref="J2:J104" xr:uid="{00000000-0002-0000-0000-000004000000}">
      <formula1>"canonical,publish_ready,needs_review,needs_source,needs_math,honest_blank,under_construction,deprecated,blocked,draft"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7A4B"/>
  </sheetPr>
  <dimension ref="A1:J1065"/>
  <sheetViews>
    <sheetView workbookViewId="0">
      <pane xSplit="3" ySplit="1" topLeftCell="D2" activePane="bottomRight" state="frozen"/>
      <selection pane="topRight"/>
      <selection pane="bottomLeft"/>
      <selection pane="bottomRight"/>
    </sheetView>
  </sheetViews>
  <sheetFormatPr defaultRowHeight="14.4" x14ac:dyDescent="0.3"/>
  <cols>
    <col min="1" max="1" width="10" customWidth="1"/>
    <col min="2" max="3" width="12" customWidth="1"/>
    <col min="4" max="4" width="16" customWidth="1"/>
    <col min="5" max="5" width="12" customWidth="1"/>
    <col min="6" max="6" width="10" customWidth="1"/>
    <col min="7" max="7" width="8" customWidth="1"/>
    <col min="8" max="8" width="45" customWidth="1"/>
    <col min="9" max="9" width="14" customWidth="1"/>
    <col min="10" max="10" width="18" customWidth="1"/>
  </cols>
  <sheetData>
    <row r="1" spans="1:10" ht="27.6" x14ac:dyDescent="0.3">
      <c r="A1" s="1" t="s">
        <v>193</v>
      </c>
      <c r="B1" s="1" t="s">
        <v>194</v>
      </c>
      <c r="C1" s="1" t="s">
        <v>195</v>
      </c>
      <c r="D1" s="1" t="s">
        <v>196</v>
      </c>
      <c r="E1" s="1" t="s">
        <v>197</v>
      </c>
      <c r="F1" s="1" t="s">
        <v>198</v>
      </c>
      <c r="G1" s="1" t="s">
        <v>199</v>
      </c>
      <c r="H1" s="1" t="s">
        <v>200</v>
      </c>
      <c r="I1" s="1" t="s">
        <v>201</v>
      </c>
      <c r="J1" s="1" t="s">
        <v>202</v>
      </c>
    </row>
    <row r="2" spans="1:10" x14ac:dyDescent="0.3">
      <c r="A2" s="3" t="s">
        <v>203</v>
      </c>
      <c r="B2" s="3" t="s">
        <v>15</v>
      </c>
      <c r="C2" s="3" t="s">
        <v>26</v>
      </c>
      <c r="D2" s="3" t="s">
        <v>204</v>
      </c>
      <c r="E2" s="3" t="s">
        <v>205</v>
      </c>
      <c r="F2" s="3">
        <v>1</v>
      </c>
      <c r="G2" s="3">
        <v>1</v>
      </c>
      <c r="H2" s="3" t="s">
        <v>206</v>
      </c>
      <c r="I2" s="3" t="s">
        <v>207</v>
      </c>
      <c r="J2" s="3" t="s">
        <v>208</v>
      </c>
    </row>
    <row r="3" spans="1:10" x14ac:dyDescent="0.3">
      <c r="A3" s="4" t="s">
        <v>209</v>
      </c>
      <c r="B3" s="4" t="s">
        <v>15</v>
      </c>
      <c r="C3" s="4" t="s">
        <v>30</v>
      </c>
      <c r="D3" s="4" t="s">
        <v>204</v>
      </c>
      <c r="E3" s="4" t="s">
        <v>205</v>
      </c>
      <c r="F3" s="4">
        <v>1</v>
      </c>
      <c r="G3" s="4">
        <v>1</v>
      </c>
      <c r="H3" s="4" t="s">
        <v>210</v>
      </c>
      <c r="I3" s="4" t="s">
        <v>211</v>
      </c>
      <c r="J3" s="4" t="s">
        <v>212</v>
      </c>
    </row>
    <row r="4" spans="1:10" x14ac:dyDescent="0.3">
      <c r="A4" s="3" t="s">
        <v>213</v>
      </c>
      <c r="B4" s="3" t="s">
        <v>15</v>
      </c>
      <c r="C4" s="3" t="s">
        <v>33</v>
      </c>
      <c r="D4" s="3" t="s">
        <v>204</v>
      </c>
      <c r="E4" s="3" t="s">
        <v>205</v>
      </c>
      <c r="F4" s="3">
        <v>1</v>
      </c>
      <c r="G4" s="3">
        <v>1</v>
      </c>
      <c r="H4" s="3" t="s">
        <v>214</v>
      </c>
      <c r="I4" s="3" t="s">
        <v>207</v>
      </c>
      <c r="J4" s="3" t="s">
        <v>208</v>
      </c>
    </row>
    <row r="5" spans="1:10" x14ac:dyDescent="0.3">
      <c r="A5" s="4" t="s">
        <v>215</v>
      </c>
      <c r="B5" s="4" t="s">
        <v>15</v>
      </c>
      <c r="C5" s="4" t="s">
        <v>36</v>
      </c>
      <c r="D5" s="4" t="s">
        <v>204</v>
      </c>
      <c r="E5" s="4" t="s">
        <v>205</v>
      </c>
      <c r="F5" s="4">
        <v>1</v>
      </c>
      <c r="G5" s="4">
        <v>1</v>
      </c>
      <c r="H5" s="4" t="s">
        <v>216</v>
      </c>
      <c r="I5" s="4" t="s">
        <v>217</v>
      </c>
      <c r="J5" s="4" t="s">
        <v>212</v>
      </c>
    </row>
    <row r="6" spans="1:10" x14ac:dyDescent="0.3">
      <c r="A6" s="3" t="s">
        <v>218</v>
      </c>
      <c r="B6" s="3" t="s">
        <v>36</v>
      </c>
      <c r="C6" s="3" t="s">
        <v>30</v>
      </c>
      <c r="D6" s="3" t="s">
        <v>219</v>
      </c>
      <c r="E6" s="3" t="s">
        <v>220</v>
      </c>
      <c r="F6" s="3">
        <v>0.9</v>
      </c>
      <c r="G6" s="3">
        <v>1</v>
      </c>
      <c r="H6" s="3" t="s">
        <v>221</v>
      </c>
      <c r="I6" s="3"/>
      <c r="J6" s="3"/>
    </row>
    <row r="7" spans="1:10" x14ac:dyDescent="0.3">
      <c r="A7" s="4" t="s">
        <v>222</v>
      </c>
      <c r="B7" s="4" t="s">
        <v>30</v>
      </c>
      <c r="C7" s="4" t="s">
        <v>39</v>
      </c>
      <c r="D7" s="4" t="s">
        <v>204</v>
      </c>
      <c r="E7" s="4" t="s">
        <v>205</v>
      </c>
      <c r="F7" s="4">
        <v>1</v>
      </c>
      <c r="G7" s="4">
        <v>1</v>
      </c>
      <c r="H7" s="4" t="s">
        <v>223</v>
      </c>
      <c r="I7" s="4" t="s">
        <v>211</v>
      </c>
      <c r="J7" s="4" t="s">
        <v>212</v>
      </c>
    </row>
    <row r="8" spans="1:10" x14ac:dyDescent="0.3">
      <c r="A8" s="3" t="s">
        <v>224</v>
      </c>
      <c r="B8" s="3" t="s">
        <v>39</v>
      </c>
      <c r="C8" s="3" t="s">
        <v>42</v>
      </c>
      <c r="D8" s="3" t="s">
        <v>204</v>
      </c>
      <c r="E8" s="3" t="s">
        <v>205</v>
      </c>
      <c r="F8" s="3">
        <v>1</v>
      </c>
      <c r="G8" s="3">
        <v>1</v>
      </c>
      <c r="H8" s="3" t="s">
        <v>225</v>
      </c>
      <c r="I8" s="3" t="s">
        <v>207</v>
      </c>
      <c r="J8" s="3" t="s">
        <v>226</v>
      </c>
    </row>
    <row r="9" spans="1:10" x14ac:dyDescent="0.3">
      <c r="A9" s="4" t="s">
        <v>227</v>
      </c>
      <c r="B9" s="4" t="s">
        <v>39</v>
      </c>
      <c r="C9" s="4" t="s">
        <v>45</v>
      </c>
      <c r="D9" s="4" t="s">
        <v>204</v>
      </c>
      <c r="E9" s="4" t="s">
        <v>205</v>
      </c>
      <c r="F9" s="4">
        <v>1</v>
      </c>
      <c r="G9" s="4">
        <v>1</v>
      </c>
      <c r="H9" s="4" t="s">
        <v>228</v>
      </c>
      <c r="I9" s="4" t="s">
        <v>211</v>
      </c>
      <c r="J9" s="4" t="s">
        <v>212</v>
      </c>
    </row>
    <row r="10" spans="1:10" x14ac:dyDescent="0.3">
      <c r="A10" s="3" t="s">
        <v>229</v>
      </c>
      <c r="B10" s="3" t="s">
        <v>39</v>
      </c>
      <c r="C10" s="3" t="s">
        <v>48</v>
      </c>
      <c r="D10" s="3" t="s">
        <v>204</v>
      </c>
      <c r="E10" s="3" t="s">
        <v>205</v>
      </c>
      <c r="F10" s="3">
        <v>1</v>
      </c>
      <c r="G10" s="3">
        <v>1</v>
      </c>
      <c r="H10" s="3" t="s">
        <v>230</v>
      </c>
      <c r="I10" s="3" t="s">
        <v>231</v>
      </c>
      <c r="J10" s="3" t="s">
        <v>212</v>
      </c>
    </row>
    <row r="11" spans="1:10" x14ac:dyDescent="0.3">
      <c r="A11" s="4" t="s">
        <v>232</v>
      </c>
      <c r="B11" s="4" t="s">
        <v>45</v>
      </c>
      <c r="C11" s="4" t="s">
        <v>51</v>
      </c>
      <c r="D11" s="4" t="s">
        <v>204</v>
      </c>
      <c r="E11" s="4" t="s">
        <v>205</v>
      </c>
      <c r="F11" s="4">
        <v>1</v>
      </c>
      <c r="G11" s="4">
        <v>1</v>
      </c>
      <c r="H11" s="4" t="s">
        <v>233</v>
      </c>
      <c r="I11" s="4" t="s">
        <v>211</v>
      </c>
      <c r="J11" s="4" t="s">
        <v>212</v>
      </c>
    </row>
    <row r="12" spans="1:10" x14ac:dyDescent="0.3">
      <c r="A12" s="3" t="s">
        <v>234</v>
      </c>
      <c r="B12" s="3" t="s">
        <v>51</v>
      </c>
      <c r="C12" s="3" t="s">
        <v>55</v>
      </c>
      <c r="D12" s="3" t="s">
        <v>204</v>
      </c>
      <c r="E12" s="3" t="s">
        <v>205</v>
      </c>
      <c r="F12" s="3">
        <v>1</v>
      </c>
      <c r="G12" s="3">
        <v>1</v>
      </c>
      <c r="H12" s="3" t="s">
        <v>235</v>
      </c>
      <c r="I12" s="3" t="s">
        <v>231</v>
      </c>
      <c r="J12" s="3" t="s">
        <v>212</v>
      </c>
    </row>
    <row r="13" spans="1:10" x14ac:dyDescent="0.3">
      <c r="A13" s="4" t="s">
        <v>236</v>
      </c>
      <c r="B13" s="4" t="s">
        <v>51</v>
      </c>
      <c r="C13" s="4" t="s">
        <v>58</v>
      </c>
      <c r="D13" s="4" t="s">
        <v>204</v>
      </c>
      <c r="E13" s="4" t="s">
        <v>205</v>
      </c>
      <c r="F13" s="4">
        <v>1</v>
      </c>
      <c r="G13" s="4">
        <v>1</v>
      </c>
      <c r="H13" s="4" t="s">
        <v>237</v>
      </c>
      <c r="I13" s="4" t="s">
        <v>231</v>
      </c>
      <c r="J13" s="4" t="s">
        <v>212</v>
      </c>
    </row>
    <row r="14" spans="1:10" x14ac:dyDescent="0.3">
      <c r="A14" s="3" t="s">
        <v>238</v>
      </c>
      <c r="B14" s="3" t="s">
        <v>51</v>
      </c>
      <c r="C14" s="3" t="s">
        <v>61</v>
      </c>
      <c r="D14" s="3" t="s">
        <v>204</v>
      </c>
      <c r="E14" s="3" t="s">
        <v>205</v>
      </c>
      <c r="F14" s="3">
        <v>1</v>
      </c>
      <c r="G14" s="3">
        <v>1</v>
      </c>
      <c r="H14" s="3" t="s">
        <v>239</v>
      </c>
      <c r="I14" s="3" t="s">
        <v>211</v>
      </c>
      <c r="J14" s="3" t="s">
        <v>212</v>
      </c>
    </row>
    <row r="15" spans="1:10" x14ac:dyDescent="0.3">
      <c r="A15" s="4" t="s">
        <v>240</v>
      </c>
      <c r="B15" s="4" t="s">
        <v>51</v>
      </c>
      <c r="C15" s="4" t="s">
        <v>64</v>
      </c>
      <c r="D15" s="4" t="s">
        <v>204</v>
      </c>
      <c r="E15" s="4" t="s">
        <v>205</v>
      </c>
      <c r="F15" s="4">
        <v>1</v>
      </c>
      <c r="G15" s="4">
        <v>1</v>
      </c>
      <c r="H15" s="4" t="s">
        <v>241</v>
      </c>
      <c r="I15" s="4" t="s">
        <v>207</v>
      </c>
      <c r="J15" s="4" t="s">
        <v>226</v>
      </c>
    </row>
    <row r="16" spans="1:10" x14ac:dyDescent="0.3">
      <c r="A16" s="3" t="s">
        <v>242</v>
      </c>
      <c r="B16" s="3" t="s">
        <v>51</v>
      </c>
      <c r="C16" s="3" t="s">
        <v>67</v>
      </c>
      <c r="D16" s="3" t="s">
        <v>204</v>
      </c>
      <c r="E16" s="3" t="s">
        <v>205</v>
      </c>
      <c r="F16" s="3">
        <v>1</v>
      </c>
      <c r="G16" s="3">
        <v>1</v>
      </c>
      <c r="H16" s="3" t="s">
        <v>243</v>
      </c>
      <c r="I16" s="3" t="s">
        <v>217</v>
      </c>
      <c r="J16" s="3" t="s">
        <v>212</v>
      </c>
    </row>
    <row r="17" spans="1:10" x14ac:dyDescent="0.3">
      <c r="A17" s="4" t="s">
        <v>244</v>
      </c>
      <c r="B17" s="4" t="s">
        <v>51</v>
      </c>
      <c r="C17" s="4" t="s">
        <v>70</v>
      </c>
      <c r="D17" s="4" t="s">
        <v>204</v>
      </c>
      <c r="E17" s="4" t="s">
        <v>205</v>
      </c>
      <c r="F17" s="4">
        <v>1</v>
      </c>
      <c r="G17" s="4">
        <v>1</v>
      </c>
      <c r="H17" s="4" t="s">
        <v>245</v>
      </c>
      <c r="I17" s="4" t="s">
        <v>217</v>
      </c>
      <c r="J17" s="4" t="s">
        <v>212</v>
      </c>
    </row>
    <row r="18" spans="1:10" x14ac:dyDescent="0.3">
      <c r="A18" s="3" t="s">
        <v>246</v>
      </c>
      <c r="B18" s="3" t="s">
        <v>67</v>
      </c>
      <c r="C18" s="3" t="s">
        <v>61</v>
      </c>
      <c r="D18" s="3" t="s">
        <v>219</v>
      </c>
      <c r="E18" s="3" t="s">
        <v>220</v>
      </c>
      <c r="F18" s="3">
        <v>0.8</v>
      </c>
      <c r="G18" s="3">
        <v>1</v>
      </c>
      <c r="H18" s="3" t="s">
        <v>247</v>
      </c>
      <c r="I18" s="3"/>
      <c r="J18" s="3"/>
    </row>
    <row r="19" spans="1:10" x14ac:dyDescent="0.3">
      <c r="A19" s="4" t="s">
        <v>248</v>
      </c>
      <c r="B19" s="4" t="s">
        <v>70</v>
      </c>
      <c r="C19" s="4" t="s">
        <v>61</v>
      </c>
      <c r="D19" s="4" t="s">
        <v>219</v>
      </c>
      <c r="E19" s="4" t="s">
        <v>220</v>
      </c>
      <c r="F19" s="4">
        <v>0.8</v>
      </c>
      <c r="G19" s="4">
        <v>1</v>
      </c>
      <c r="H19" s="4" t="s">
        <v>249</v>
      </c>
      <c r="I19" s="4"/>
      <c r="J19" s="4"/>
    </row>
    <row r="20" spans="1:10" x14ac:dyDescent="0.3">
      <c r="A20" s="3" t="s">
        <v>250</v>
      </c>
      <c r="B20" s="3" t="s">
        <v>61</v>
      </c>
      <c r="C20" s="3" t="s">
        <v>73</v>
      </c>
      <c r="D20" s="3" t="s">
        <v>204</v>
      </c>
      <c r="E20" s="3" t="s">
        <v>205</v>
      </c>
      <c r="F20" s="3">
        <v>1</v>
      </c>
      <c r="G20" s="3">
        <v>1</v>
      </c>
      <c r="H20" s="3" t="s">
        <v>251</v>
      </c>
      <c r="I20" s="3" t="s">
        <v>211</v>
      </c>
      <c r="J20" s="3" t="s">
        <v>212</v>
      </c>
    </row>
    <row r="21" spans="1:10" ht="26.4" x14ac:dyDescent="0.3">
      <c r="A21" s="4" t="s">
        <v>252</v>
      </c>
      <c r="B21" s="4" t="s">
        <v>73</v>
      </c>
      <c r="C21" s="4" t="s">
        <v>76</v>
      </c>
      <c r="D21" s="4" t="s">
        <v>204</v>
      </c>
      <c r="E21" s="4" t="s">
        <v>205</v>
      </c>
      <c r="F21" s="4">
        <v>1</v>
      </c>
      <c r="G21" s="4">
        <v>1</v>
      </c>
      <c r="H21" s="4" t="s">
        <v>253</v>
      </c>
      <c r="I21" s="4" t="s">
        <v>207</v>
      </c>
      <c r="J21" s="4" t="s">
        <v>254</v>
      </c>
    </row>
    <row r="22" spans="1:10" x14ac:dyDescent="0.3">
      <c r="A22" s="3" t="s">
        <v>255</v>
      </c>
      <c r="B22" s="3" t="s">
        <v>73</v>
      </c>
      <c r="C22" s="3" t="s">
        <v>79</v>
      </c>
      <c r="D22" s="3" t="s">
        <v>204</v>
      </c>
      <c r="E22" s="3" t="s">
        <v>205</v>
      </c>
      <c r="F22" s="3">
        <v>1</v>
      </c>
      <c r="G22" s="3">
        <v>1</v>
      </c>
      <c r="H22" s="3" t="s">
        <v>256</v>
      </c>
      <c r="I22" s="3" t="s">
        <v>211</v>
      </c>
      <c r="J22" s="3" t="s">
        <v>212</v>
      </c>
    </row>
    <row r="23" spans="1:10" x14ac:dyDescent="0.3">
      <c r="A23" s="4" t="s">
        <v>257</v>
      </c>
      <c r="B23" s="4" t="s">
        <v>73</v>
      </c>
      <c r="C23" s="4" t="s">
        <v>82</v>
      </c>
      <c r="D23" s="4" t="s">
        <v>204</v>
      </c>
      <c r="E23" s="4" t="s">
        <v>205</v>
      </c>
      <c r="F23" s="4">
        <v>1</v>
      </c>
      <c r="G23" s="4">
        <v>1</v>
      </c>
      <c r="H23" s="4" t="s">
        <v>258</v>
      </c>
      <c r="I23" s="4" t="s">
        <v>231</v>
      </c>
      <c r="J23" s="4" t="s">
        <v>212</v>
      </c>
    </row>
    <row r="24" spans="1:10" x14ac:dyDescent="0.3">
      <c r="A24" s="3" t="s">
        <v>259</v>
      </c>
      <c r="B24" s="3" t="s">
        <v>79</v>
      </c>
      <c r="C24" s="3" t="s">
        <v>85</v>
      </c>
      <c r="D24" s="3" t="s">
        <v>204</v>
      </c>
      <c r="E24" s="3" t="s">
        <v>205</v>
      </c>
      <c r="F24" s="3">
        <v>1</v>
      </c>
      <c r="G24" s="3">
        <v>1</v>
      </c>
      <c r="H24" s="3" t="s">
        <v>260</v>
      </c>
      <c r="I24" s="3" t="s">
        <v>211</v>
      </c>
      <c r="J24" s="3" t="s">
        <v>212</v>
      </c>
    </row>
    <row r="25" spans="1:10" ht="26.4" x14ac:dyDescent="0.3">
      <c r="A25" s="4" t="s">
        <v>261</v>
      </c>
      <c r="B25" s="4" t="s">
        <v>85</v>
      </c>
      <c r="C25" s="4" t="s">
        <v>89</v>
      </c>
      <c r="D25" s="4" t="s">
        <v>204</v>
      </c>
      <c r="E25" s="4" t="s">
        <v>205</v>
      </c>
      <c r="F25" s="4">
        <v>1</v>
      </c>
      <c r="G25" s="4">
        <v>1</v>
      </c>
      <c r="H25" s="4" t="s">
        <v>262</v>
      </c>
      <c r="I25" s="4" t="s">
        <v>263</v>
      </c>
      <c r="J25" s="4" t="s">
        <v>263</v>
      </c>
    </row>
    <row r="26" spans="1:10" x14ac:dyDescent="0.3">
      <c r="A26" s="3" t="s">
        <v>264</v>
      </c>
      <c r="B26" s="3" t="s">
        <v>85</v>
      </c>
      <c r="C26" s="3" t="s">
        <v>92</v>
      </c>
      <c r="D26" s="3" t="s">
        <v>204</v>
      </c>
      <c r="E26" s="3" t="s">
        <v>205</v>
      </c>
      <c r="F26" s="3">
        <v>1</v>
      </c>
      <c r="G26" s="3">
        <v>1</v>
      </c>
      <c r="H26" s="3" t="s">
        <v>265</v>
      </c>
      <c r="I26" s="3" t="s">
        <v>207</v>
      </c>
      <c r="J26" s="3" t="s">
        <v>266</v>
      </c>
    </row>
    <row r="27" spans="1:10" x14ac:dyDescent="0.3">
      <c r="A27" s="4" t="s">
        <v>267</v>
      </c>
      <c r="B27" s="4" t="s">
        <v>85</v>
      </c>
      <c r="C27" s="4" t="s">
        <v>95</v>
      </c>
      <c r="D27" s="4" t="s">
        <v>204</v>
      </c>
      <c r="E27" s="4" t="s">
        <v>205</v>
      </c>
      <c r="F27" s="4">
        <v>1</v>
      </c>
      <c r="G27" s="4">
        <v>1</v>
      </c>
      <c r="H27" s="4" t="s">
        <v>268</v>
      </c>
      <c r="I27" s="4" t="s">
        <v>211</v>
      </c>
      <c r="J27" s="4" t="s">
        <v>212</v>
      </c>
    </row>
    <row r="28" spans="1:10" x14ac:dyDescent="0.3">
      <c r="A28" s="3" t="s">
        <v>269</v>
      </c>
      <c r="B28" s="3" t="s">
        <v>85</v>
      </c>
      <c r="C28" s="3" t="s">
        <v>98</v>
      </c>
      <c r="D28" s="3" t="s">
        <v>204</v>
      </c>
      <c r="E28" s="3" t="s">
        <v>205</v>
      </c>
      <c r="F28" s="3">
        <v>1</v>
      </c>
      <c r="G28" s="3">
        <v>1</v>
      </c>
      <c r="H28" s="3" t="s">
        <v>270</v>
      </c>
      <c r="I28" s="3" t="s">
        <v>231</v>
      </c>
      <c r="J28" s="3" t="s">
        <v>212</v>
      </c>
    </row>
    <row r="29" spans="1:10" x14ac:dyDescent="0.3">
      <c r="A29" s="4" t="s">
        <v>271</v>
      </c>
      <c r="B29" s="4" t="s">
        <v>85</v>
      </c>
      <c r="C29" s="4" t="s">
        <v>101</v>
      </c>
      <c r="D29" s="4" t="s">
        <v>204</v>
      </c>
      <c r="E29" s="4" t="s">
        <v>205</v>
      </c>
      <c r="F29" s="4">
        <v>1</v>
      </c>
      <c r="G29" s="4">
        <v>1</v>
      </c>
      <c r="H29" s="4" t="s">
        <v>272</v>
      </c>
      <c r="I29" s="4" t="s">
        <v>217</v>
      </c>
      <c r="J29" s="4" t="s">
        <v>212</v>
      </c>
    </row>
    <row r="30" spans="1:10" x14ac:dyDescent="0.3">
      <c r="A30" s="3" t="s">
        <v>273</v>
      </c>
      <c r="B30" s="3" t="s">
        <v>101</v>
      </c>
      <c r="C30" s="3" t="s">
        <v>89</v>
      </c>
      <c r="D30" s="3" t="s">
        <v>219</v>
      </c>
      <c r="E30" s="3" t="s">
        <v>220</v>
      </c>
      <c r="F30" s="3">
        <v>0.9</v>
      </c>
      <c r="G30" s="3">
        <v>1</v>
      </c>
      <c r="H30" s="3" t="s">
        <v>274</v>
      </c>
      <c r="I30" s="3"/>
      <c r="J30" s="3"/>
    </row>
    <row r="31" spans="1:10" x14ac:dyDescent="0.3">
      <c r="A31" s="4" t="s">
        <v>275</v>
      </c>
      <c r="B31" s="4" t="s">
        <v>95</v>
      </c>
      <c r="C31" s="4" t="s">
        <v>104</v>
      </c>
      <c r="D31" s="4" t="s">
        <v>204</v>
      </c>
      <c r="E31" s="4" t="s">
        <v>205</v>
      </c>
      <c r="F31" s="4">
        <v>1</v>
      </c>
      <c r="G31" s="4">
        <v>1</v>
      </c>
      <c r="H31" s="4" t="s">
        <v>276</v>
      </c>
      <c r="I31" s="4" t="s">
        <v>211</v>
      </c>
      <c r="J31" s="4" t="s">
        <v>212</v>
      </c>
    </row>
    <row r="32" spans="1:10" x14ac:dyDescent="0.3">
      <c r="A32" s="3" t="s">
        <v>277</v>
      </c>
      <c r="B32" s="3" t="s">
        <v>104</v>
      </c>
      <c r="C32" s="3" t="s">
        <v>108</v>
      </c>
      <c r="D32" s="3" t="s">
        <v>204</v>
      </c>
      <c r="E32" s="3" t="s">
        <v>205</v>
      </c>
      <c r="F32" s="3">
        <v>1</v>
      </c>
      <c r="G32" s="3">
        <v>1</v>
      </c>
      <c r="H32" s="3" t="s">
        <v>278</v>
      </c>
      <c r="I32" s="3" t="s">
        <v>211</v>
      </c>
      <c r="J32" s="3" t="s">
        <v>212</v>
      </c>
    </row>
    <row r="33" spans="1:10" x14ac:dyDescent="0.3">
      <c r="A33" s="4" t="s">
        <v>279</v>
      </c>
      <c r="B33" s="4" t="s">
        <v>108</v>
      </c>
      <c r="C33" s="4" t="s">
        <v>111</v>
      </c>
      <c r="D33" s="4" t="s">
        <v>204</v>
      </c>
      <c r="E33" s="4" t="s">
        <v>205</v>
      </c>
      <c r="F33" s="4">
        <v>1</v>
      </c>
      <c r="G33" s="4">
        <v>1</v>
      </c>
      <c r="H33" s="4" t="s">
        <v>280</v>
      </c>
      <c r="I33" s="4" t="s">
        <v>231</v>
      </c>
      <c r="J33" s="4" t="s">
        <v>212</v>
      </c>
    </row>
    <row r="34" spans="1:10" x14ac:dyDescent="0.3">
      <c r="A34" s="3" t="s">
        <v>281</v>
      </c>
      <c r="B34" s="3" t="s">
        <v>108</v>
      </c>
      <c r="C34" s="3" t="s">
        <v>114</v>
      </c>
      <c r="D34" s="3" t="s">
        <v>204</v>
      </c>
      <c r="E34" s="3" t="s">
        <v>205</v>
      </c>
      <c r="F34" s="3">
        <v>1</v>
      </c>
      <c r="G34" s="3">
        <v>1</v>
      </c>
      <c r="H34" s="3" t="s">
        <v>282</v>
      </c>
      <c r="I34" s="3" t="s">
        <v>211</v>
      </c>
      <c r="J34" s="3" t="s">
        <v>212</v>
      </c>
    </row>
    <row r="35" spans="1:10" x14ac:dyDescent="0.3">
      <c r="A35" s="4" t="s">
        <v>283</v>
      </c>
      <c r="B35" s="4" t="s">
        <v>108</v>
      </c>
      <c r="C35" s="4" t="s">
        <v>117</v>
      </c>
      <c r="D35" s="4" t="s">
        <v>204</v>
      </c>
      <c r="E35" s="4" t="s">
        <v>205</v>
      </c>
      <c r="F35" s="4">
        <v>1</v>
      </c>
      <c r="G35" s="4">
        <v>1</v>
      </c>
      <c r="H35" s="4" t="s">
        <v>284</v>
      </c>
      <c r="I35" s="4" t="s">
        <v>231</v>
      </c>
      <c r="J35" s="4" t="s">
        <v>212</v>
      </c>
    </row>
    <row r="36" spans="1:10" ht="26.4" x14ac:dyDescent="0.3">
      <c r="A36" s="3" t="s">
        <v>285</v>
      </c>
      <c r="B36" s="3" t="s">
        <v>108</v>
      </c>
      <c r="C36" s="3" t="s">
        <v>120</v>
      </c>
      <c r="D36" s="3" t="s">
        <v>204</v>
      </c>
      <c r="E36" s="3" t="s">
        <v>205</v>
      </c>
      <c r="F36" s="3">
        <v>1</v>
      </c>
      <c r="G36" s="3">
        <v>1</v>
      </c>
      <c r="H36" s="3" t="s">
        <v>286</v>
      </c>
      <c r="I36" s="3" t="s">
        <v>207</v>
      </c>
      <c r="J36" s="3" t="s">
        <v>254</v>
      </c>
    </row>
    <row r="37" spans="1:10" x14ac:dyDescent="0.3">
      <c r="A37" s="4" t="s">
        <v>287</v>
      </c>
      <c r="B37" s="4" t="s">
        <v>114</v>
      </c>
      <c r="C37" s="4" t="s">
        <v>123</v>
      </c>
      <c r="D37" s="4" t="s">
        <v>204</v>
      </c>
      <c r="E37" s="4" t="s">
        <v>205</v>
      </c>
      <c r="F37" s="4">
        <v>1</v>
      </c>
      <c r="G37" s="4">
        <v>1</v>
      </c>
      <c r="H37" s="4" t="s">
        <v>288</v>
      </c>
      <c r="I37" s="4" t="s">
        <v>211</v>
      </c>
      <c r="J37" s="4" t="s">
        <v>212</v>
      </c>
    </row>
    <row r="38" spans="1:10" x14ac:dyDescent="0.3">
      <c r="A38" s="3" t="s">
        <v>289</v>
      </c>
      <c r="B38" s="3" t="s">
        <v>123</v>
      </c>
      <c r="C38" s="3" t="s">
        <v>126</v>
      </c>
      <c r="D38" s="3" t="s">
        <v>204</v>
      </c>
      <c r="E38" s="3" t="s">
        <v>205</v>
      </c>
      <c r="F38" s="3">
        <v>1</v>
      </c>
      <c r="G38" s="3">
        <v>1</v>
      </c>
      <c r="H38" s="3" t="s">
        <v>290</v>
      </c>
      <c r="I38" s="3" t="s">
        <v>207</v>
      </c>
      <c r="J38" s="3" t="s">
        <v>266</v>
      </c>
    </row>
    <row r="39" spans="1:10" x14ac:dyDescent="0.3">
      <c r="A39" s="4" t="s">
        <v>291</v>
      </c>
      <c r="B39" s="4" t="s">
        <v>123</v>
      </c>
      <c r="C39" s="4" t="s">
        <v>129</v>
      </c>
      <c r="D39" s="4" t="s">
        <v>204</v>
      </c>
      <c r="E39" s="4" t="s">
        <v>205</v>
      </c>
      <c r="F39" s="4">
        <v>1</v>
      </c>
      <c r="G39" s="4">
        <v>1</v>
      </c>
      <c r="H39" s="4" t="s">
        <v>292</v>
      </c>
      <c r="I39" s="4" t="s">
        <v>211</v>
      </c>
      <c r="J39" s="4" t="s">
        <v>212</v>
      </c>
    </row>
    <row r="40" spans="1:10" x14ac:dyDescent="0.3">
      <c r="A40" s="3" t="s">
        <v>293</v>
      </c>
      <c r="B40" s="3" t="s">
        <v>123</v>
      </c>
      <c r="C40" s="3" t="s">
        <v>132</v>
      </c>
      <c r="D40" s="3" t="s">
        <v>204</v>
      </c>
      <c r="E40" s="3" t="s">
        <v>205</v>
      </c>
      <c r="F40" s="3">
        <v>1</v>
      </c>
      <c r="G40" s="3">
        <v>1</v>
      </c>
      <c r="H40" s="3" t="s">
        <v>294</v>
      </c>
      <c r="I40" s="3" t="s">
        <v>217</v>
      </c>
      <c r="J40" s="3" t="s">
        <v>212</v>
      </c>
    </row>
    <row r="41" spans="1:10" x14ac:dyDescent="0.3">
      <c r="A41" s="4" t="s">
        <v>295</v>
      </c>
      <c r="B41" s="4" t="s">
        <v>123</v>
      </c>
      <c r="C41" s="4" t="s">
        <v>135</v>
      </c>
      <c r="D41" s="4" t="s">
        <v>204</v>
      </c>
      <c r="E41" s="4" t="s">
        <v>205</v>
      </c>
      <c r="F41" s="4">
        <v>1</v>
      </c>
      <c r="G41" s="4">
        <v>1</v>
      </c>
      <c r="H41" s="4" t="s">
        <v>296</v>
      </c>
      <c r="I41" s="4" t="s">
        <v>231</v>
      </c>
      <c r="J41" s="4" t="s">
        <v>212</v>
      </c>
    </row>
    <row r="42" spans="1:10" x14ac:dyDescent="0.3">
      <c r="A42" s="3" t="s">
        <v>297</v>
      </c>
      <c r="B42" s="3" t="s">
        <v>132</v>
      </c>
      <c r="C42" s="3" t="s">
        <v>129</v>
      </c>
      <c r="D42" s="3" t="s">
        <v>219</v>
      </c>
      <c r="E42" s="3" t="s">
        <v>220</v>
      </c>
      <c r="F42" s="3">
        <v>0.7</v>
      </c>
      <c r="G42" s="3">
        <v>1</v>
      </c>
      <c r="H42" s="3" t="s">
        <v>298</v>
      </c>
      <c r="I42" s="3"/>
      <c r="J42" s="3"/>
    </row>
    <row r="43" spans="1:10" x14ac:dyDescent="0.3">
      <c r="A43" s="4" t="s">
        <v>299</v>
      </c>
      <c r="B43" s="4" t="s">
        <v>129</v>
      </c>
      <c r="C43" s="4" t="s">
        <v>138</v>
      </c>
      <c r="D43" s="4" t="s">
        <v>204</v>
      </c>
      <c r="E43" s="4" t="s">
        <v>205</v>
      </c>
      <c r="F43" s="4">
        <v>1</v>
      </c>
      <c r="G43" s="4">
        <v>1</v>
      </c>
      <c r="H43" s="4" t="s">
        <v>300</v>
      </c>
      <c r="I43" s="4" t="s">
        <v>211</v>
      </c>
      <c r="J43" s="4" t="s">
        <v>212</v>
      </c>
    </row>
    <row r="44" spans="1:10" x14ac:dyDescent="0.3">
      <c r="A44" s="3" t="s">
        <v>301</v>
      </c>
      <c r="B44" s="3" t="s">
        <v>138</v>
      </c>
      <c r="C44" s="3" t="s">
        <v>141</v>
      </c>
      <c r="D44" s="3" t="s">
        <v>204</v>
      </c>
      <c r="E44" s="3" t="s">
        <v>205</v>
      </c>
      <c r="F44" s="3">
        <v>1</v>
      </c>
      <c r="G44" s="3">
        <v>1</v>
      </c>
      <c r="H44" s="3" t="s">
        <v>302</v>
      </c>
      <c r="I44" s="3" t="s">
        <v>211</v>
      </c>
      <c r="J44" s="3" t="s">
        <v>212</v>
      </c>
    </row>
    <row r="45" spans="1:10" x14ac:dyDescent="0.3">
      <c r="A45" s="4" t="s">
        <v>303</v>
      </c>
      <c r="B45" s="4" t="s">
        <v>141</v>
      </c>
      <c r="C45" s="4" t="s">
        <v>144</v>
      </c>
      <c r="D45" s="4" t="s">
        <v>204</v>
      </c>
      <c r="E45" s="4" t="s">
        <v>205</v>
      </c>
      <c r="F45" s="4">
        <v>1</v>
      </c>
      <c r="G45" s="4">
        <v>1</v>
      </c>
      <c r="H45" s="4" t="s">
        <v>304</v>
      </c>
      <c r="I45" s="4" t="s">
        <v>211</v>
      </c>
      <c r="J45" s="4" t="s">
        <v>212</v>
      </c>
    </row>
    <row r="46" spans="1:10" x14ac:dyDescent="0.3">
      <c r="A46" s="3" t="s">
        <v>305</v>
      </c>
      <c r="B46" s="3" t="s">
        <v>144</v>
      </c>
      <c r="C46" s="3" t="s">
        <v>147</v>
      </c>
      <c r="D46" s="3" t="s">
        <v>204</v>
      </c>
      <c r="E46" s="3" t="s">
        <v>205</v>
      </c>
      <c r="F46" s="3">
        <v>1</v>
      </c>
      <c r="G46" s="3">
        <v>1</v>
      </c>
      <c r="H46" s="3" t="s">
        <v>306</v>
      </c>
      <c r="I46" s="3" t="s">
        <v>207</v>
      </c>
      <c r="J46" s="3" t="s">
        <v>226</v>
      </c>
    </row>
    <row r="47" spans="1:10" x14ac:dyDescent="0.3">
      <c r="A47" s="4" t="s">
        <v>307</v>
      </c>
      <c r="B47" s="4" t="s">
        <v>144</v>
      </c>
      <c r="C47" s="4" t="s">
        <v>150</v>
      </c>
      <c r="D47" s="4" t="s">
        <v>204</v>
      </c>
      <c r="E47" s="4" t="s">
        <v>205</v>
      </c>
      <c r="F47" s="4">
        <v>1</v>
      </c>
      <c r="G47" s="4">
        <v>1</v>
      </c>
      <c r="H47" s="4" t="s">
        <v>308</v>
      </c>
      <c r="I47" s="4" t="s">
        <v>211</v>
      </c>
      <c r="J47" s="4" t="s">
        <v>212</v>
      </c>
    </row>
    <row r="48" spans="1:10" x14ac:dyDescent="0.3">
      <c r="A48" s="3" t="s">
        <v>309</v>
      </c>
      <c r="B48" s="3" t="s">
        <v>144</v>
      </c>
      <c r="C48" s="3" t="s">
        <v>153</v>
      </c>
      <c r="D48" s="3" t="s">
        <v>204</v>
      </c>
      <c r="E48" s="3" t="s">
        <v>205</v>
      </c>
      <c r="F48" s="3">
        <v>1</v>
      </c>
      <c r="G48" s="3">
        <v>1</v>
      </c>
      <c r="H48" s="3" t="s">
        <v>310</v>
      </c>
      <c r="I48" s="3" t="s">
        <v>207</v>
      </c>
      <c r="J48" s="3" t="s">
        <v>226</v>
      </c>
    </row>
    <row r="49" spans="1:10" x14ac:dyDescent="0.3">
      <c r="A49" s="4" t="s">
        <v>311</v>
      </c>
      <c r="B49" s="4" t="s">
        <v>150</v>
      </c>
      <c r="C49" s="4" t="s">
        <v>156</v>
      </c>
      <c r="D49" s="4" t="s">
        <v>204</v>
      </c>
      <c r="E49" s="4" t="s">
        <v>205</v>
      </c>
      <c r="F49" s="4">
        <v>1</v>
      </c>
      <c r="G49" s="4">
        <v>1</v>
      </c>
      <c r="H49" s="4" t="s">
        <v>312</v>
      </c>
      <c r="I49" s="4" t="s">
        <v>211</v>
      </c>
      <c r="J49" s="4" t="s">
        <v>212</v>
      </c>
    </row>
    <row r="50" spans="1:10" x14ac:dyDescent="0.3">
      <c r="A50" s="3" t="s">
        <v>313</v>
      </c>
      <c r="B50" s="3" t="s">
        <v>156</v>
      </c>
      <c r="C50" s="3" t="s">
        <v>159</v>
      </c>
      <c r="D50" s="3" t="s">
        <v>204</v>
      </c>
      <c r="E50" s="3" t="s">
        <v>205</v>
      </c>
      <c r="F50" s="3">
        <v>1</v>
      </c>
      <c r="G50" s="3">
        <v>1</v>
      </c>
      <c r="H50" s="3" t="s">
        <v>314</v>
      </c>
      <c r="I50" s="3" t="s">
        <v>207</v>
      </c>
      <c r="J50" s="3" t="s">
        <v>226</v>
      </c>
    </row>
    <row r="51" spans="1:10" x14ac:dyDescent="0.3">
      <c r="A51" s="4" t="s">
        <v>315</v>
      </c>
      <c r="B51" s="4" t="s">
        <v>156</v>
      </c>
      <c r="C51" s="4" t="s">
        <v>162</v>
      </c>
      <c r="D51" s="4" t="s">
        <v>204</v>
      </c>
      <c r="E51" s="4" t="s">
        <v>205</v>
      </c>
      <c r="F51" s="4">
        <v>1</v>
      </c>
      <c r="G51" s="4">
        <v>1</v>
      </c>
      <c r="H51" s="4" t="s">
        <v>316</v>
      </c>
      <c r="I51" s="4" t="s">
        <v>211</v>
      </c>
      <c r="J51" s="4" t="s">
        <v>212</v>
      </c>
    </row>
    <row r="52" spans="1:10" x14ac:dyDescent="0.3">
      <c r="A52" s="3" t="s">
        <v>317</v>
      </c>
      <c r="B52" s="3" t="s">
        <v>156</v>
      </c>
      <c r="C52" s="3" t="s">
        <v>165</v>
      </c>
      <c r="D52" s="3" t="s">
        <v>204</v>
      </c>
      <c r="E52" s="3" t="s">
        <v>205</v>
      </c>
      <c r="F52" s="3">
        <v>1</v>
      </c>
      <c r="G52" s="3">
        <v>1</v>
      </c>
      <c r="H52" s="3" t="s">
        <v>318</v>
      </c>
      <c r="I52" s="3" t="s">
        <v>231</v>
      </c>
      <c r="J52" s="3" t="s">
        <v>212</v>
      </c>
    </row>
    <row r="53" spans="1:10" x14ac:dyDescent="0.3">
      <c r="A53" s="4" t="s">
        <v>319</v>
      </c>
      <c r="B53" s="4" t="s">
        <v>156</v>
      </c>
      <c r="C53" s="4" t="s">
        <v>168</v>
      </c>
      <c r="D53" s="4" t="s">
        <v>204</v>
      </c>
      <c r="E53" s="4" t="s">
        <v>205</v>
      </c>
      <c r="F53" s="4">
        <v>1</v>
      </c>
      <c r="G53" s="4">
        <v>1</v>
      </c>
      <c r="H53" s="4" t="s">
        <v>320</v>
      </c>
      <c r="I53" s="4" t="s">
        <v>207</v>
      </c>
      <c r="J53" s="4" t="s">
        <v>226</v>
      </c>
    </row>
    <row r="54" spans="1:10" x14ac:dyDescent="0.3">
      <c r="A54" s="3" t="s">
        <v>321</v>
      </c>
      <c r="B54" s="3" t="s">
        <v>162</v>
      </c>
      <c r="C54" s="3" t="s">
        <v>171</v>
      </c>
      <c r="D54" s="3" t="s">
        <v>204</v>
      </c>
      <c r="E54" s="3" t="s">
        <v>205</v>
      </c>
      <c r="F54" s="3">
        <v>1</v>
      </c>
      <c r="G54" s="3">
        <v>1</v>
      </c>
      <c r="H54" s="3" t="s">
        <v>322</v>
      </c>
      <c r="I54" s="3" t="s">
        <v>211</v>
      </c>
      <c r="J54" s="3" t="s">
        <v>212</v>
      </c>
    </row>
    <row r="55" spans="1:10" x14ac:dyDescent="0.3">
      <c r="A55" s="4" t="s">
        <v>323</v>
      </c>
      <c r="B55" s="4" t="s">
        <v>174</v>
      </c>
      <c r="C55" s="4" t="s">
        <v>30</v>
      </c>
      <c r="D55" s="4" t="s">
        <v>324</v>
      </c>
      <c r="E55" s="4" t="s">
        <v>325</v>
      </c>
      <c r="F55" s="4">
        <v>1</v>
      </c>
      <c r="G55" s="4">
        <v>1</v>
      </c>
      <c r="H55" s="4" t="s">
        <v>326</v>
      </c>
      <c r="I55" s="4"/>
      <c r="J55" s="4"/>
    </row>
    <row r="56" spans="1:10" x14ac:dyDescent="0.3">
      <c r="A56" s="3" t="s">
        <v>327</v>
      </c>
      <c r="B56" s="3" t="s">
        <v>179</v>
      </c>
      <c r="C56" s="3" t="s">
        <v>45</v>
      </c>
      <c r="D56" s="3" t="s">
        <v>324</v>
      </c>
      <c r="E56" s="3" t="s">
        <v>325</v>
      </c>
      <c r="F56" s="3">
        <v>1</v>
      </c>
      <c r="G56" s="3">
        <v>1</v>
      </c>
      <c r="H56" s="3" t="s">
        <v>328</v>
      </c>
      <c r="I56" s="3"/>
      <c r="J56" s="3"/>
    </row>
    <row r="57" spans="1:10" x14ac:dyDescent="0.3">
      <c r="A57" s="4" t="s">
        <v>329</v>
      </c>
      <c r="B57" s="4" t="s">
        <v>181</v>
      </c>
      <c r="C57" s="4" t="s">
        <v>61</v>
      </c>
      <c r="D57" s="4" t="s">
        <v>324</v>
      </c>
      <c r="E57" s="4" t="s">
        <v>325</v>
      </c>
      <c r="F57" s="4">
        <v>1</v>
      </c>
      <c r="G57" s="4">
        <v>1</v>
      </c>
      <c r="H57" s="4" t="s">
        <v>330</v>
      </c>
      <c r="I57" s="4"/>
      <c r="J57" s="4"/>
    </row>
    <row r="58" spans="1:10" x14ac:dyDescent="0.3">
      <c r="A58" s="3" t="s">
        <v>331</v>
      </c>
      <c r="B58" s="3" t="s">
        <v>187</v>
      </c>
      <c r="C58" s="3" t="s">
        <v>79</v>
      </c>
      <c r="D58" s="3" t="s">
        <v>324</v>
      </c>
      <c r="E58" s="3" t="s">
        <v>325</v>
      </c>
      <c r="F58" s="3">
        <v>1</v>
      </c>
      <c r="G58" s="3">
        <v>1</v>
      </c>
      <c r="H58" s="3" t="s">
        <v>332</v>
      </c>
      <c r="I58" s="3"/>
      <c r="J58" s="3"/>
    </row>
    <row r="59" spans="1:10" x14ac:dyDescent="0.3">
      <c r="A59" s="4" t="s">
        <v>333</v>
      </c>
      <c r="B59" s="4" t="s">
        <v>184</v>
      </c>
      <c r="C59" s="4" t="s">
        <v>95</v>
      </c>
      <c r="D59" s="4" t="s">
        <v>324</v>
      </c>
      <c r="E59" s="4" t="s">
        <v>325</v>
      </c>
      <c r="F59" s="4">
        <v>1</v>
      </c>
      <c r="G59" s="4">
        <v>1</v>
      </c>
      <c r="H59" s="4" t="s">
        <v>334</v>
      </c>
      <c r="I59" s="4"/>
      <c r="J59" s="4"/>
    </row>
    <row r="60" spans="1:10" x14ac:dyDescent="0.3">
      <c r="A60" s="3" t="s">
        <v>335</v>
      </c>
      <c r="B60" s="3" t="s">
        <v>190</v>
      </c>
      <c r="C60" s="3" t="s">
        <v>114</v>
      </c>
      <c r="D60" s="3" t="s">
        <v>324</v>
      </c>
      <c r="E60" s="3" t="s">
        <v>325</v>
      </c>
      <c r="F60" s="3">
        <v>1</v>
      </c>
      <c r="G60" s="3">
        <v>1</v>
      </c>
      <c r="H60" s="3" t="s">
        <v>336</v>
      </c>
      <c r="I60" s="3"/>
      <c r="J60" s="3"/>
    </row>
    <row r="61" spans="1:10" x14ac:dyDescent="0.3">
      <c r="A61" s="4" t="s">
        <v>337</v>
      </c>
      <c r="B61" s="4" t="s">
        <v>174</v>
      </c>
      <c r="C61" s="4" t="s">
        <v>179</v>
      </c>
      <c r="D61" s="4" t="s">
        <v>204</v>
      </c>
      <c r="E61" s="4" t="s">
        <v>338</v>
      </c>
      <c r="F61" s="4">
        <v>1</v>
      </c>
      <c r="G61" s="4">
        <v>1</v>
      </c>
      <c r="H61" s="4" t="s">
        <v>339</v>
      </c>
      <c r="I61" s="4"/>
      <c r="J61" s="4"/>
    </row>
    <row r="62" spans="1:10" x14ac:dyDescent="0.3">
      <c r="A62" s="3" t="s">
        <v>340</v>
      </c>
      <c r="B62" s="3" t="s">
        <v>179</v>
      </c>
      <c r="C62" s="3" t="s">
        <v>181</v>
      </c>
      <c r="D62" s="3" t="s">
        <v>204</v>
      </c>
      <c r="E62" s="3" t="s">
        <v>338</v>
      </c>
      <c r="F62" s="3">
        <v>1</v>
      </c>
      <c r="G62" s="3">
        <v>1</v>
      </c>
      <c r="H62" s="3" t="s">
        <v>341</v>
      </c>
      <c r="I62" s="3"/>
      <c r="J62" s="3"/>
    </row>
    <row r="63" spans="1:10" x14ac:dyDescent="0.3">
      <c r="A63" s="4" t="s">
        <v>342</v>
      </c>
      <c r="B63" s="4" t="s">
        <v>181</v>
      </c>
      <c r="C63" s="4" t="s">
        <v>187</v>
      </c>
      <c r="D63" s="4" t="s">
        <v>204</v>
      </c>
      <c r="E63" s="4" t="s">
        <v>338</v>
      </c>
      <c r="F63" s="4">
        <v>1</v>
      </c>
      <c r="G63" s="4">
        <v>1</v>
      </c>
      <c r="H63" s="4" t="s">
        <v>343</v>
      </c>
      <c r="I63" s="4"/>
      <c r="J63" s="4"/>
    </row>
    <row r="64" spans="1:10" x14ac:dyDescent="0.3">
      <c r="A64" s="3" t="s">
        <v>344</v>
      </c>
      <c r="B64" s="3" t="s">
        <v>187</v>
      </c>
      <c r="C64" s="3" t="s">
        <v>184</v>
      </c>
      <c r="D64" s="3" t="s">
        <v>204</v>
      </c>
      <c r="E64" s="3" t="s">
        <v>338</v>
      </c>
      <c r="F64" s="3">
        <v>1</v>
      </c>
      <c r="G64" s="3">
        <v>1</v>
      </c>
      <c r="H64" s="3" t="s">
        <v>345</v>
      </c>
      <c r="I64" s="3"/>
      <c r="J64" s="3"/>
    </row>
    <row r="65" spans="1:10" x14ac:dyDescent="0.3">
      <c r="A65" s="4" t="s">
        <v>346</v>
      </c>
      <c r="B65" s="4" t="s">
        <v>184</v>
      </c>
      <c r="C65" s="4" t="s">
        <v>190</v>
      </c>
      <c r="D65" s="4" t="s">
        <v>204</v>
      </c>
      <c r="E65" s="4" t="s">
        <v>338</v>
      </c>
      <c r="F65" s="4">
        <v>1</v>
      </c>
      <c r="G65" s="4">
        <v>1</v>
      </c>
      <c r="H65" s="4" t="s">
        <v>347</v>
      </c>
      <c r="I65" s="4"/>
      <c r="J65" s="4"/>
    </row>
    <row r="66" spans="1:10" x14ac:dyDescent="0.3">
      <c r="A66" t="s">
        <v>1152</v>
      </c>
      <c r="B66" t="s">
        <v>174</v>
      </c>
      <c r="C66" t="s">
        <v>179</v>
      </c>
      <c r="D66" t="s">
        <v>1153</v>
      </c>
      <c r="E66" t="s">
        <v>338</v>
      </c>
      <c r="F66">
        <v>1</v>
      </c>
      <c r="G66">
        <v>1</v>
      </c>
      <c r="H66" t="s">
        <v>1154</v>
      </c>
      <c r="I66" t="s">
        <v>211</v>
      </c>
      <c r="J66" t="s">
        <v>212</v>
      </c>
    </row>
    <row r="67" spans="1:10" x14ac:dyDescent="0.3">
      <c r="A67" t="s">
        <v>1155</v>
      </c>
      <c r="B67" t="s">
        <v>179</v>
      </c>
      <c r="C67" t="s">
        <v>181</v>
      </c>
      <c r="D67" t="s">
        <v>1153</v>
      </c>
      <c r="E67" t="s">
        <v>338</v>
      </c>
      <c r="F67">
        <v>1</v>
      </c>
      <c r="G67">
        <v>1</v>
      </c>
      <c r="H67" t="s">
        <v>1156</v>
      </c>
      <c r="I67" t="s">
        <v>211</v>
      </c>
      <c r="J67" t="s">
        <v>212</v>
      </c>
    </row>
    <row r="68" spans="1:10" x14ac:dyDescent="0.3">
      <c r="A68" t="s">
        <v>1157</v>
      </c>
      <c r="B68" t="s">
        <v>174</v>
      </c>
      <c r="C68" t="s">
        <v>516</v>
      </c>
      <c r="D68" t="s">
        <v>1153</v>
      </c>
      <c r="E68" t="s">
        <v>338</v>
      </c>
      <c r="F68">
        <v>1</v>
      </c>
      <c r="G68">
        <v>1</v>
      </c>
      <c r="H68" t="s">
        <v>1158</v>
      </c>
      <c r="I68" t="s">
        <v>211</v>
      </c>
      <c r="J68" t="s">
        <v>212</v>
      </c>
    </row>
    <row r="69" spans="1:10" x14ac:dyDescent="0.3">
      <c r="A69" t="s">
        <v>1159</v>
      </c>
      <c r="B69" t="s">
        <v>179</v>
      </c>
      <c r="C69" t="s">
        <v>516</v>
      </c>
      <c r="D69" t="s">
        <v>1153</v>
      </c>
      <c r="E69" t="s">
        <v>338</v>
      </c>
      <c r="F69">
        <v>1</v>
      </c>
      <c r="G69">
        <v>1</v>
      </c>
      <c r="H69" t="s">
        <v>1160</v>
      </c>
      <c r="I69" t="s">
        <v>211</v>
      </c>
      <c r="J69" t="s">
        <v>212</v>
      </c>
    </row>
    <row r="70" spans="1:10" x14ac:dyDescent="0.3">
      <c r="A70" t="s">
        <v>1161</v>
      </c>
      <c r="B70" t="s">
        <v>181</v>
      </c>
      <c r="C70" t="s">
        <v>516</v>
      </c>
      <c r="D70" t="s">
        <v>1153</v>
      </c>
      <c r="E70" t="s">
        <v>338</v>
      </c>
      <c r="F70">
        <v>1</v>
      </c>
      <c r="G70">
        <v>1</v>
      </c>
      <c r="H70" t="s">
        <v>1162</v>
      </c>
      <c r="I70" t="s">
        <v>211</v>
      </c>
      <c r="J70" t="s">
        <v>212</v>
      </c>
    </row>
    <row r="71" spans="1:10" x14ac:dyDescent="0.3">
      <c r="A71" t="s">
        <v>1163</v>
      </c>
      <c r="B71" t="s">
        <v>174</v>
      </c>
      <c r="C71" t="s">
        <v>521</v>
      </c>
      <c r="D71" t="s">
        <v>1153</v>
      </c>
      <c r="E71" t="s">
        <v>338</v>
      </c>
      <c r="F71">
        <v>1</v>
      </c>
      <c r="G71">
        <v>1</v>
      </c>
      <c r="H71" t="s">
        <v>1164</v>
      </c>
      <c r="I71" t="s">
        <v>211</v>
      </c>
      <c r="J71" t="s">
        <v>212</v>
      </c>
    </row>
    <row r="72" spans="1:10" x14ac:dyDescent="0.3">
      <c r="A72" t="s">
        <v>1165</v>
      </c>
      <c r="B72" t="s">
        <v>179</v>
      </c>
      <c r="C72" t="s">
        <v>521</v>
      </c>
      <c r="D72" t="s">
        <v>1153</v>
      </c>
      <c r="E72" t="s">
        <v>338</v>
      </c>
      <c r="F72">
        <v>1</v>
      </c>
      <c r="G72">
        <v>1</v>
      </c>
      <c r="H72" t="s">
        <v>1166</v>
      </c>
      <c r="I72" t="s">
        <v>211</v>
      </c>
      <c r="J72" t="s">
        <v>212</v>
      </c>
    </row>
    <row r="73" spans="1:10" x14ac:dyDescent="0.3">
      <c r="A73" t="s">
        <v>1167</v>
      </c>
      <c r="B73" t="s">
        <v>181</v>
      </c>
      <c r="C73" t="s">
        <v>521</v>
      </c>
      <c r="D73" t="s">
        <v>1153</v>
      </c>
      <c r="E73" t="s">
        <v>338</v>
      </c>
      <c r="F73">
        <v>1</v>
      </c>
      <c r="G73">
        <v>1</v>
      </c>
      <c r="H73" t="s">
        <v>1168</v>
      </c>
      <c r="I73" t="s">
        <v>211</v>
      </c>
      <c r="J73" t="s">
        <v>212</v>
      </c>
    </row>
    <row r="74" spans="1:10" x14ac:dyDescent="0.3">
      <c r="A74" t="s">
        <v>1169</v>
      </c>
      <c r="B74" t="s">
        <v>516</v>
      </c>
      <c r="C74" t="s">
        <v>521</v>
      </c>
      <c r="D74" t="s">
        <v>1153</v>
      </c>
      <c r="E74" t="s">
        <v>338</v>
      </c>
      <c r="F74">
        <v>1</v>
      </c>
      <c r="G74">
        <v>1</v>
      </c>
      <c r="H74" t="s">
        <v>1170</v>
      </c>
      <c r="I74" t="s">
        <v>211</v>
      </c>
      <c r="J74" t="s">
        <v>212</v>
      </c>
    </row>
    <row r="75" spans="1:10" x14ac:dyDescent="0.3">
      <c r="A75" t="s">
        <v>1171</v>
      </c>
      <c r="B75" t="s">
        <v>174</v>
      </c>
      <c r="C75" t="s">
        <v>524</v>
      </c>
      <c r="D75" t="s">
        <v>1153</v>
      </c>
      <c r="E75" t="s">
        <v>338</v>
      </c>
      <c r="F75">
        <v>1</v>
      </c>
      <c r="G75">
        <v>1</v>
      </c>
      <c r="H75" t="s">
        <v>1172</v>
      </c>
      <c r="I75" t="s">
        <v>211</v>
      </c>
      <c r="J75" t="s">
        <v>212</v>
      </c>
    </row>
    <row r="76" spans="1:10" x14ac:dyDescent="0.3">
      <c r="A76" t="s">
        <v>1173</v>
      </c>
      <c r="B76" t="s">
        <v>179</v>
      </c>
      <c r="C76" t="s">
        <v>524</v>
      </c>
      <c r="D76" t="s">
        <v>1153</v>
      </c>
      <c r="E76" t="s">
        <v>338</v>
      </c>
      <c r="F76">
        <v>1</v>
      </c>
      <c r="G76">
        <v>1</v>
      </c>
      <c r="H76" t="s">
        <v>1174</v>
      </c>
      <c r="I76" t="s">
        <v>211</v>
      </c>
      <c r="J76" t="s">
        <v>212</v>
      </c>
    </row>
    <row r="77" spans="1:10" x14ac:dyDescent="0.3">
      <c r="A77" t="s">
        <v>1175</v>
      </c>
      <c r="B77" t="s">
        <v>181</v>
      </c>
      <c r="C77" t="s">
        <v>524</v>
      </c>
      <c r="D77" t="s">
        <v>1153</v>
      </c>
      <c r="E77" t="s">
        <v>338</v>
      </c>
      <c r="F77">
        <v>1</v>
      </c>
      <c r="G77">
        <v>1</v>
      </c>
      <c r="H77" t="s">
        <v>1176</v>
      </c>
      <c r="I77" t="s">
        <v>211</v>
      </c>
      <c r="J77" t="s">
        <v>212</v>
      </c>
    </row>
    <row r="78" spans="1:10" x14ac:dyDescent="0.3">
      <c r="A78" t="s">
        <v>1177</v>
      </c>
      <c r="B78" t="s">
        <v>516</v>
      </c>
      <c r="C78" t="s">
        <v>524</v>
      </c>
      <c r="D78" t="s">
        <v>1153</v>
      </c>
      <c r="E78" t="s">
        <v>338</v>
      </c>
      <c r="F78">
        <v>1</v>
      </c>
      <c r="G78">
        <v>1</v>
      </c>
      <c r="H78" t="s">
        <v>1178</v>
      </c>
      <c r="I78" t="s">
        <v>211</v>
      </c>
      <c r="J78" t="s">
        <v>212</v>
      </c>
    </row>
    <row r="79" spans="1:10" x14ac:dyDescent="0.3">
      <c r="A79" t="s">
        <v>1179</v>
      </c>
      <c r="B79" t="s">
        <v>521</v>
      </c>
      <c r="C79" t="s">
        <v>524</v>
      </c>
      <c r="D79" t="s">
        <v>1153</v>
      </c>
      <c r="E79" t="s">
        <v>338</v>
      </c>
      <c r="F79">
        <v>1</v>
      </c>
      <c r="G79">
        <v>1</v>
      </c>
      <c r="H79" t="s">
        <v>1180</v>
      </c>
      <c r="I79" t="s">
        <v>211</v>
      </c>
      <c r="J79" t="s">
        <v>212</v>
      </c>
    </row>
    <row r="80" spans="1:10" x14ac:dyDescent="0.3">
      <c r="A80" t="s">
        <v>1181</v>
      </c>
      <c r="B80" t="s">
        <v>174</v>
      </c>
      <c r="C80" t="s">
        <v>529</v>
      </c>
      <c r="D80" t="s">
        <v>1153</v>
      </c>
      <c r="E80" t="s">
        <v>338</v>
      </c>
      <c r="F80">
        <v>1</v>
      </c>
      <c r="G80">
        <v>1</v>
      </c>
      <c r="H80" t="s">
        <v>1182</v>
      </c>
      <c r="I80" t="s">
        <v>211</v>
      </c>
      <c r="J80" t="s">
        <v>212</v>
      </c>
    </row>
    <row r="81" spans="1:10" x14ac:dyDescent="0.3">
      <c r="A81" t="s">
        <v>1183</v>
      </c>
      <c r="B81" t="s">
        <v>179</v>
      </c>
      <c r="C81" t="s">
        <v>529</v>
      </c>
      <c r="D81" t="s">
        <v>1153</v>
      </c>
      <c r="E81" t="s">
        <v>338</v>
      </c>
      <c r="F81">
        <v>1</v>
      </c>
      <c r="G81">
        <v>1</v>
      </c>
      <c r="H81" t="s">
        <v>1184</v>
      </c>
      <c r="I81" t="s">
        <v>211</v>
      </c>
      <c r="J81" t="s">
        <v>212</v>
      </c>
    </row>
    <row r="82" spans="1:10" x14ac:dyDescent="0.3">
      <c r="A82" t="s">
        <v>1185</v>
      </c>
      <c r="B82" t="s">
        <v>181</v>
      </c>
      <c r="C82" t="s">
        <v>529</v>
      </c>
      <c r="D82" t="s">
        <v>1153</v>
      </c>
      <c r="E82" t="s">
        <v>338</v>
      </c>
      <c r="F82">
        <v>1</v>
      </c>
      <c r="G82">
        <v>1</v>
      </c>
      <c r="H82" t="s">
        <v>1186</v>
      </c>
      <c r="I82" t="s">
        <v>211</v>
      </c>
      <c r="J82" t="s">
        <v>212</v>
      </c>
    </row>
    <row r="83" spans="1:10" x14ac:dyDescent="0.3">
      <c r="A83" t="s">
        <v>1187</v>
      </c>
      <c r="B83" t="s">
        <v>516</v>
      </c>
      <c r="C83" t="s">
        <v>529</v>
      </c>
      <c r="D83" t="s">
        <v>1153</v>
      </c>
      <c r="E83" t="s">
        <v>338</v>
      </c>
      <c r="F83">
        <v>1</v>
      </c>
      <c r="G83">
        <v>1</v>
      </c>
      <c r="H83" t="s">
        <v>1188</v>
      </c>
      <c r="I83" t="s">
        <v>211</v>
      </c>
      <c r="J83" t="s">
        <v>212</v>
      </c>
    </row>
    <row r="84" spans="1:10" x14ac:dyDescent="0.3">
      <c r="A84" t="s">
        <v>1189</v>
      </c>
      <c r="B84" t="s">
        <v>521</v>
      </c>
      <c r="C84" t="s">
        <v>529</v>
      </c>
      <c r="D84" t="s">
        <v>1153</v>
      </c>
      <c r="E84" t="s">
        <v>338</v>
      </c>
      <c r="F84">
        <v>1</v>
      </c>
      <c r="G84">
        <v>1</v>
      </c>
      <c r="H84" t="s">
        <v>1190</v>
      </c>
      <c r="I84" t="s">
        <v>211</v>
      </c>
      <c r="J84" t="s">
        <v>212</v>
      </c>
    </row>
    <row r="85" spans="1:10" x14ac:dyDescent="0.3">
      <c r="A85" t="s">
        <v>1191</v>
      </c>
      <c r="B85" t="s">
        <v>524</v>
      </c>
      <c r="C85" t="s">
        <v>529</v>
      </c>
      <c r="D85" t="s">
        <v>1153</v>
      </c>
      <c r="E85" t="s">
        <v>338</v>
      </c>
      <c r="F85">
        <v>1</v>
      </c>
      <c r="G85">
        <v>1</v>
      </c>
      <c r="H85" t="s">
        <v>1192</v>
      </c>
      <c r="I85" t="s">
        <v>211</v>
      </c>
      <c r="J85" t="s">
        <v>212</v>
      </c>
    </row>
    <row r="86" spans="1:10" x14ac:dyDescent="0.3">
      <c r="A86" t="s">
        <v>1193</v>
      </c>
      <c r="B86" t="s">
        <v>174</v>
      </c>
      <c r="C86" t="s">
        <v>532</v>
      </c>
      <c r="D86" t="s">
        <v>1153</v>
      </c>
      <c r="E86" t="s">
        <v>338</v>
      </c>
      <c r="F86">
        <v>1</v>
      </c>
      <c r="G86">
        <v>1</v>
      </c>
      <c r="H86" t="s">
        <v>1194</v>
      </c>
      <c r="I86" t="s">
        <v>211</v>
      </c>
      <c r="J86" t="s">
        <v>212</v>
      </c>
    </row>
    <row r="87" spans="1:10" x14ac:dyDescent="0.3">
      <c r="A87" t="s">
        <v>1195</v>
      </c>
      <c r="B87" t="s">
        <v>179</v>
      </c>
      <c r="C87" t="s">
        <v>532</v>
      </c>
      <c r="D87" t="s">
        <v>1153</v>
      </c>
      <c r="E87" t="s">
        <v>338</v>
      </c>
      <c r="F87">
        <v>1</v>
      </c>
      <c r="G87">
        <v>1</v>
      </c>
      <c r="H87" t="s">
        <v>1196</v>
      </c>
      <c r="I87" t="s">
        <v>211</v>
      </c>
      <c r="J87" t="s">
        <v>212</v>
      </c>
    </row>
    <row r="88" spans="1:10" x14ac:dyDescent="0.3">
      <c r="A88" t="s">
        <v>1197</v>
      </c>
      <c r="B88" t="s">
        <v>181</v>
      </c>
      <c r="C88" t="s">
        <v>532</v>
      </c>
      <c r="D88" t="s">
        <v>1153</v>
      </c>
      <c r="E88" t="s">
        <v>338</v>
      </c>
      <c r="F88">
        <v>1</v>
      </c>
      <c r="G88">
        <v>1</v>
      </c>
      <c r="H88" t="s">
        <v>1198</v>
      </c>
      <c r="I88" t="s">
        <v>211</v>
      </c>
      <c r="J88" t="s">
        <v>212</v>
      </c>
    </row>
    <row r="89" spans="1:10" x14ac:dyDescent="0.3">
      <c r="A89" t="s">
        <v>1199</v>
      </c>
      <c r="B89" t="s">
        <v>516</v>
      </c>
      <c r="C89" t="s">
        <v>532</v>
      </c>
      <c r="D89" t="s">
        <v>1153</v>
      </c>
      <c r="E89" t="s">
        <v>338</v>
      </c>
      <c r="F89">
        <v>1</v>
      </c>
      <c r="G89">
        <v>1</v>
      </c>
      <c r="H89" t="s">
        <v>1200</v>
      </c>
      <c r="I89" t="s">
        <v>211</v>
      </c>
      <c r="J89" t="s">
        <v>212</v>
      </c>
    </row>
    <row r="90" spans="1:10" x14ac:dyDescent="0.3">
      <c r="A90" t="s">
        <v>1201</v>
      </c>
      <c r="B90" t="s">
        <v>521</v>
      </c>
      <c r="C90" t="s">
        <v>532</v>
      </c>
      <c r="D90" t="s">
        <v>1153</v>
      </c>
      <c r="E90" t="s">
        <v>338</v>
      </c>
      <c r="F90">
        <v>1</v>
      </c>
      <c r="G90">
        <v>1</v>
      </c>
      <c r="H90" t="s">
        <v>1202</v>
      </c>
      <c r="I90" t="s">
        <v>211</v>
      </c>
      <c r="J90" t="s">
        <v>212</v>
      </c>
    </row>
    <row r="91" spans="1:10" x14ac:dyDescent="0.3">
      <c r="A91" t="s">
        <v>1203</v>
      </c>
      <c r="B91" t="s">
        <v>524</v>
      </c>
      <c r="C91" t="s">
        <v>532</v>
      </c>
      <c r="D91" t="s">
        <v>1153</v>
      </c>
      <c r="E91" t="s">
        <v>338</v>
      </c>
      <c r="F91">
        <v>1</v>
      </c>
      <c r="G91">
        <v>1</v>
      </c>
      <c r="H91" t="s">
        <v>1204</v>
      </c>
      <c r="I91" t="s">
        <v>211</v>
      </c>
      <c r="J91" t="s">
        <v>212</v>
      </c>
    </row>
    <row r="92" spans="1:10" x14ac:dyDescent="0.3">
      <c r="A92" t="s">
        <v>1205</v>
      </c>
      <c r="B92" t="s">
        <v>529</v>
      </c>
      <c r="C92" t="s">
        <v>532</v>
      </c>
      <c r="D92" t="s">
        <v>1153</v>
      </c>
      <c r="E92" t="s">
        <v>338</v>
      </c>
      <c r="F92">
        <v>1</v>
      </c>
      <c r="G92">
        <v>1</v>
      </c>
      <c r="H92" t="s">
        <v>1206</v>
      </c>
      <c r="I92" t="s">
        <v>211</v>
      </c>
      <c r="J92" t="s">
        <v>212</v>
      </c>
    </row>
    <row r="93" spans="1:10" x14ac:dyDescent="0.3">
      <c r="A93" t="s">
        <v>1207</v>
      </c>
      <c r="B93" t="s">
        <v>174</v>
      </c>
      <c r="C93" t="s">
        <v>184</v>
      </c>
      <c r="D93" t="s">
        <v>1153</v>
      </c>
      <c r="E93" t="s">
        <v>338</v>
      </c>
      <c r="F93">
        <v>1</v>
      </c>
      <c r="G93">
        <v>1</v>
      </c>
      <c r="H93" t="s">
        <v>1208</v>
      </c>
      <c r="I93" t="s">
        <v>211</v>
      </c>
      <c r="J93" t="s">
        <v>212</v>
      </c>
    </row>
    <row r="94" spans="1:10" x14ac:dyDescent="0.3">
      <c r="A94" t="s">
        <v>1209</v>
      </c>
      <c r="B94" t="s">
        <v>179</v>
      </c>
      <c r="C94" t="s">
        <v>184</v>
      </c>
      <c r="D94" t="s">
        <v>1153</v>
      </c>
      <c r="E94" t="s">
        <v>338</v>
      </c>
      <c r="F94">
        <v>1</v>
      </c>
      <c r="G94">
        <v>1</v>
      </c>
      <c r="H94" t="s">
        <v>1210</v>
      </c>
      <c r="I94" t="s">
        <v>211</v>
      </c>
      <c r="J94" t="s">
        <v>212</v>
      </c>
    </row>
    <row r="95" spans="1:10" x14ac:dyDescent="0.3">
      <c r="A95" t="s">
        <v>1211</v>
      </c>
      <c r="B95" t="s">
        <v>181</v>
      </c>
      <c r="C95" t="s">
        <v>184</v>
      </c>
      <c r="D95" t="s">
        <v>1153</v>
      </c>
      <c r="E95" t="s">
        <v>338</v>
      </c>
      <c r="F95">
        <v>1</v>
      </c>
      <c r="G95">
        <v>1</v>
      </c>
      <c r="H95" t="s">
        <v>1212</v>
      </c>
      <c r="I95" t="s">
        <v>211</v>
      </c>
      <c r="J95" t="s">
        <v>212</v>
      </c>
    </row>
    <row r="96" spans="1:10" x14ac:dyDescent="0.3">
      <c r="A96" t="s">
        <v>1213</v>
      </c>
      <c r="B96" t="s">
        <v>516</v>
      </c>
      <c r="C96" t="s">
        <v>184</v>
      </c>
      <c r="D96" t="s">
        <v>1153</v>
      </c>
      <c r="E96" t="s">
        <v>338</v>
      </c>
      <c r="F96">
        <v>1</v>
      </c>
      <c r="G96">
        <v>1</v>
      </c>
      <c r="H96" t="s">
        <v>1214</v>
      </c>
      <c r="I96" t="s">
        <v>211</v>
      </c>
      <c r="J96" t="s">
        <v>212</v>
      </c>
    </row>
    <row r="97" spans="1:10" x14ac:dyDescent="0.3">
      <c r="A97" t="s">
        <v>1215</v>
      </c>
      <c r="B97" t="s">
        <v>521</v>
      </c>
      <c r="C97" t="s">
        <v>184</v>
      </c>
      <c r="D97" t="s">
        <v>1153</v>
      </c>
      <c r="E97" t="s">
        <v>338</v>
      </c>
      <c r="F97">
        <v>1</v>
      </c>
      <c r="G97">
        <v>1</v>
      </c>
      <c r="H97" t="s">
        <v>1216</v>
      </c>
      <c r="I97" t="s">
        <v>211</v>
      </c>
      <c r="J97" t="s">
        <v>212</v>
      </c>
    </row>
    <row r="98" spans="1:10" x14ac:dyDescent="0.3">
      <c r="A98" t="s">
        <v>1217</v>
      </c>
      <c r="B98" t="s">
        <v>524</v>
      </c>
      <c r="C98" t="s">
        <v>184</v>
      </c>
      <c r="D98" t="s">
        <v>1153</v>
      </c>
      <c r="E98" t="s">
        <v>338</v>
      </c>
      <c r="F98">
        <v>1</v>
      </c>
      <c r="G98">
        <v>1</v>
      </c>
      <c r="H98" t="s">
        <v>1218</v>
      </c>
      <c r="I98" t="s">
        <v>211</v>
      </c>
      <c r="J98" t="s">
        <v>212</v>
      </c>
    </row>
    <row r="99" spans="1:10" x14ac:dyDescent="0.3">
      <c r="A99" t="s">
        <v>1219</v>
      </c>
      <c r="B99" t="s">
        <v>529</v>
      </c>
      <c r="C99" t="s">
        <v>184</v>
      </c>
      <c r="D99" t="s">
        <v>1153</v>
      </c>
      <c r="E99" t="s">
        <v>338</v>
      </c>
      <c r="F99">
        <v>1</v>
      </c>
      <c r="G99">
        <v>1</v>
      </c>
      <c r="H99" t="s">
        <v>1220</v>
      </c>
      <c r="I99" t="s">
        <v>211</v>
      </c>
      <c r="J99" t="s">
        <v>212</v>
      </c>
    </row>
    <row r="100" spans="1:10" x14ac:dyDescent="0.3">
      <c r="A100" t="s">
        <v>1221</v>
      </c>
      <c r="B100" t="s">
        <v>532</v>
      </c>
      <c r="C100" t="s">
        <v>184</v>
      </c>
      <c r="D100" t="s">
        <v>1153</v>
      </c>
      <c r="E100" t="s">
        <v>338</v>
      </c>
      <c r="F100">
        <v>1</v>
      </c>
      <c r="G100">
        <v>1</v>
      </c>
      <c r="H100" t="s">
        <v>1222</v>
      </c>
      <c r="I100" t="s">
        <v>211</v>
      </c>
      <c r="J100" t="s">
        <v>212</v>
      </c>
    </row>
    <row r="101" spans="1:10" x14ac:dyDescent="0.3">
      <c r="A101" t="s">
        <v>1223</v>
      </c>
      <c r="B101" t="s">
        <v>184</v>
      </c>
      <c r="C101" t="s">
        <v>537</v>
      </c>
      <c r="D101" t="s">
        <v>1153</v>
      </c>
      <c r="E101" t="s">
        <v>338</v>
      </c>
      <c r="F101">
        <v>1</v>
      </c>
      <c r="G101">
        <v>1</v>
      </c>
      <c r="H101" t="s">
        <v>1224</v>
      </c>
      <c r="I101" t="s">
        <v>211</v>
      </c>
      <c r="J101" t="s">
        <v>212</v>
      </c>
    </row>
    <row r="102" spans="1:10" x14ac:dyDescent="0.3">
      <c r="A102" t="s">
        <v>1225</v>
      </c>
      <c r="B102" t="s">
        <v>537</v>
      </c>
      <c r="C102" t="s">
        <v>541</v>
      </c>
      <c r="D102" t="s">
        <v>1153</v>
      </c>
      <c r="E102" t="s">
        <v>338</v>
      </c>
      <c r="F102">
        <v>1</v>
      </c>
      <c r="G102">
        <v>1</v>
      </c>
      <c r="H102" t="s">
        <v>1226</v>
      </c>
      <c r="I102" t="s">
        <v>211</v>
      </c>
      <c r="J102" t="s">
        <v>212</v>
      </c>
    </row>
    <row r="103" spans="1:10" x14ac:dyDescent="0.3">
      <c r="A103" t="s">
        <v>1227</v>
      </c>
      <c r="B103" t="s">
        <v>541</v>
      </c>
      <c r="C103" t="s">
        <v>545</v>
      </c>
      <c r="D103" t="s">
        <v>1153</v>
      </c>
      <c r="E103" t="s">
        <v>338</v>
      </c>
      <c r="F103">
        <v>1</v>
      </c>
      <c r="G103">
        <v>1</v>
      </c>
      <c r="H103" t="s">
        <v>1228</v>
      </c>
      <c r="I103" t="s">
        <v>211</v>
      </c>
      <c r="J103" t="s">
        <v>212</v>
      </c>
    </row>
    <row r="104" spans="1:10" x14ac:dyDescent="0.3">
      <c r="A104" t="s">
        <v>1229</v>
      </c>
      <c r="B104" t="s">
        <v>545</v>
      </c>
      <c r="C104" t="s">
        <v>549</v>
      </c>
      <c r="D104" t="s">
        <v>1153</v>
      </c>
      <c r="E104" t="s">
        <v>338</v>
      </c>
      <c r="F104">
        <v>1</v>
      </c>
      <c r="G104">
        <v>1</v>
      </c>
      <c r="H104" t="s">
        <v>1230</v>
      </c>
      <c r="I104" t="s">
        <v>211</v>
      </c>
      <c r="J104" t="s">
        <v>212</v>
      </c>
    </row>
    <row r="105" spans="1:10" x14ac:dyDescent="0.3">
      <c r="A105" t="s">
        <v>1231</v>
      </c>
      <c r="B105" t="s">
        <v>549</v>
      </c>
      <c r="C105" t="s">
        <v>554</v>
      </c>
      <c r="D105" t="s">
        <v>1153</v>
      </c>
      <c r="E105" t="s">
        <v>338</v>
      </c>
      <c r="F105">
        <v>1</v>
      </c>
      <c r="G105">
        <v>1</v>
      </c>
      <c r="H105" t="s">
        <v>1232</v>
      </c>
      <c r="I105" t="s">
        <v>211</v>
      </c>
      <c r="J105" t="s">
        <v>212</v>
      </c>
    </row>
    <row r="106" spans="1:10" x14ac:dyDescent="0.3">
      <c r="A106" t="s">
        <v>1233</v>
      </c>
      <c r="B106" t="s">
        <v>554</v>
      </c>
      <c r="C106" t="s">
        <v>557</v>
      </c>
      <c r="D106" t="s">
        <v>1153</v>
      </c>
      <c r="E106" t="s">
        <v>338</v>
      </c>
      <c r="F106">
        <v>1</v>
      </c>
      <c r="G106">
        <v>1</v>
      </c>
      <c r="H106" t="s">
        <v>1234</v>
      </c>
      <c r="I106" t="s">
        <v>211</v>
      </c>
      <c r="J106" t="s">
        <v>212</v>
      </c>
    </row>
    <row r="107" spans="1:10" x14ac:dyDescent="0.3">
      <c r="A107" t="s">
        <v>1235</v>
      </c>
      <c r="B107" t="s">
        <v>557</v>
      </c>
      <c r="C107" t="s">
        <v>187</v>
      </c>
      <c r="D107" t="s">
        <v>1153</v>
      </c>
      <c r="E107" t="s">
        <v>338</v>
      </c>
      <c r="F107">
        <v>1</v>
      </c>
      <c r="G107">
        <v>1</v>
      </c>
      <c r="H107" t="s">
        <v>1236</v>
      </c>
      <c r="I107" t="s">
        <v>211</v>
      </c>
      <c r="J107" t="s">
        <v>212</v>
      </c>
    </row>
    <row r="108" spans="1:10" x14ac:dyDescent="0.3">
      <c r="A108" t="s">
        <v>1237</v>
      </c>
      <c r="B108" t="s">
        <v>187</v>
      </c>
      <c r="C108" t="s">
        <v>560</v>
      </c>
      <c r="D108" t="s">
        <v>1153</v>
      </c>
      <c r="E108" t="s">
        <v>338</v>
      </c>
      <c r="F108">
        <v>1</v>
      </c>
      <c r="G108">
        <v>1</v>
      </c>
      <c r="H108" t="s">
        <v>1238</v>
      </c>
      <c r="I108" t="s">
        <v>211</v>
      </c>
      <c r="J108" t="s">
        <v>212</v>
      </c>
    </row>
    <row r="109" spans="1:10" x14ac:dyDescent="0.3">
      <c r="A109" t="s">
        <v>1239</v>
      </c>
      <c r="B109" t="s">
        <v>560</v>
      </c>
      <c r="C109" t="s">
        <v>564</v>
      </c>
      <c r="D109" t="s">
        <v>1153</v>
      </c>
      <c r="E109" t="s">
        <v>338</v>
      </c>
      <c r="F109">
        <v>1</v>
      </c>
      <c r="G109">
        <v>1</v>
      </c>
      <c r="H109" t="s">
        <v>1240</v>
      </c>
      <c r="I109" t="s">
        <v>211</v>
      </c>
      <c r="J109" t="s">
        <v>212</v>
      </c>
    </row>
    <row r="110" spans="1:10" x14ac:dyDescent="0.3">
      <c r="A110" t="s">
        <v>1241</v>
      </c>
      <c r="B110" t="s">
        <v>564</v>
      </c>
      <c r="C110" t="s">
        <v>568</v>
      </c>
      <c r="D110" t="s">
        <v>1153</v>
      </c>
      <c r="E110" t="s">
        <v>338</v>
      </c>
      <c r="F110">
        <v>1</v>
      </c>
      <c r="G110">
        <v>1</v>
      </c>
      <c r="H110" t="s">
        <v>1242</v>
      </c>
      <c r="I110" t="s">
        <v>211</v>
      </c>
      <c r="J110" t="s">
        <v>212</v>
      </c>
    </row>
    <row r="111" spans="1:10" x14ac:dyDescent="0.3">
      <c r="A111" t="s">
        <v>1243</v>
      </c>
      <c r="B111" t="s">
        <v>568</v>
      </c>
      <c r="C111" t="s">
        <v>572</v>
      </c>
      <c r="D111" t="s">
        <v>1153</v>
      </c>
      <c r="E111" t="s">
        <v>338</v>
      </c>
      <c r="F111">
        <v>1</v>
      </c>
      <c r="G111">
        <v>1</v>
      </c>
      <c r="H111" t="s">
        <v>1244</v>
      </c>
      <c r="I111" t="s">
        <v>211</v>
      </c>
      <c r="J111" t="s">
        <v>212</v>
      </c>
    </row>
    <row r="112" spans="1:10" x14ac:dyDescent="0.3">
      <c r="A112" t="s">
        <v>1245</v>
      </c>
      <c r="B112" t="s">
        <v>572</v>
      </c>
      <c r="C112" t="s">
        <v>575</v>
      </c>
      <c r="D112" t="s">
        <v>1153</v>
      </c>
      <c r="E112" t="s">
        <v>338</v>
      </c>
      <c r="F112">
        <v>1</v>
      </c>
      <c r="G112">
        <v>1</v>
      </c>
      <c r="H112" t="s">
        <v>1246</v>
      </c>
      <c r="I112" t="s">
        <v>211</v>
      </c>
      <c r="J112" t="s">
        <v>212</v>
      </c>
    </row>
    <row r="113" spans="1:10" x14ac:dyDescent="0.3">
      <c r="A113" t="s">
        <v>1247</v>
      </c>
      <c r="B113" t="s">
        <v>575</v>
      </c>
      <c r="C113" t="s">
        <v>578</v>
      </c>
      <c r="D113" t="s">
        <v>1153</v>
      </c>
      <c r="E113" t="s">
        <v>338</v>
      </c>
      <c r="F113">
        <v>1</v>
      </c>
      <c r="G113">
        <v>1</v>
      </c>
      <c r="H113" t="s">
        <v>1248</v>
      </c>
      <c r="I113" t="s">
        <v>211</v>
      </c>
      <c r="J113" t="s">
        <v>212</v>
      </c>
    </row>
    <row r="114" spans="1:10" x14ac:dyDescent="0.3">
      <c r="A114" t="s">
        <v>1249</v>
      </c>
      <c r="B114" t="s">
        <v>578</v>
      </c>
      <c r="C114" t="s">
        <v>581</v>
      </c>
      <c r="D114" t="s">
        <v>1153</v>
      </c>
      <c r="E114" t="s">
        <v>338</v>
      </c>
      <c r="F114">
        <v>1</v>
      </c>
      <c r="G114">
        <v>1</v>
      </c>
      <c r="H114" t="s">
        <v>1250</v>
      </c>
      <c r="I114" t="s">
        <v>211</v>
      </c>
      <c r="J114" t="s">
        <v>212</v>
      </c>
    </row>
    <row r="115" spans="1:10" x14ac:dyDescent="0.3">
      <c r="A115" t="s">
        <v>1251</v>
      </c>
      <c r="B115" t="s">
        <v>581</v>
      </c>
      <c r="C115" t="s">
        <v>584</v>
      </c>
      <c r="D115" t="s">
        <v>1153</v>
      </c>
      <c r="E115" t="s">
        <v>338</v>
      </c>
      <c r="F115">
        <v>1</v>
      </c>
      <c r="G115">
        <v>1</v>
      </c>
      <c r="H115" t="s">
        <v>1252</v>
      </c>
      <c r="I115" t="s">
        <v>211</v>
      </c>
      <c r="J115" t="s">
        <v>212</v>
      </c>
    </row>
    <row r="116" spans="1:10" x14ac:dyDescent="0.3">
      <c r="A116" t="s">
        <v>1253</v>
      </c>
      <c r="B116" t="s">
        <v>584</v>
      </c>
      <c r="C116" t="s">
        <v>587</v>
      </c>
      <c r="D116" t="s">
        <v>1153</v>
      </c>
      <c r="E116" t="s">
        <v>338</v>
      </c>
      <c r="F116">
        <v>1</v>
      </c>
      <c r="G116">
        <v>1</v>
      </c>
      <c r="H116" t="s">
        <v>1254</v>
      </c>
      <c r="I116" t="s">
        <v>211</v>
      </c>
      <c r="J116" t="s">
        <v>212</v>
      </c>
    </row>
    <row r="117" spans="1:10" x14ac:dyDescent="0.3">
      <c r="A117" t="s">
        <v>1255</v>
      </c>
      <c r="B117" t="s">
        <v>587</v>
      </c>
      <c r="C117" t="s">
        <v>592</v>
      </c>
      <c r="D117" t="s">
        <v>1153</v>
      </c>
      <c r="E117" t="s">
        <v>338</v>
      </c>
      <c r="F117">
        <v>1</v>
      </c>
      <c r="G117">
        <v>1</v>
      </c>
      <c r="H117" t="s">
        <v>1256</v>
      </c>
      <c r="I117" t="s">
        <v>211</v>
      </c>
      <c r="J117" t="s">
        <v>212</v>
      </c>
    </row>
    <row r="118" spans="1:10" x14ac:dyDescent="0.3">
      <c r="A118" t="s">
        <v>1257</v>
      </c>
      <c r="B118" t="s">
        <v>592</v>
      </c>
      <c r="C118" t="s">
        <v>596</v>
      </c>
      <c r="D118" t="s">
        <v>1153</v>
      </c>
      <c r="E118" t="s">
        <v>338</v>
      </c>
      <c r="F118">
        <v>1</v>
      </c>
      <c r="G118">
        <v>1</v>
      </c>
      <c r="H118" t="s">
        <v>1258</v>
      </c>
      <c r="I118" t="s">
        <v>211</v>
      </c>
      <c r="J118" t="s">
        <v>212</v>
      </c>
    </row>
    <row r="119" spans="1:10" x14ac:dyDescent="0.3">
      <c r="A119" t="s">
        <v>1259</v>
      </c>
      <c r="B119" t="s">
        <v>596</v>
      </c>
      <c r="C119" t="s">
        <v>600</v>
      </c>
      <c r="D119" t="s">
        <v>1153</v>
      </c>
      <c r="E119" t="s">
        <v>338</v>
      </c>
      <c r="F119">
        <v>1</v>
      </c>
      <c r="G119">
        <v>1</v>
      </c>
      <c r="H119" t="s">
        <v>1260</v>
      </c>
      <c r="I119" t="s">
        <v>211</v>
      </c>
      <c r="J119" t="s">
        <v>212</v>
      </c>
    </row>
    <row r="120" spans="1:10" x14ac:dyDescent="0.3">
      <c r="A120" t="s">
        <v>1261</v>
      </c>
      <c r="B120" t="s">
        <v>600</v>
      </c>
      <c r="C120" t="s">
        <v>603</v>
      </c>
      <c r="D120" t="s">
        <v>1153</v>
      </c>
      <c r="E120" t="s">
        <v>338</v>
      </c>
      <c r="F120">
        <v>1</v>
      </c>
      <c r="G120">
        <v>1</v>
      </c>
      <c r="H120" t="s">
        <v>1262</v>
      </c>
      <c r="I120" t="s">
        <v>211</v>
      </c>
      <c r="J120" t="s">
        <v>212</v>
      </c>
    </row>
    <row r="121" spans="1:10" x14ac:dyDescent="0.3">
      <c r="A121" t="s">
        <v>1263</v>
      </c>
      <c r="B121" t="s">
        <v>603</v>
      </c>
      <c r="C121" t="s">
        <v>606</v>
      </c>
      <c r="D121" t="s">
        <v>1153</v>
      </c>
      <c r="E121" t="s">
        <v>338</v>
      </c>
      <c r="F121">
        <v>1</v>
      </c>
      <c r="G121">
        <v>1</v>
      </c>
      <c r="H121" t="s">
        <v>1264</v>
      </c>
      <c r="I121" t="s">
        <v>211</v>
      </c>
      <c r="J121" t="s">
        <v>212</v>
      </c>
    </row>
    <row r="122" spans="1:10" x14ac:dyDescent="0.3">
      <c r="A122" t="s">
        <v>1265</v>
      </c>
      <c r="B122" t="s">
        <v>606</v>
      </c>
      <c r="C122" t="s">
        <v>609</v>
      </c>
      <c r="D122" t="s">
        <v>1153</v>
      </c>
      <c r="E122" t="s">
        <v>338</v>
      </c>
      <c r="F122">
        <v>1</v>
      </c>
      <c r="G122">
        <v>1</v>
      </c>
      <c r="H122" t="s">
        <v>1266</v>
      </c>
      <c r="I122" t="s">
        <v>211</v>
      </c>
      <c r="J122" t="s">
        <v>212</v>
      </c>
    </row>
    <row r="123" spans="1:10" x14ac:dyDescent="0.3">
      <c r="A123" t="s">
        <v>1267</v>
      </c>
      <c r="B123" t="s">
        <v>609</v>
      </c>
      <c r="C123" t="s">
        <v>612</v>
      </c>
      <c r="D123" t="s">
        <v>1153</v>
      </c>
      <c r="E123" t="s">
        <v>338</v>
      </c>
      <c r="F123">
        <v>1</v>
      </c>
      <c r="G123">
        <v>1</v>
      </c>
      <c r="H123" t="s">
        <v>1268</v>
      </c>
      <c r="I123" t="s">
        <v>211</v>
      </c>
      <c r="J123" t="s">
        <v>212</v>
      </c>
    </row>
    <row r="124" spans="1:10" x14ac:dyDescent="0.3">
      <c r="A124" t="s">
        <v>1269</v>
      </c>
      <c r="B124" t="s">
        <v>612</v>
      </c>
      <c r="C124" t="s">
        <v>615</v>
      </c>
      <c r="D124" t="s">
        <v>1153</v>
      </c>
      <c r="E124" t="s">
        <v>338</v>
      </c>
      <c r="F124">
        <v>1</v>
      </c>
      <c r="G124">
        <v>1</v>
      </c>
      <c r="H124" t="s">
        <v>1270</v>
      </c>
      <c r="I124" t="s">
        <v>211</v>
      </c>
      <c r="J124" t="s">
        <v>212</v>
      </c>
    </row>
    <row r="125" spans="1:10" x14ac:dyDescent="0.3">
      <c r="A125" t="s">
        <v>1271</v>
      </c>
      <c r="B125" t="s">
        <v>615</v>
      </c>
      <c r="C125" t="s">
        <v>618</v>
      </c>
      <c r="D125" t="s">
        <v>1153</v>
      </c>
      <c r="E125" t="s">
        <v>338</v>
      </c>
      <c r="F125">
        <v>1</v>
      </c>
      <c r="G125">
        <v>1</v>
      </c>
      <c r="H125" t="s">
        <v>1272</v>
      </c>
      <c r="I125" t="s">
        <v>211</v>
      </c>
      <c r="J125" t="s">
        <v>212</v>
      </c>
    </row>
    <row r="126" spans="1:10" x14ac:dyDescent="0.3">
      <c r="A126" t="s">
        <v>1273</v>
      </c>
      <c r="B126" t="s">
        <v>618</v>
      </c>
      <c r="C126" t="s">
        <v>190</v>
      </c>
      <c r="D126" t="s">
        <v>1153</v>
      </c>
      <c r="E126" t="s">
        <v>338</v>
      </c>
      <c r="F126">
        <v>1</v>
      </c>
      <c r="G126">
        <v>1</v>
      </c>
      <c r="H126" t="s">
        <v>1274</v>
      </c>
      <c r="I126" t="s">
        <v>211</v>
      </c>
      <c r="J126" t="s">
        <v>212</v>
      </c>
    </row>
    <row r="127" spans="1:10" x14ac:dyDescent="0.3">
      <c r="A127" t="s">
        <v>1275</v>
      </c>
      <c r="B127" t="s">
        <v>190</v>
      </c>
      <c r="C127" t="s">
        <v>621</v>
      </c>
      <c r="D127" t="s">
        <v>1153</v>
      </c>
      <c r="E127" t="s">
        <v>338</v>
      </c>
      <c r="F127">
        <v>1</v>
      </c>
      <c r="G127">
        <v>1</v>
      </c>
      <c r="H127" t="s">
        <v>1276</v>
      </c>
      <c r="I127" t="s">
        <v>211</v>
      </c>
      <c r="J127" t="s">
        <v>212</v>
      </c>
    </row>
    <row r="128" spans="1:10" x14ac:dyDescent="0.3">
      <c r="A128" t="s">
        <v>1277</v>
      </c>
      <c r="B128" t="s">
        <v>621</v>
      </c>
      <c r="C128" t="s">
        <v>626</v>
      </c>
      <c r="D128" t="s">
        <v>1153</v>
      </c>
      <c r="E128" t="s">
        <v>338</v>
      </c>
      <c r="F128">
        <v>1</v>
      </c>
      <c r="G128">
        <v>1</v>
      </c>
      <c r="H128" t="s">
        <v>1278</v>
      </c>
      <c r="I128" t="s">
        <v>211</v>
      </c>
      <c r="J128" t="s">
        <v>212</v>
      </c>
    </row>
    <row r="129" spans="1:10" x14ac:dyDescent="0.3">
      <c r="A129" t="s">
        <v>1279</v>
      </c>
      <c r="B129" t="s">
        <v>626</v>
      </c>
      <c r="C129" t="s">
        <v>630</v>
      </c>
      <c r="D129" t="s">
        <v>1153</v>
      </c>
      <c r="E129" t="s">
        <v>338</v>
      </c>
      <c r="F129">
        <v>1</v>
      </c>
      <c r="G129">
        <v>1</v>
      </c>
      <c r="H129" t="s">
        <v>1280</v>
      </c>
      <c r="I129" t="s">
        <v>211</v>
      </c>
      <c r="J129" t="s">
        <v>212</v>
      </c>
    </row>
    <row r="130" spans="1:10" x14ac:dyDescent="0.3">
      <c r="A130" t="s">
        <v>1281</v>
      </c>
      <c r="B130" t="s">
        <v>630</v>
      </c>
      <c r="C130" t="s">
        <v>634</v>
      </c>
      <c r="D130" t="s">
        <v>1153</v>
      </c>
      <c r="E130" t="s">
        <v>338</v>
      </c>
      <c r="F130">
        <v>1</v>
      </c>
      <c r="G130">
        <v>1</v>
      </c>
      <c r="H130" t="s">
        <v>1282</v>
      </c>
      <c r="I130" t="s">
        <v>211</v>
      </c>
      <c r="J130" t="s">
        <v>212</v>
      </c>
    </row>
    <row r="131" spans="1:10" x14ac:dyDescent="0.3">
      <c r="A131" t="s">
        <v>1283</v>
      </c>
      <c r="B131" t="s">
        <v>634</v>
      </c>
      <c r="C131" t="s">
        <v>637</v>
      </c>
      <c r="D131" t="s">
        <v>1153</v>
      </c>
      <c r="E131" t="s">
        <v>338</v>
      </c>
      <c r="F131">
        <v>1</v>
      </c>
      <c r="G131">
        <v>1</v>
      </c>
      <c r="H131" t="s">
        <v>1284</v>
      </c>
      <c r="I131" t="s">
        <v>211</v>
      </c>
      <c r="J131" t="s">
        <v>212</v>
      </c>
    </row>
    <row r="132" spans="1:10" x14ac:dyDescent="0.3">
      <c r="A132" t="s">
        <v>1285</v>
      </c>
      <c r="B132" t="s">
        <v>637</v>
      </c>
      <c r="C132" t="s">
        <v>640</v>
      </c>
      <c r="D132" t="s">
        <v>1153</v>
      </c>
      <c r="E132" t="s">
        <v>338</v>
      </c>
      <c r="F132">
        <v>1</v>
      </c>
      <c r="G132">
        <v>1</v>
      </c>
      <c r="H132" t="s">
        <v>1286</v>
      </c>
      <c r="I132" t="s">
        <v>211</v>
      </c>
      <c r="J132" t="s">
        <v>212</v>
      </c>
    </row>
    <row r="133" spans="1:10" x14ac:dyDescent="0.3">
      <c r="A133" t="s">
        <v>1287</v>
      </c>
      <c r="B133" t="s">
        <v>640</v>
      </c>
      <c r="C133" t="s">
        <v>643</v>
      </c>
      <c r="D133" t="s">
        <v>1153</v>
      </c>
      <c r="E133" t="s">
        <v>338</v>
      </c>
      <c r="F133">
        <v>1</v>
      </c>
      <c r="G133">
        <v>1</v>
      </c>
      <c r="H133" t="s">
        <v>1288</v>
      </c>
      <c r="I133" t="s">
        <v>211</v>
      </c>
      <c r="J133" t="s">
        <v>212</v>
      </c>
    </row>
    <row r="134" spans="1:10" x14ac:dyDescent="0.3">
      <c r="A134" t="s">
        <v>1289</v>
      </c>
      <c r="B134" t="s">
        <v>643</v>
      </c>
      <c r="C134" t="s">
        <v>647</v>
      </c>
      <c r="D134" t="s">
        <v>1153</v>
      </c>
      <c r="E134" t="s">
        <v>338</v>
      </c>
      <c r="F134">
        <v>1</v>
      </c>
      <c r="G134">
        <v>1</v>
      </c>
      <c r="H134" t="s">
        <v>1290</v>
      </c>
      <c r="I134" t="s">
        <v>211</v>
      </c>
      <c r="J134" t="s">
        <v>212</v>
      </c>
    </row>
    <row r="135" spans="1:10" x14ac:dyDescent="0.3">
      <c r="A135" t="s">
        <v>1291</v>
      </c>
      <c r="B135" t="s">
        <v>647</v>
      </c>
      <c r="C135" t="s">
        <v>650</v>
      </c>
      <c r="D135" t="s">
        <v>1153</v>
      </c>
      <c r="E135" t="s">
        <v>338</v>
      </c>
      <c r="F135">
        <v>1</v>
      </c>
      <c r="G135">
        <v>1</v>
      </c>
      <c r="H135" t="s">
        <v>1292</v>
      </c>
      <c r="I135" t="s">
        <v>211</v>
      </c>
      <c r="J135" t="s">
        <v>212</v>
      </c>
    </row>
    <row r="136" spans="1:10" x14ac:dyDescent="0.3">
      <c r="A136" t="s">
        <v>1293</v>
      </c>
      <c r="B136" t="s">
        <v>650</v>
      </c>
      <c r="C136" t="s">
        <v>654</v>
      </c>
      <c r="D136" t="s">
        <v>1153</v>
      </c>
      <c r="E136" t="s">
        <v>338</v>
      </c>
      <c r="F136">
        <v>1</v>
      </c>
      <c r="G136">
        <v>1</v>
      </c>
      <c r="H136" t="s">
        <v>1294</v>
      </c>
      <c r="I136" t="s">
        <v>211</v>
      </c>
      <c r="J136" t="s">
        <v>212</v>
      </c>
    </row>
    <row r="137" spans="1:10" x14ac:dyDescent="0.3">
      <c r="A137" t="s">
        <v>1295</v>
      </c>
      <c r="B137" t="s">
        <v>654</v>
      </c>
      <c r="C137" t="s">
        <v>658</v>
      </c>
      <c r="D137" t="s">
        <v>1153</v>
      </c>
      <c r="E137" t="s">
        <v>338</v>
      </c>
      <c r="F137">
        <v>1</v>
      </c>
      <c r="G137">
        <v>1</v>
      </c>
      <c r="H137" t="s">
        <v>1296</v>
      </c>
      <c r="I137" t="s">
        <v>211</v>
      </c>
      <c r="J137" t="s">
        <v>212</v>
      </c>
    </row>
    <row r="138" spans="1:10" x14ac:dyDescent="0.3">
      <c r="A138" t="s">
        <v>1297</v>
      </c>
      <c r="B138" t="s">
        <v>658</v>
      </c>
      <c r="C138" t="s">
        <v>661</v>
      </c>
      <c r="D138" t="s">
        <v>1153</v>
      </c>
      <c r="E138" t="s">
        <v>338</v>
      </c>
      <c r="F138">
        <v>1</v>
      </c>
      <c r="G138">
        <v>1</v>
      </c>
      <c r="H138" t="s">
        <v>1298</v>
      </c>
      <c r="I138" t="s">
        <v>211</v>
      </c>
      <c r="J138" t="s">
        <v>212</v>
      </c>
    </row>
    <row r="139" spans="1:10" x14ac:dyDescent="0.3">
      <c r="A139" t="s">
        <v>1299</v>
      </c>
      <c r="B139" t="s">
        <v>661</v>
      </c>
      <c r="C139" t="s">
        <v>664</v>
      </c>
      <c r="D139" t="s">
        <v>1153</v>
      </c>
      <c r="E139" t="s">
        <v>338</v>
      </c>
      <c r="F139">
        <v>1</v>
      </c>
      <c r="G139">
        <v>1</v>
      </c>
      <c r="H139" t="s">
        <v>1300</v>
      </c>
      <c r="I139" t="s">
        <v>211</v>
      </c>
      <c r="J139" t="s">
        <v>212</v>
      </c>
    </row>
    <row r="140" spans="1:10" x14ac:dyDescent="0.3">
      <c r="A140" t="s">
        <v>1301</v>
      </c>
      <c r="B140" t="s">
        <v>664</v>
      </c>
      <c r="C140" t="s">
        <v>667</v>
      </c>
      <c r="D140" t="s">
        <v>1153</v>
      </c>
      <c r="E140" t="s">
        <v>338</v>
      </c>
      <c r="F140">
        <v>1</v>
      </c>
      <c r="G140">
        <v>1</v>
      </c>
      <c r="H140" t="s">
        <v>1302</v>
      </c>
      <c r="I140" t="s">
        <v>211</v>
      </c>
      <c r="J140" t="s">
        <v>212</v>
      </c>
    </row>
    <row r="141" spans="1:10" x14ac:dyDescent="0.3">
      <c r="A141" t="s">
        <v>1303</v>
      </c>
      <c r="B141" t="s">
        <v>667</v>
      </c>
      <c r="C141" t="s">
        <v>670</v>
      </c>
      <c r="D141" t="s">
        <v>1153</v>
      </c>
      <c r="E141" t="s">
        <v>338</v>
      </c>
      <c r="F141">
        <v>1</v>
      </c>
      <c r="G141">
        <v>1</v>
      </c>
      <c r="H141" t="s">
        <v>1304</v>
      </c>
      <c r="I141" t="s">
        <v>211</v>
      </c>
      <c r="J141" t="s">
        <v>212</v>
      </c>
    </row>
    <row r="142" spans="1:10" x14ac:dyDescent="0.3">
      <c r="A142" t="s">
        <v>1305</v>
      </c>
      <c r="B142" t="s">
        <v>670</v>
      </c>
      <c r="C142" t="s">
        <v>673</v>
      </c>
      <c r="D142" t="s">
        <v>1153</v>
      </c>
      <c r="E142" t="s">
        <v>338</v>
      </c>
      <c r="F142">
        <v>1</v>
      </c>
      <c r="G142">
        <v>1</v>
      </c>
      <c r="H142" t="s">
        <v>1306</v>
      </c>
      <c r="I142" t="s">
        <v>211</v>
      </c>
      <c r="J142" t="s">
        <v>212</v>
      </c>
    </row>
    <row r="143" spans="1:10" x14ac:dyDescent="0.3">
      <c r="A143" t="s">
        <v>1307</v>
      </c>
      <c r="B143" t="s">
        <v>673</v>
      </c>
      <c r="C143" t="s">
        <v>676</v>
      </c>
      <c r="D143" t="s">
        <v>1153</v>
      </c>
      <c r="E143" t="s">
        <v>338</v>
      </c>
      <c r="F143">
        <v>1</v>
      </c>
      <c r="G143">
        <v>1</v>
      </c>
      <c r="H143" t="s">
        <v>1308</v>
      </c>
      <c r="I143" t="s">
        <v>211</v>
      </c>
      <c r="J143" t="s">
        <v>212</v>
      </c>
    </row>
    <row r="144" spans="1:10" x14ac:dyDescent="0.3">
      <c r="A144" t="s">
        <v>1309</v>
      </c>
      <c r="B144" t="s">
        <v>676</v>
      </c>
      <c r="C144" t="s">
        <v>679</v>
      </c>
      <c r="D144" t="s">
        <v>1153</v>
      </c>
      <c r="E144" t="s">
        <v>338</v>
      </c>
      <c r="F144">
        <v>1</v>
      </c>
      <c r="G144">
        <v>1</v>
      </c>
      <c r="H144" t="s">
        <v>1310</v>
      </c>
      <c r="I144" t="s">
        <v>211</v>
      </c>
      <c r="J144" t="s">
        <v>212</v>
      </c>
    </row>
    <row r="145" spans="1:10" x14ac:dyDescent="0.3">
      <c r="A145" t="s">
        <v>1311</v>
      </c>
      <c r="B145" t="s">
        <v>679</v>
      </c>
      <c r="C145" t="s">
        <v>682</v>
      </c>
      <c r="D145" t="s">
        <v>1153</v>
      </c>
      <c r="E145" t="s">
        <v>338</v>
      </c>
      <c r="F145">
        <v>1</v>
      </c>
      <c r="G145">
        <v>1</v>
      </c>
      <c r="H145" t="s">
        <v>1312</v>
      </c>
      <c r="I145" t="s">
        <v>211</v>
      </c>
      <c r="J145" t="s">
        <v>212</v>
      </c>
    </row>
    <row r="146" spans="1:10" x14ac:dyDescent="0.3">
      <c r="A146" t="s">
        <v>1313</v>
      </c>
      <c r="B146" t="s">
        <v>682</v>
      </c>
      <c r="C146" t="s">
        <v>685</v>
      </c>
      <c r="D146" t="s">
        <v>1153</v>
      </c>
      <c r="E146" t="s">
        <v>338</v>
      </c>
      <c r="F146">
        <v>1</v>
      </c>
      <c r="G146">
        <v>1</v>
      </c>
      <c r="H146" t="s">
        <v>1314</v>
      </c>
      <c r="I146" t="s">
        <v>211</v>
      </c>
      <c r="J146" t="s">
        <v>212</v>
      </c>
    </row>
    <row r="147" spans="1:10" x14ac:dyDescent="0.3">
      <c r="A147" t="s">
        <v>1315</v>
      </c>
      <c r="B147" t="s">
        <v>685</v>
      </c>
      <c r="C147" t="s">
        <v>689</v>
      </c>
      <c r="D147" t="s">
        <v>1153</v>
      </c>
      <c r="E147" t="s">
        <v>338</v>
      </c>
      <c r="F147">
        <v>1</v>
      </c>
      <c r="G147">
        <v>1</v>
      </c>
      <c r="H147" t="s">
        <v>1316</v>
      </c>
      <c r="I147" t="s">
        <v>211</v>
      </c>
      <c r="J147" t="s">
        <v>212</v>
      </c>
    </row>
    <row r="148" spans="1:10" x14ac:dyDescent="0.3">
      <c r="A148" t="s">
        <v>1317</v>
      </c>
      <c r="B148" t="s">
        <v>689</v>
      </c>
      <c r="C148" t="s">
        <v>692</v>
      </c>
      <c r="D148" t="s">
        <v>1153</v>
      </c>
      <c r="E148" t="s">
        <v>338</v>
      </c>
      <c r="F148">
        <v>1</v>
      </c>
      <c r="G148">
        <v>1</v>
      </c>
      <c r="H148" t="s">
        <v>1318</v>
      </c>
      <c r="I148" t="s">
        <v>211</v>
      </c>
      <c r="J148" t="s">
        <v>212</v>
      </c>
    </row>
    <row r="149" spans="1:10" x14ac:dyDescent="0.3">
      <c r="A149" t="s">
        <v>1319</v>
      </c>
      <c r="B149" t="s">
        <v>692</v>
      </c>
      <c r="C149" t="s">
        <v>695</v>
      </c>
      <c r="D149" t="s">
        <v>1153</v>
      </c>
      <c r="E149" t="s">
        <v>338</v>
      </c>
      <c r="F149">
        <v>1</v>
      </c>
      <c r="G149">
        <v>1</v>
      </c>
      <c r="H149" t="s">
        <v>1320</v>
      </c>
      <c r="I149" t="s">
        <v>211</v>
      </c>
      <c r="J149" t="s">
        <v>212</v>
      </c>
    </row>
    <row r="150" spans="1:10" x14ac:dyDescent="0.3">
      <c r="A150" t="s">
        <v>1321</v>
      </c>
      <c r="B150" t="s">
        <v>695</v>
      </c>
      <c r="C150" t="s">
        <v>699</v>
      </c>
      <c r="D150" t="s">
        <v>1153</v>
      </c>
      <c r="E150" t="s">
        <v>338</v>
      </c>
      <c r="F150">
        <v>1</v>
      </c>
      <c r="G150">
        <v>1</v>
      </c>
      <c r="H150" t="s">
        <v>1322</v>
      </c>
      <c r="I150" t="s">
        <v>211</v>
      </c>
      <c r="J150" t="s">
        <v>212</v>
      </c>
    </row>
    <row r="151" spans="1:10" x14ac:dyDescent="0.3">
      <c r="A151" t="s">
        <v>1323</v>
      </c>
      <c r="B151" t="s">
        <v>699</v>
      </c>
      <c r="C151" t="s">
        <v>703</v>
      </c>
      <c r="D151" t="s">
        <v>1153</v>
      </c>
      <c r="E151" t="s">
        <v>338</v>
      </c>
      <c r="F151">
        <v>1</v>
      </c>
      <c r="G151">
        <v>1</v>
      </c>
      <c r="H151" t="s">
        <v>1324</v>
      </c>
      <c r="I151" t="s">
        <v>211</v>
      </c>
      <c r="J151" t="s">
        <v>212</v>
      </c>
    </row>
    <row r="152" spans="1:10" x14ac:dyDescent="0.3">
      <c r="A152" t="s">
        <v>1325</v>
      </c>
      <c r="B152" t="s">
        <v>703</v>
      </c>
      <c r="C152" t="s">
        <v>706</v>
      </c>
      <c r="D152" t="s">
        <v>1153</v>
      </c>
      <c r="E152" t="s">
        <v>338</v>
      </c>
      <c r="F152">
        <v>1</v>
      </c>
      <c r="G152">
        <v>1</v>
      </c>
      <c r="H152" t="s">
        <v>1326</v>
      </c>
      <c r="I152" t="s">
        <v>211</v>
      </c>
      <c r="J152" t="s">
        <v>212</v>
      </c>
    </row>
    <row r="153" spans="1:10" x14ac:dyDescent="0.3">
      <c r="A153" t="s">
        <v>1327</v>
      </c>
      <c r="B153" t="s">
        <v>706</v>
      </c>
      <c r="C153" t="s">
        <v>709</v>
      </c>
      <c r="D153" t="s">
        <v>1153</v>
      </c>
      <c r="E153" t="s">
        <v>338</v>
      </c>
      <c r="F153">
        <v>1</v>
      </c>
      <c r="G153">
        <v>1</v>
      </c>
      <c r="H153" t="s">
        <v>1328</v>
      </c>
      <c r="I153" t="s">
        <v>211</v>
      </c>
      <c r="J153" t="s">
        <v>212</v>
      </c>
    </row>
    <row r="154" spans="1:10" x14ac:dyDescent="0.3">
      <c r="A154" t="s">
        <v>1329</v>
      </c>
      <c r="B154" t="s">
        <v>709</v>
      </c>
      <c r="C154" t="s">
        <v>712</v>
      </c>
      <c r="D154" t="s">
        <v>1153</v>
      </c>
      <c r="E154" t="s">
        <v>338</v>
      </c>
      <c r="F154">
        <v>1</v>
      </c>
      <c r="G154">
        <v>1</v>
      </c>
      <c r="H154" t="s">
        <v>1330</v>
      </c>
      <c r="I154" t="s">
        <v>211</v>
      </c>
      <c r="J154" t="s">
        <v>212</v>
      </c>
    </row>
    <row r="155" spans="1:10" x14ac:dyDescent="0.3">
      <c r="A155" t="s">
        <v>1331</v>
      </c>
      <c r="B155" t="s">
        <v>712</v>
      </c>
      <c r="C155" t="s">
        <v>716</v>
      </c>
      <c r="D155" t="s">
        <v>1153</v>
      </c>
      <c r="E155" t="s">
        <v>338</v>
      </c>
      <c r="F155">
        <v>1</v>
      </c>
      <c r="G155">
        <v>1</v>
      </c>
      <c r="H155" t="s">
        <v>1332</v>
      </c>
      <c r="I155" t="s">
        <v>211</v>
      </c>
      <c r="J155" t="s">
        <v>212</v>
      </c>
    </row>
    <row r="156" spans="1:10" x14ac:dyDescent="0.3">
      <c r="A156" t="s">
        <v>1333</v>
      </c>
      <c r="B156" t="s">
        <v>716</v>
      </c>
      <c r="C156" t="s">
        <v>719</v>
      </c>
      <c r="D156" t="s">
        <v>1153</v>
      </c>
      <c r="E156" t="s">
        <v>338</v>
      </c>
      <c r="F156">
        <v>1</v>
      </c>
      <c r="G156">
        <v>1</v>
      </c>
      <c r="H156" t="s">
        <v>1334</v>
      </c>
      <c r="I156" t="s">
        <v>211</v>
      </c>
      <c r="J156" t="s">
        <v>212</v>
      </c>
    </row>
    <row r="157" spans="1:10" x14ac:dyDescent="0.3">
      <c r="A157" t="s">
        <v>1335</v>
      </c>
      <c r="B157" t="s">
        <v>719</v>
      </c>
      <c r="C157" t="s">
        <v>722</v>
      </c>
      <c r="D157" t="s">
        <v>1153</v>
      </c>
      <c r="E157" t="s">
        <v>338</v>
      </c>
      <c r="F157">
        <v>1</v>
      </c>
      <c r="G157">
        <v>1</v>
      </c>
      <c r="H157" t="s">
        <v>1336</v>
      </c>
      <c r="I157" t="s">
        <v>211</v>
      </c>
      <c r="J157" t="s">
        <v>212</v>
      </c>
    </row>
    <row r="158" spans="1:10" x14ac:dyDescent="0.3">
      <c r="A158" t="s">
        <v>1337</v>
      </c>
      <c r="B158" t="s">
        <v>719</v>
      </c>
      <c r="C158" t="s">
        <v>727</v>
      </c>
      <c r="D158" t="s">
        <v>1153</v>
      </c>
      <c r="E158" t="s">
        <v>338</v>
      </c>
      <c r="F158">
        <v>1</v>
      </c>
      <c r="G158">
        <v>1</v>
      </c>
      <c r="H158" t="s">
        <v>1338</v>
      </c>
      <c r="I158" t="s">
        <v>211</v>
      </c>
      <c r="J158" t="s">
        <v>212</v>
      </c>
    </row>
    <row r="159" spans="1:10" x14ac:dyDescent="0.3">
      <c r="A159" t="s">
        <v>1339</v>
      </c>
      <c r="B159" t="s">
        <v>727</v>
      </c>
      <c r="C159" t="s">
        <v>722</v>
      </c>
      <c r="D159" t="s">
        <v>1153</v>
      </c>
      <c r="E159" t="s">
        <v>338</v>
      </c>
      <c r="F159">
        <v>1</v>
      </c>
      <c r="G159">
        <v>1</v>
      </c>
      <c r="H159" t="s">
        <v>1340</v>
      </c>
      <c r="I159" t="s">
        <v>211</v>
      </c>
      <c r="J159" t="s">
        <v>212</v>
      </c>
    </row>
    <row r="160" spans="1:10" x14ac:dyDescent="0.3">
      <c r="A160" t="s">
        <v>1341</v>
      </c>
      <c r="B160" t="s">
        <v>722</v>
      </c>
      <c r="C160" t="s">
        <v>732</v>
      </c>
      <c r="D160" t="s">
        <v>1153</v>
      </c>
      <c r="E160" t="s">
        <v>338</v>
      </c>
      <c r="F160">
        <v>1</v>
      </c>
      <c r="G160">
        <v>1</v>
      </c>
      <c r="H160" t="s">
        <v>1342</v>
      </c>
      <c r="I160" t="s">
        <v>211</v>
      </c>
      <c r="J160" t="s">
        <v>212</v>
      </c>
    </row>
    <row r="161" spans="1:10" x14ac:dyDescent="0.3">
      <c r="A161" t="s">
        <v>1343</v>
      </c>
      <c r="B161" t="s">
        <v>732</v>
      </c>
      <c r="C161" t="s">
        <v>736</v>
      </c>
      <c r="D161" t="s">
        <v>1153</v>
      </c>
      <c r="E161" t="s">
        <v>338</v>
      </c>
      <c r="F161">
        <v>1</v>
      </c>
      <c r="G161">
        <v>1</v>
      </c>
      <c r="H161" t="s">
        <v>1344</v>
      </c>
      <c r="I161" t="s">
        <v>211</v>
      </c>
      <c r="J161" t="s">
        <v>212</v>
      </c>
    </row>
    <row r="162" spans="1:10" x14ac:dyDescent="0.3">
      <c r="A162" t="s">
        <v>1345</v>
      </c>
      <c r="B162" t="s">
        <v>736</v>
      </c>
      <c r="C162" t="s">
        <v>740</v>
      </c>
      <c r="D162" t="s">
        <v>1153</v>
      </c>
      <c r="E162" t="s">
        <v>338</v>
      </c>
      <c r="F162">
        <v>1</v>
      </c>
      <c r="G162">
        <v>1</v>
      </c>
      <c r="H162" t="s">
        <v>1346</v>
      </c>
      <c r="I162" t="s">
        <v>211</v>
      </c>
      <c r="J162" t="s">
        <v>212</v>
      </c>
    </row>
    <row r="163" spans="1:10" x14ac:dyDescent="0.3">
      <c r="A163" t="s">
        <v>1347</v>
      </c>
      <c r="B163" t="s">
        <v>740</v>
      </c>
      <c r="C163" t="s">
        <v>743</v>
      </c>
      <c r="D163" t="s">
        <v>1153</v>
      </c>
      <c r="E163" t="s">
        <v>338</v>
      </c>
      <c r="F163">
        <v>1</v>
      </c>
      <c r="G163">
        <v>1</v>
      </c>
      <c r="H163" t="s">
        <v>1348</v>
      </c>
      <c r="I163" t="s">
        <v>211</v>
      </c>
      <c r="J163" t="s">
        <v>212</v>
      </c>
    </row>
    <row r="164" spans="1:10" x14ac:dyDescent="0.3">
      <c r="A164" t="s">
        <v>1349</v>
      </c>
      <c r="B164" t="s">
        <v>743</v>
      </c>
      <c r="C164" t="s">
        <v>746</v>
      </c>
      <c r="D164" t="s">
        <v>1153</v>
      </c>
      <c r="E164" t="s">
        <v>338</v>
      </c>
      <c r="F164">
        <v>1</v>
      </c>
      <c r="G164">
        <v>1</v>
      </c>
      <c r="H164" t="s">
        <v>1350</v>
      </c>
      <c r="I164" t="s">
        <v>211</v>
      </c>
      <c r="J164" t="s">
        <v>212</v>
      </c>
    </row>
    <row r="165" spans="1:10" x14ac:dyDescent="0.3">
      <c r="A165" t="s">
        <v>1351</v>
      </c>
      <c r="B165" t="s">
        <v>746</v>
      </c>
      <c r="C165" t="s">
        <v>751</v>
      </c>
      <c r="D165" t="s">
        <v>1153</v>
      </c>
      <c r="E165" t="s">
        <v>338</v>
      </c>
      <c r="F165">
        <v>1</v>
      </c>
      <c r="G165">
        <v>1</v>
      </c>
      <c r="H165" t="s">
        <v>1352</v>
      </c>
      <c r="I165" t="s">
        <v>211</v>
      </c>
      <c r="J165" t="s">
        <v>212</v>
      </c>
    </row>
    <row r="166" spans="1:10" x14ac:dyDescent="0.3">
      <c r="A166" t="s">
        <v>1353</v>
      </c>
      <c r="B166" t="s">
        <v>751</v>
      </c>
      <c r="C166" t="s">
        <v>754</v>
      </c>
      <c r="D166" t="s">
        <v>1153</v>
      </c>
      <c r="E166" t="s">
        <v>338</v>
      </c>
      <c r="F166">
        <v>1</v>
      </c>
      <c r="G166">
        <v>1</v>
      </c>
      <c r="H166" t="s">
        <v>1354</v>
      </c>
      <c r="I166" t="s">
        <v>211</v>
      </c>
      <c r="J166" t="s">
        <v>212</v>
      </c>
    </row>
    <row r="167" spans="1:10" x14ac:dyDescent="0.3">
      <c r="A167" t="s">
        <v>1355</v>
      </c>
      <c r="B167" t="s">
        <v>754</v>
      </c>
      <c r="C167" t="s">
        <v>757</v>
      </c>
      <c r="D167" t="s">
        <v>1153</v>
      </c>
      <c r="E167" t="s">
        <v>338</v>
      </c>
      <c r="F167">
        <v>1</v>
      </c>
      <c r="G167">
        <v>1</v>
      </c>
      <c r="H167" t="s">
        <v>1356</v>
      </c>
      <c r="I167" t="s">
        <v>211</v>
      </c>
      <c r="J167" t="s">
        <v>212</v>
      </c>
    </row>
    <row r="168" spans="1:10" x14ac:dyDescent="0.3">
      <c r="A168" t="s">
        <v>1357</v>
      </c>
      <c r="B168" t="s">
        <v>757</v>
      </c>
      <c r="C168" t="s">
        <v>760</v>
      </c>
      <c r="D168" t="s">
        <v>1153</v>
      </c>
      <c r="E168" t="s">
        <v>338</v>
      </c>
      <c r="F168">
        <v>1</v>
      </c>
      <c r="G168">
        <v>1</v>
      </c>
      <c r="H168" t="s">
        <v>1358</v>
      </c>
      <c r="I168" t="s">
        <v>211</v>
      </c>
      <c r="J168" t="s">
        <v>212</v>
      </c>
    </row>
    <row r="169" spans="1:10" x14ac:dyDescent="0.3">
      <c r="A169" t="s">
        <v>1359</v>
      </c>
      <c r="B169" t="s">
        <v>760</v>
      </c>
      <c r="C169" t="s">
        <v>764</v>
      </c>
      <c r="D169" t="s">
        <v>1153</v>
      </c>
      <c r="E169" t="s">
        <v>338</v>
      </c>
      <c r="F169">
        <v>1</v>
      </c>
      <c r="G169">
        <v>1</v>
      </c>
      <c r="H169" t="s">
        <v>1360</v>
      </c>
      <c r="I169" t="s">
        <v>211</v>
      </c>
      <c r="J169" t="s">
        <v>212</v>
      </c>
    </row>
    <row r="170" spans="1:10" x14ac:dyDescent="0.3">
      <c r="A170" t="s">
        <v>1361</v>
      </c>
      <c r="B170" t="s">
        <v>764</v>
      </c>
      <c r="C170" t="s">
        <v>767</v>
      </c>
      <c r="D170" t="s">
        <v>1153</v>
      </c>
      <c r="E170" t="s">
        <v>338</v>
      </c>
      <c r="F170">
        <v>1</v>
      </c>
      <c r="G170">
        <v>1</v>
      </c>
      <c r="H170" t="s">
        <v>1362</v>
      </c>
      <c r="I170" t="s">
        <v>211</v>
      </c>
      <c r="J170" t="s">
        <v>212</v>
      </c>
    </row>
    <row r="171" spans="1:10" x14ac:dyDescent="0.3">
      <c r="A171" t="s">
        <v>1363</v>
      </c>
      <c r="B171" t="s">
        <v>767</v>
      </c>
      <c r="C171" t="s">
        <v>770</v>
      </c>
      <c r="D171" t="s">
        <v>1153</v>
      </c>
      <c r="E171" t="s">
        <v>338</v>
      </c>
      <c r="F171">
        <v>1</v>
      </c>
      <c r="G171">
        <v>1</v>
      </c>
      <c r="H171" t="s">
        <v>1364</v>
      </c>
      <c r="I171" t="s">
        <v>211</v>
      </c>
      <c r="J171" t="s">
        <v>212</v>
      </c>
    </row>
    <row r="172" spans="1:10" x14ac:dyDescent="0.3">
      <c r="A172" t="s">
        <v>1365</v>
      </c>
      <c r="B172" t="s">
        <v>770</v>
      </c>
      <c r="C172" t="s">
        <v>774</v>
      </c>
      <c r="D172" t="s">
        <v>1153</v>
      </c>
      <c r="E172" t="s">
        <v>338</v>
      </c>
      <c r="F172">
        <v>1</v>
      </c>
      <c r="G172">
        <v>1</v>
      </c>
      <c r="H172" t="s">
        <v>1366</v>
      </c>
      <c r="I172" t="s">
        <v>211</v>
      </c>
      <c r="J172" t="s">
        <v>212</v>
      </c>
    </row>
    <row r="173" spans="1:10" x14ac:dyDescent="0.3">
      <c r="A173" t="s">
        <v>1367</v>
      </c>
      <c r="B173" t="s">
        <v>774</v>
      </c>
      <c r="C173" t="s">
        <v>777</v>
      </c>
      <c r="D173" t="s">
        <v>1153</v>
      </c>
      <c r="E173" t="s">
        <v>338</v>
      </c>
      <c r="F173">
        <v>1</v>
      </c>
      <c r="G173">
        <v>1</v>
      </c>
      <c r="H173" t="s">
        <v>1368</v>
      </c>
      <c r="I173" t="s">
        <v>211</v>
      </c>
      <c r="J173" t="s">
        <v>212</v>
      </c>
    </row>
    <row r="174" spans="1:10" x14ac:dyDescent="0.3">
      <c r="A174" t="s">
        <v>1369</v>
      </c>
      <c r="B174" t="s">
        <v>777</v>
      </c>
      <c r="C174" t="s">
        <v>780</v>
      </c>
      <c r="D174" t="s">
        <v>1153</v>
      </c>
      <c r="E174" t="s">
        <v>338</v>
      </c>
      <c r="F174">
        <v>1</v>
      </c>
      <c r="G174">
        <v>1</v>
      </c>
      <c r="H174" t="s">
        <v>1370</v>
      </c>
      <c r="I174" t="s">
        <v>211</v>
      </c>
      <c r="J174" t="s">
        <v>212</v>
      </c>
    </row>
    <row r="175" spans="1:10" x14ac:dyDescent="0.3">
      <c r="A175" t="s">
        <v>1371</v>
      </c>
      <c r="B175" t="s">
        <v>780</v>
      </c>
      <c r="C175" t="s">
        <v>783</v>
      </c>
      <c r="D175" t="s">
        <v>1153</v>
      </c>
      <c r="E175" t="s">
        <v>338</v>
      </c>
      <c r="F175">
        <v>1</v>
      </c>
      <c r="G175">
        <v>1</v>
      </c>
      <c r="H175" t="s">
        <v>1372</v>
      </c>
      <c r="I175" t="s">
        <v>211</v>
      </c>
      <c r="J175" t="s">
        <v>212</v>
      </c>
    </row>
    <row r="176" spans="1:10" x14ac:dyDescent="0.3">
      <c r="A176" t="s">
        <v>1373</v>
      </c>
      <c r="B176" t="s">
        <v>783</v>
      </c>
      <c r="C176" t="s">
        <v>786</v>
      </c>
      <c r="D176" t="s">
        <v>1153</v>
      </c>
      <c r="E176" t="s">
        <v>338</v>
      </c>
      <c r="F176">
        <v>1</v>
      </c>
      <c r="G176">
        <v>1</v>
      </c>
      <c r="H176" t="s">
        <v>1374</v>
      </c>
      <c r="I176" t="s">
        <v>211</v>
      </c>
      <c r="J176" t="s">
        <v>212</v>
      </c>
    </row>
    <row r="177" spans="1:10" x14ac:dyDescent="0.3">
      <c r="A177" t="s">
        <v>1375</v>
      </c>
      <c r="B177" t="s">
        <v>786</v>
      </c>
      <c r="C177" t="s">
        <v>789</v>
      </c>
      <c r="D177" t="s">
        <v>1153</v>
      </c>
      <c r="E177" t="s">
        <v>338</v>
      </c>
      <c r="F177">
        <v>1</v>
      </c>
      <c r="G177">
        <v>1</v>
      </c>
      <c r="H177" t="s">
        <v>1376</v>
      </c>
      <c r="I177" t="s">
        <v>211</v>
      </c>
      <c r="J177" t="s">
        <v>212</v>
      </c>
    </row>
    <row r="178" spans="1:10" x14ac:dyDescent="0.3">
      <c r="A178" t="s">
        <v>1377</v>
      </c>
      <c r="B178" t="s">
        <v>789</v>
      </c>
      <c r="C178" t="s">
        <v>792</v>
      </c>
      <c r="D178" t="s">
        <v>1153</v>
      </c>
      <c r="E178" t="s">
        <v>338</v>
      </c>
      <c r="F178">
        <v>1</v>
      </c>
      <c r="G178">
        <v>1</v>
      </c>
      <c r="H178" t="s">
        <v>1378</v>
      </c>
      <c r="I178" t="s">
        <v>211</v>
      </c>
      <c r="J178" t="s">
        <v>212</v>
      </c>
    </row>
    <row r="179" spans="1:10" x14ac:dyDescent="0.3">
      <c r="A179" t="s">
        <v>1379</v>
      </c>
      <c r="B179" t="s">
        <v>792</v>
      </c>
      <c r="C179" t="s">
        <v>795</v>
      </c>
      <c r="D179" t="s">
        <v>1153</v>
      </c>
      <c r="E179" t="s">
        <v>338</v>
      </c>
      <c r="F179">
        <v>1</v>
      </c>
      <c r="G179">
        <v>1</v>
      </c>
      <c r="H179" t="s">
        <v>1380</v>
      </c>
      <c r="I179" t="s">
        <v>211</v>
      </c>
      <c r="J179" t="s">
        <v>212</v>
      </c>
    </row>
    <row r="180" spans="1:10" x14ac:dyDescent="0.3">
      <c r="A180" t="s">
        <v>1381</v>
      </c>
      <c r="B180" t="s">
        <v>795</v>
      </c>
      <c r="C180" t="s">
        <v>798</v>
      </c>
      <c r="D180" t="s">
        <v>1153</v>
      </c>
      <c r="E180" t="s">
        <v>338</v>
      </c>
      <c r="F180">
        <v>1</v>
      </c>
      <c r="G180">
        <v>1</v>
      </c>
      <c r="H180" t="s">
        <v>1382</v>
      </c>
      <c r="I180" t="s">
        <v>211</v>
      </c>
      <c r="J180" t="s">
        <v>212</v>
      </c>
    </row>
    <row r="181" spans="1:10" x14ac:dyDescent="0.3">
      <c r="A181" t="s">
        <v>1383</v>
      </c>
      <c r="B181" t="s">
        <v>798</v>
      </c>
      <c r="C181" t="s">
        <v>801</v>
      </c>
      <c r="D181" t="s">
        <v>1153</v>
      </c>
      <c r="E181" t="s">
        <v>338</v>
      </c>
      <c r="F181">
        <v>1</v>
      </c>
      <c r="G181">
        <v>1</v>
      </c>
      <c r="H181" t="s">
        <v>1384</v>
      </c>
      <c r="I181" t="s">
        <v>211</v>
      </c>
      <c r="J181" t="s">
        <v>212</v>
      </c>
    </row>
    <row r="182" spans="1:10" x14ac:dyDescent="0.3">
      <c r="A182" t="s">
        <v>1385</v>
      </c>
      <c r="B182" t="s">
        <v>801</v>
      </c>
      <c r="C182" t="s">
        <v>805</v>
      </c>
      <c r="D182" t="s">
        <v>1153</v>
      </c>
      <c r="E182" t="s">
        <v>338</v>
      </c>
      <c r="F182">
        <v>1</v>
      </c>
      <c r="G182">
        <v>1</v>
      </c>
      <c r="H182" t="s">
        <v>1386</v>
      </c>
      <c r="I182" t="s">
        <v>211</v>
      </c>
      <c r="J182" t="s">
        <v>212</v>
      </c>
    </row>
    <row r="183" spans="1:10" x14ac:dyDescent="0.3">
      <c r="A183" t="s">
        <v>1387</v>
      </c>
      <c r="B183" t="s">
        <v>805</v>
      </c>
      <c r="C183" t="s">
        <v>809</v>
      </c>
      <c r="D183" t="s">
        <v>1153</v>
      </c>
      <c r="E183" t="s">
        <v>338</v>
      </c>
      <c r="F183">
        <v>1</v>
      </c>
      <c r="G183">
        <v>1</v>
      </c>
      <c r="H183" t="s">
        <v>1388</v>
      </c>
      <c r="I183" t="s">
        <v>211</v>
      </c>
      <c r="J183" t="s">
        <v>212</v>
      </c>
    </row>
    <row r="184" spans="1:10" x14ac:dyDescent="0.3">
      <c r="A184" t="s">
        <v>1389</v>
      </c>
      <c r="B184" t="s">
        <v>809</v>
      </c>
      <c r="C184" t="s">
        <v>812</v>
      </c>
      <c r="D184" t="s">
        <v>1153</v>
      </c>
      <c r="E184" t="s">
        <v>338</v>
      </c>
      <c r="F184">
        <v>1</v>
      </c>
      <c r="G184">
        <v>1</v>
      </c>
      <c r="H184" t="s">
        <v>1390</v>
      </c>
      <c r="I184" t="s">
        <v>211</v>
      </c>
      <c r="J184" t="s">
        <v>212</v>
      </c>
    </row>
    <row r="185" spans="1:10" x14ac:dyDescent="0.3">
      <c r="A185" t="s">
        <v>1391</v>
      </c>
      <c r="B185" t="s">
        <v>812</v>
      </c>
      <c r="C185" t="s">
        <v>816</v>
      </c>
      <c r="D185" t="s">
        <v>1153</v>
      </c>
      <c r="E185" t="s">
        <v>338</v>
      </c>
      <c r="F185">
        <v>1</v>
      </c>
      <c r="G185">
        <v>1</v>
      </c>
      <c r="H185" t="s">
        <v>1392</v>
      </c>
      <c r="I185" t="s">
        <v>211</v>
      </c>
      <c r="J185" t="s">
        <v>212</v>
      </c>
    </row>
    <row r="186" spans="1:10" x14ac:dyDescent="0.3">
      <c r="A186" t="s">
        <v>1393</v>
      </c>
      <c r="B186" t="s">
        <v>816</v>
      </c>
      <c r="C186" t="s">
        <v>819</v>
      </c>
      <c r="D186" t="s">
        <v>1153</v>
      </c>
      <c r="E186" t="s">
        <v>338</v>
      </c>
      <c r="F186">
        <v>1</v>
      </c>
      <c r="G186">
        <v>1</v>
      </c>
      <c r="H186" t="s">
        <v>1394</v>
      </c>
      <c r="I186" t="s">
        <v>211</v>
      </c>
      <c r="J186" t="s">
        <v>212</v>
      </c>
    </row>
    <row r="187" spans="1:10" x14ac:dyDescent="0.3">
      <c r="A187" t="s">
        <v>1395</v>
      </c>
      <c r="B187" t="s">
        <v>819</v>
      </c>
      <c r="C187" t="s">
        <v>822</v>
      </c>
      <c r="D187" t="s">
        <v>1153</v>
      </c>
      <c r="E187" t="s">
        <v>338</v>
      </c>
      <c r="F187">
        <v>1</v>
      </c>
      <c r="G187">
        <v>1</v>
      </c>
      <c r="H187" t="s">
        <v>1396</v>
      </c>
      <c r="I187" t="s">
        <v>211</v>
      </c>
      <c r="J187" t="s">
        <v>212</v>
      </c>
    </row>
    <row r="188" spans="1:10" x14ac:dyDescent="0.3">
      <c r="A188" t="s">
        <v>1397</v>
      </c>
      <c r="B188" t="s">
        <v>822</v>
      </c>
      <c r="C188" t="s">
        <v>825</v>
      </c>
      <c r="D188" t="s">
        <v>1153</v>
      </c>
      <c r="E188" t="s">
        <v>338</v>
      </c>
      <c r="F188">
        <v>1</v>
      </c>
      <c r="G188">
        <v>1</v>
      </c>
      <c r="H188" t="s">
        <v>1398</v>
      </c>
      <c r="I188" t="s">
        <v>211</v>
      </c>
      <c r="J188" t="s">
        <v>212</v>
      </c>
    </row>
    <row r="189" spans="1:10" x14ac:dyDescent="0.3">
      <c r="A189" t="s">
        <v>1399</v>
      </c>
      <c r="B189" t="s">
        <v>825</v>
      </c>
      <c r="C189" t="s">
        <v>828</v>
      </c>
      <c r="D189" t="s">
        <v>1153</v>
      </c>
      <c r="E189" t="s">
        <v>338</v>
      </c>
      <c r="F189">
        <v>1</v>
      </c>
      <c r="G189">
        <v>1</v>
      </c>
      <c r="H189" t="s">
        <v>1400</v>
      </c>
      <c r="I189" t="s">
        <v>211</v>
      </c>
      <c r="J189" t="s">
        <v>212</v>
      </c>
    </row>
    <row r="190" spans="1:10" x14ac:dyDescent="0.3">
      <c r="A190" t="s">
        <v>1401</v>
      </c>
      <c r="B190" t="s">
        <v>828</v>
      </c>
      <c r="C190" t="s">
        <v>831</v>
      </c>
      <c r="D190" t="s">
        <v>1153</v>
      </c>
      <c r="E190" t="s">
        <v>338</v>
      </c>
      <c r="F190">
        <v>1</v>
      </c>
      <c r="G190">
        <v>1</v>
      </c>
      <c r="H190" t="s">
        <v>1402</v>
      </c>
      <c r="I190" t="s">
        <v>211</v>
      </c>
      <c r="J190" t="s">
        <v>212</v>
      </c>
    </row>
    <row r="191" spans="1:10" x14ac:dyDescent="0.3">
      <c r="A191" t="s">
        <v>1403</v>
      </c>
      <c r="B191" t="s">
        <v>831</v>
      </c>
      <c r="C191" t="s">
        <v>834</v>
      </c>
      <c r="D191" t="s">
        <v>1153</v>
      </c>
      <c r="E191" t="s">
        <v>338</v>
      </c>
      <c r="F191">
        <v>1</v>
      </c>
      <c r="G191">
        <v>1</v>
      </c>
      <c r="H191" t="s">
        <v>1404</v>
      </c>
      <c r="I191" t="s">
        <v>211</v>
      </c>
      <c r="J191" t="s">
        <v>212</v>
      </c>
    </row>
    <row r="192" spans="1:10" x14ac:dyDescent="0.3">
      <c r="A192" t="s">
        <v>1405</v>
      </c>
      <c r="B192" t="s">
        <v>834</v>
      </c>
      <c r="C192" t="s">
        <v>837</v>
      </c>
      <c r="D192" t="s">
        <v>1153</v>
      </c>
      <c r="E192" t="s">
        <v>338</v>
      </c>
      <c r="F192">
        <v>1</v>
      </c>
      <c r="G192">
        <v>1</v>
      </c>
      <c r="H192" t="s">
        <v>1406</v>
      </c>
      <c r="I192" t="s">
        <v>211</v>
      </c>
      <c r="J192" t="s">
        <v>212</v>
      </c>
    </row>
    <row r="193" spans="1:10" x14ac:dyDescent="0.3">
      <c r="A193" t="s">
        <v>1407</v>
      </c>
      <c r="B193" t="s">
        <v>837</v>
      </c>
      <c r="C193" t="s">
        <v>840</v>
      </c>
      <c r="D193" t="s">
        <v>1153</v>
      </c>
      <c r="E193" t="s">
        <v>338</v>
      </c>
      <c r="F193">
        <v>1</v>
      </c>
      <c r="G193">
        <v>1</v>
      </c>
      <c r="H193" t="s">
        <v>1408</v>
      </c>
      <c r="I193" t="s">
        <v>211</v>
      </c>
      <c r="J193" t="s">
        <v>212</v>
      </c>
    </row>
    <row r="194" spans="1:10" x14ac:dyDescent="0.3">
      <c r="A194" t="s">
        <v>1409</v>
      </c>
      <c r="B194" t="s">
        <v>840</v>
      </c>
      <c r="C194" t="s">
        <v>843</v>
      </c>
      <c r="D194" t="s">
        <v>1153</v>
      </c>
      <c r="E194" t="s">
        <v>338</v>
      </c>
      <c r="F194">
        <v>1</v>
      </c>
      <c r="G194">
        <v>1</v>
      </c>
      <c r="H194" t="s">
        <v>1410</v>
      </c>
      <c r="I194" t="s">
        <v>211</v>
      </c>
      <c r="J194" t="s">
        <v>212</v>
      </c>
    </row>
    <row r="195" spans="1:10" x14ac:dyDescent="0.3">
      <c r="A195" t="s">
        <v>1411</v>
      </c>
      <c r="B195" t="s">
        <v>843</v>
      </c>
      <c r="C195" t="s">
        <v>846</v>
      </c>
      <c r="D195" t="s">
        <v>1153</v>
      </c>
      <c r="E195" t="s">
        <v>338</v>
      </c>
      <c r="F195">
        <v>1</v>
      </c>
      <c r="G195">
        <v>1</v>
      </c>
      <c r="H195" t="s">
        <v>1412</v>
      </c>
      <c r="I195" t="s">
        <v>211</v>
      </c>
      <c r="J195" t="s">
        <v>212</v>
      </c>
    </row>
    <row r="196" spans="1:10" x14ac:dyDescent="0.3">
      <c r="A196" t="s">
        <v>1413</v>
      </c>
      <c r="B196" t="s">
        <v>846</v>
      </c>
      <c r="C196" t="s">
        <v>849</v>
      </c>
      <c r="D196" t="s">
        <v>1153</v>
      </c>
      <c r="E196" t="s">
        <v>338</v>
      </c>
      <c r="F196">
        <v>1</v>
      </c>
      <c r="G196">
        <v>1</v>
      </c>
      <c r="H196" t="s">
        <v>1414</v>
      </c>
      <c r="I196" t="s">
        <v>211</v>
      </c>
      <c r="J196" t="s">
        <v>212</v>
      </c>
    </row>
    <row r="197" spans="1:10" x14ac:dyDescent="0.3">
      <c r="A197" t="s">
        <v>1415</v>
      </c>
      <c r="B197" t="s">
        <v>849</v>
      </c>
      <c r="C197" t="s">
        <v>852</v>
      </c>
      <c r="D197" t="s">
        <v>1153</v>
      </c>
      <c r="E197" t="s">
        <v>338</v>
      </c>
      <c r="F197">
        <v>1</v>
      </c>
      <c r="G197">
        <v>1</v>
      </c>
      <c r="H197" t="s">
        <v>1416</v>
      </c>
      <c r="I197" t="s">
        <v>211</v>
      </c>
      <c r="J197" t="s">
        <v>212</v>
      </c>
    </row>
    <row r="198" spans="1:10" x14ac:dyDescent="0.3">
      <c r="A198" t="s">
        <v>1417</v>
      </c>
      <c r="B198" t="s">
        <v>852</v>
      </c>
      <c r="C198" t="s">
        <v>855</v>
      </c>
      <c r="D198" t="s">
        <v>1153</v>
      </c>
      <c r="E198" t="s">
        <v>338</v>
      </c>
      <c r="F198">
        <v>1</v>
      </c>
      <c r="G198">
        <v>1</v>
      </c>
      <c r="H198" t="s">
        <v>1418</v>
      </c>
      <c r="I198" t="s">
        <v>211</v>
      </c>
      <c r="J198" t="s">
        <v>212</v>
      </c>
    </row>
    <row r="199" spans="1:10" x14ac:dyDescent="0.3">
      <c r="A199" t="s">
        <v>1419</v>
      </c>
      <c r="B199" t="s">
        <v>855</v>
      </c>
      <c r="C199" t="s">
        <v>858</v>
      </c>
      <c r="D199" t="s">
        <v>1153</v>
      </c>
      <c r="E199" t="s">
        <v>338</v>
      </c>
      <c r="F199">
        <v>1</v>
      </c>
      <c r="G199">
        <v>1</v>
      </c>
      <c r="H199" t="s">
        <v>1420</v>
      </c>
      <c r="I199" t="s">
        <v>211</v>
      </c>
      <c r="J199" t="s">
        <v>212</v>
      </c>
    </row>
    <row r="200" spans="1:10" x14ac:dyDescent="0.3">
      <c r="A200" t="s">
        <v>1421</v>
      </c>
      <c r="B200" t="s">
        <v>858</v>
      </c>
      <c r="C200" t="s">
        <v>862</v>
      </c>
      <c r="D200" t="s">
        <v>1153</v>
      </c>
      <c r="E200" t="s">
        <v>338</v>
      </c>
      <c r="F200">
        <v>1</v>
      </c>
      <c r="G200">
        <v>1</v>
      </c>
      <c r="H200" t="s">
        <v>1422</v>
      </c>
      <c r="I200" t="s">
        <v>211</v>
      </c>
      <c r="J200" t="s">
        <v>212</v>
      </c>
    </row>
    <row r="201" spans="1:10" x14ac:dyDescent="0.3">
      <c r="A201" t="s">
        <v>1423</v>
      </c>
      <c r="B201" t="s">
        <v>862</v>
      </c>
      <c r="C201" t="s">
        <v>865</v>
      </c>
      <c r="D201" t="s">
        <v>1153</v>
      </c>
      <c r="E201" t="s">
        <v>338</v>
      </c>
      <c r="F201">
        <v>1</v>
      </c>
      <c r="G201">
        <v>1</v>
      </c>
      <c r="H201" t="s">
        <v>1424</v>
      </c>
      <c r="I201" t="s">
        <v>211</v>
      </c>
      <c r="J201" t="s">
        <v>212</v>
      </c>
    </row>
    <row r="202" spans="1:10" x14ac:dyDescent="0.3">
      <c r="A202" t="s">
        <v>1425</v>
      </c>
      <c r="B202" t="s">
        <v>868</v>
      </c>
      <c r="C202" t="s">
        <v>872</v>
      </c>
      <c r="D202" t="s">
        <v>1153</v>
      </c>
      <c r="E202" t="s">
        <v>338</v>
      </c>
      <c r="F202">
        <v>1</v>
      </c>
      <c r="G202">
        <v>1</v>
      </c>
      <c r="H202" t="s">
        <v>1426</v>
      </c>
      <c r="I202" t="s">
        <v>211</v>
      </c>
      <c r="J202" t="s">
        <v>212</v>
      </c>
    </row>
    <row r="203" spans="1:10" x14ac:dyDescent="0.3">
      <c r="A203" t="s">
        <v>1427</v>
      </c>
      <c r="B203" t="s">
        <v>872</v>
      </c>
      <c r="C203" t="s">
        <v>875</v>
      </c>
      <c r="D203" t="s">
        <v>1153</v>
      </c>
      <c r="E203" t="s">
        <v>338</v>
      </c>
      <c r="F203">
        <v>1</v>
      </c>
      <c r="G203">
        <v>1</v>
      </c>
      <c r="H203" t="s">
        <v>1428</v>
      </c>
      <c r="I203" t="s">
        <v>211</v>
      </c>
      <c r="J203" t="s">
        <v>212</v>
      </c>
    </row>
    <row r="204" spans="1:10" x14ac:dyDescent="0.3">
      <c r="A204" t="s">
        <v>1429</v>
      </c>
      <c r="B204" t="s">
        <v>875</v>
      </c>
      <c r="C204" t="s">
        <v>878</v>
      </c>
      <c r="D204" t="s">
        <v>1153</v>
      </c>
      <c r="E204" t="s">
        <v>338</v>
      </c>
      <c r="F204">
        <v>1</v>
      </c>
      <c r="G204">
        <v>1</v>
      </c>
      <c r="H204" t="s">
        <v>1430</v>
      </c>
      <c r="I204" t="s">
        <v>211</v>
      </c>
      <c r="J204" t="s">
        <v>212</v>
      </c>
    </row>
    <row r="205" spans="1:10" x14ac:dyDescent="0.3">
      <c r="A205" t="s">
        <v>1431</v>
      </c>
      <c r="B205" t="s">
        <v>878</v>
      </c>
      <c r="C205" t="s">
        <v>881</v>
      </c>
      <c r="D205" t="s">
        <v>1153</v>
      </c>
      <c r="E205" t="s">
        <v>338</v>
      </c>
      <c r="F205">
        <v>1</v>
      </c>
      <c r="G205">
        <v>1</v>
      </c>
      <c r="H205" t="s">
        <v>1432</v>
      </c>
      <c r="I205" t="s">
        <v>211</v>
      </c>
      <c r="J205" t="s">
        <v>212</v>
      </c>
    </row>
    <row r="206" spans="1:10" x14ac:dyDescent="0.3">
      <c r="A206" t="s">
        <v>1433</v>
      </c>
      <c r="B206" t="s">
        <v>881</v>
      </c>
      <c r="C206" t="s">
        <v>884</v>
      </c>
      <c r="D206" t="s">
        <v>1153</v>
      </c>
      <c r="E206" t="s">
        <v>338</v>
      </c>
      <c r="F206">
        <v>1</v>
      </c>
      <c r="G206">
        <v>1</v>
      </c>
      <c r="H206" t="s">
        <v>1434</v>
      </c>
      <c r="I206" t="s">
        <v>211</v>
      </c>
      <c r="J206" t="s">
        <v>212</v>
      </c>
    </row>
    <row r="207" spans="1:10" x14ac:dyDescent="0.3">
      <c r="A207" t="s">
        <v>1435</v>
      </c>
      <c r="B207" t="s">
        <v>884</v>
      </c>
      <c r="C207" t="s">
        <v>887</v>
      </c>
      <c r="D207" t="s">
        <v>1153</v>
      </c>
      <c r="E207" t="s">
        <v>338</v>
      </c>
      <c r="F207">
        <v>1</v>
      </c>
      <c r="G207">
        <v>1</v>
      </c>
      <c r="H207" t="s">
        <v>1436</v>
      </c>
      <c r="I207" t="s">
        <v>211</v>
      </c>
      <c r="J207" t="s">
        <v>212</v>
      </c>
    </row>
    <row r="208" spans="1:10" x14ac:dyDescent="0.3">
      <c r="A208" t="s">
        <v>1437</v>
      </c>
      <c r="B208" t="s">
        <v>887</v>
      </c>
      <c r="C208" t="s">
        <v>890</v>
      </c>
      <c r="D208" t="s">
        <v>1153</v>
      </c>
      <c r="E208" t="s">
        <v>338</v>
      </c>
      <c r="F208">
        <v>1</v>
      </c>
      <c r="G208">
        <v>1</v>
      </c>
      <c r="H208" t="s">
        <v>1438</v>
      </c>
      <c r="I208" t="s">
        <v>211</v>
      </c>
      <c r="J208" t="s">
        <v>212</v>
      </c>
    </row>
    <row r="209" spans="1:10" x14ac:dyDescent="0.3">
      <c r="A209" t="s">
        <v>1439</v>
      </c>
      <c r="B209" t="s">
        <v>890</v>
      </c>
      <c r="C209" t="s">
        <v>893</v>
      </c>
      <c r="D209" t="s">
        <v>1153</v>
      </c>
      <c r="E209" t="s">
        <v>338</v>
      </c>
      <c r="F209">
        <v>1</v>
      </c>
      <c r="G209">
        <v>1</v>
      </c>
      <c r="H209" t="s">
        <v>1440</v>
      </c>
      <c r="I209" t="s">
        <v>211</v>
      </c>
      <c r="J209" t="s">
        <v>212</v>
      </c>
    </row>
    <row r="210" spans="1:10" x14ac:dyDescent="0.3">
      <c r="A210" t="s">
        <v>1441</v>
      </c>
      <c r="B210" t="s">
        <v>893</v>
      </c>
      <c r="C210" t="s">
        <v>896</v>
      </c>
      <c r="D210" t="s">
        <v>1153</v>
      </c>
      <c r="E210" t="s">
        <v>338</v>
      </c>
      <c r="F210">
        <v>1</v>
      </c>
      <c r="G210">
        <v>1</v>
      </c>
      <c r="H210" t="s">
        <v>1442</v>
      </c>
      <c r="I210" t="s">
        <v>211</v>
      </c>
      <c r="J210" t="s">
        <v>212</v>
      </c>
    </row>
    <row r="211" spans="1:10" x14ac:dyDescent="0.3">
      <c r="A211" t="s">
        <v>1443</v>
      </c>
      <c r="B211" t="s">
        <v>896</v>
      </c>
      <c r="C211" t="s">
        <v>899</v>
      </c>
      <c r="D211" t="s">
        <v>1153</v>
      </c>
      <c r="E211" t="s">
        <v>338</v>
      </c>
      <c r="F211">
        <v>1</v>
      </c>
      <c r="G211">
        <v>1</v>
      </c>
      <c r="H211" t="s">
        <v>1444</v>
      </c>
      <c r="I211" t="s">
        <v>211</v>
      </c>
      <c r="J211" t="s">
        <v>212</v>
      </c>
    </row>
    <row r="212" spans="1:10" x14ac:dyDescent="0.3">
      <c r="A212" t="s">
        <v>1445</v>
      </c>
      <c r="B212" t="s">
        <v>899</v>
      </c>
      <c r="C212" t="s">
        <v>902</v>
      </c>
      <c r="D212" t="s">
        <v>1153</v>
      </c>
      <c r="E212" t="s">
        <v>338</v>
      </c>
      <c r="F212">
        <v>1</v>
      </c>
      <c r="G212">
        <v>1</v>
      </c>
      <c r="H212" t="s">
        <v>1446</v>
      </c>
      <c r="I212" t="s">
        <v>211</v>
      </c>
      <c r="J212" t="s">
        <v>212</v>
      </c>
    </row>
    <row r="213" spans="1:10" x14ac:dyDescent="0.3">
      <c r="A213" t="s">
        <v>1447</v>
      </c>
      <c r="B213" t="s">
        <v>902</v>
      </c>
      <c r="C213" t="s">
        <v>905</v>
      </c>
      <c r="D213" t="s">
        <v>1153</v>
      </c>
      <c r="E213" t="s">
        <v>338</v>
      </c>
      <c r="F213">
        <v>1</v>
      </c>
      <c r="G213">
        <v>1</v>
      </c>
      <c r="H213" t="s">
        <v>1448</v>
      </c>
      <c r="I213" t="s">
        <v>211</v>
      </c>
      <c r="J213" t="s">
        <v>212</v>
      </c>
    </row>
    <row r="214" spans="1:10" x14ac:dyDescent="0.3">
      <c r="A214" t="s">
        <v>1449</v>
      </c>
      <c r="B214" t="s">
        <v>905</v>
      </c>
      <c r="C214" t="s">
        <v>909</v>
      </c>
      <c r="D214" t="s">
        <v>1153</v>
      </c>
      <c r="E214" t="s">
        <v>338</v>
      </c>
      <c r="F214">
        <v>1</v>
      </c>
      <c r="G214">
        <v>1</v>
      </c>
      <c r="H214" t="s">
        <v>1450</v>
      </c>
      <c r="I214" t="s">
        <v>211</v>
      </c>
      <c r="J214" t="s">
        <v>212</v>
      </c>
    </row>
    <row r="215" spans="1:10" x14ac:dyDescent="0.3">
      <c r="A215" t="s">
        <v>1451</v>
      </c>
      <c r="B215" t="s">
        <v>909</v>
      </c>
      <c r="C215" t="s">
        <v>912</v>
      </c>
      <c r="D215" t="s">
        <v>1153</v>
      </c>
      <c r="E215" t="s">
        <v>338</v>
      </c>
      <c r="F215">
        <v>1</v>
      </c>
      <c r="G215">
        <v>1</v>
      </c>
      <c r="H215" t="s">
        <v>1452</v>
      </c>
      <c r="I215" t="s">
        <v>211</v>
      </c>
      <c r="J215" t="s">
        <v>212</v>
      </c>
    </row>
    <row r="216" spans="1:10" x14ac:dyDescent="0.3">
      <c r="A216" t="s">
        <v>1453</v>
      </c>
      <c r="B216" t="s">
        <v>912</v>
      </c>
      <c r="C216" t="s">
        <v>915</v>
      </c>
      <c r="D216" t="s">
        <v>1153</v>
      </c>
      <c r="E216" t="s">
        <v>338</v>
      </c>
      <c r="F216">
        <v>1</v>
      </c>
      <c r="G216">
        <v>1</v>
      </c>
      <c r="H216" t="s">
        <v>1454</v>
      </c>
      <c r="I216" t="s">
        <v>211</v>
      </c>
      <c r="J216" t="s">
        <v>212</v>
      </c>
    </row>
    <row r="217" spans="1:10" x14ac:dyDescent="0.3">
      <c r="A217" t="s">
        <v>1455</v>
      </c>
      <c r="B217" t="s">
        <v>915</v>
      </c>
      <c r="C217" t="s">
        <v>920</v>
      </c>
      <c r="D217" t="s">
        <v>1153</v>
      </c>
      <c r="E217" t="s">
        <v>338</v>
      </c>
      <c r="F217">
        <v>1</v>
      </c>
      <c r="G217">
        <v>1</v>
      </c>
      <c r="H217" t="s">
        <v>1456</v>
      </c>
      <c r="I217" t="s">
        <v>211</v>
      </c>
      <c r="J217" t="s">
        <v>212</v>
      </c>
    </row>
    <row r="218" spans="1:10" x14ac:dyDescent="0.3">
      <c r="A218" t="s">
        <v>1457</v>
      </c>
      <c r="B218" t="s">
        <v>920</v>
      </c>
      <c r="C218" t="s">
        <v>924</v>
      </c>
      <c r="D218" t="s">
        <v>1153</v>
      </c>
      <c r="E218" t="s">
        <v>338</v>
      </c>
      <c r="F218">
        <v>1</v>
      </c>
      <c r="G218">
        <v>1</v>
      </c>
      <c r="H218" t="s">
        <v>1458</v>
      </c>
      <c r="I218" t="s">
        <v>211</v>
      </c>
      <c r="J218" t="s">
        <v>212</v>
      </c>
    </row>
    <row r="219" spans="1:10" x14ac:dyDescent="0.3">
      <c r="A219" t="s">
        <v>1459</v>
      </c>
      <c r="B219" t="s">
        <v>924</v>
      </c>
      <c r="C219" t="s">
        <v>927</v>
      </c>
      <c r="D219" t="s">
        <v>1153</v>
      </c>
      <c r="E219" t="s">
        <v>338</v>
      </c>
      <c r="F219">
        <v>1</v>
      </c>
      <c r="G219">
        <v>1</v>
      </c>
      <c r="H219" t="s">
        <v>1460</v>
      </c>
      <c r="I219" t="s">
        <v>211</v>
      </c>
      <c r="J219" t="s">
        <v>212</v>
      </c>
    </row>
    <row r="220" spans="1:10" x14ac:dyDescent="0.3">
      <c r="A220" t="s">
        <v>1461</v>
      </c>
      <c r="B220" t="s">
        <v>927</v>
      </c>
      <c r="C220" t="s">
        <v>930</v>
      </c>
      <c r="D220" t="s">
        <v>1153</v>
      </c>
      <c r="E220" t="s">
        <v>338</v>
      </c>
      <c r="F220">
        <v>1</v>
      </c>
      <c r="G220">
        <v>1</v>
      </c>
      <c r="H220" t="s">
        <v>1462</v>
      </c>
      <c r="I220" t="s">
        <v>211</v>
      </c>
      <c r="J220" t="s">
        <v>212</v>
      </c>
    </row>
    <row r="221" spans="1:10" x14ac:dyDescent="0.3">
      <c r="A221" t="s">
        <v>1463</v>
      </c>
      <c r="B221" t="s">
        <v>930</v>
      </c>
      <c r="C221" t="s">
        <v>933</v>
      </c>
      <c r="D221" t="s">
        <v>1153</v>
      </c>
      <c r="E221" t="s">
        <v>338</v>
      </c>
      <c r="F221">
        <v>1</v>
      </c>
      <c r="G221">
        <v>1</v>
      </c>
      <c r="H221" t="s">
        <v>1464</v>
      </c>
      <c r="I221" t="s">
        <v>211</v>
      </c>
      <c r="J221" t="s">
        <v>212</v>
      </c>
    </row>
    <row r="222" spans="1:10" x14ac:dyDescent="0.3">
      <c r="A222" t="s">
        <v>1465</v>
      </c>
      <c r="B222" t="s">
        <v>933</v>
      </c>
      <c r="C222" t="s">
        <v>936</v>
      </c>
      <c r="D222" t="s">
        <v>1153</v>
      </c>
      <c r="E222" t="s">
        <v>338</v>
      </c>
      <c r="F222">
        <v>1</v>
      </c>
      <c r="G222">
        <v>1</v>
      </c>
      <c r="H222" t="s">
        <v>1466</v>
      </c>
      <c r="I222" t="s">
        <v>211</v>
      </c>
      <c r="J222" t="s">
        <v>212</v>
      </c>
    </row>
    <row r="223" spans="1:10" x14ac:dyDescent="0.3">
      <c r="A223" t="s">
        <v>1467</v>
      </c>
      <c r="B223" t="s">
        <v>936</v>
      </c>
      <c r="C223" t="s">
        <v>939</v>
      </c>
      <c r="D223" t="s">
        <v>1153</v>
      </c>
      <c r="E223" t="s">
        <v>338</v>
      </c>
      <c r="F223">
        <v>1</v>
      </c>
      <c r="G223">
        <v>1</v>
      </c>
      <c r="H223" t="s">
        <v>1468</v>
      </c>
      <c r="I223" t="s">
        <v>211</v>
      </c>
      <c r="J223" t="s">
        <v>212</v>
      </c>
    </row>
    <row r="224" spans="1:10" x14ac:dyDescent="0.3">
      <c r="A224" t="s">
        <v>1469</v>
      </c>
      <c r="B224" t="s">
        <v>939</v>
      </c>
      <c r="C224" t="s">
        <v>942</v>
      </c>
      <c r="D224" t="s">
        <v>1153</v>
      </c>
      <c r="E224" t="s">
        <v>338</v>
      </c>
      <c r="F224">
        <v>1</v>
      </c>
      <c r="G224">
        <v>1</v>
      </c>
      <c r="H224" t="s">
        <v>1470</v>
      </c>
      <c r="I224" t="s">
        <v>211</v>
      </c>
      <c r="J224" t="s">
        <v>212</v>
      </c>
    </row>
    <row r="225" spans="1:10" x14ac:dyDescent="0.3">
      <c r="A225" t="s">
        <v>1471</v>
      </c>
      <c r="B225" t="s">
        <v>942</v>
      </c>
      <c r="C225" t="s">
        <v>946</v>
      </c>
      <c r="D225" t="s">
        <v>1153</v>
      </c>
      <c r="E225" t="s">
        <v>338</v>
      </c>
      <c r="F225">
        <v>1</v>
      </c>
      <c r="G225">
        <v>1</v>
      </c>
      <c r="H225" t="s">
        <v>1472</v>
      </c>
      <c r="I225" t="s">
        <v>211</v>
      </c>
      <c r="J225" t="s">
        <v>212</v>
      </c>
    </row>
    <row r="226" spans="1:10" x14ac:dyDescent="0.3">
      <c r="A226" t="s">
        <v>1473</v>
      </c>
      <c r="B226" t="s">
        <v>946</v>
      </c>
      <c r="C226" t="s">
        <v>949</v>
      </c>
      <c r="D226" t="s">
        <v>1153</v>
      </c>
      <c r="E226" t="s">
        <v>338</v>
      </c>
      <c r="F226">
        <v>1</v>
      </c>
      <c r="G226">
        <v>1</v>
      </c>
      <c r="H226" t="s">
        <v>1474</v>
      </c>
      <c r="I226" t="s">
        <v>211</v>
      </c>
      <c r="J226" t="s">
        <v>212</v>
      </c>
    </row>
    <row r="227" spans="1:10" x14ac:dyDescent="0.3">
      <c r="A227" t="s">
        <v>1475</v>
      </c>
      <c r="B227" t="s">
        <v>949</v>
      </c>
      <c r="C227" t="s">
        <v>952</v>
      </c>
      <c r="D227" t="s">
        <v>1153</v>
      </c>
      <c r="E227" t="s">
        <v>338</v>
      </c>
      <c r="F227">
        <v>1</v>
      </c>
      <c r="G227">
        <v>1</v>
      </c>
      <c r="H227" t="s">
        <v>1476</v>
      </c>
      <c r="I227" t="s">
        <v>211</v>
      </c>
      <c r="J227" t="s">
        <v>212</v>
      </c>
    </row>
    <row r="228" spans="1:10" x14ac:dyDescent="0.3">
      <c r="A228" t="s">
        <v>1477</v>
      </c>
      <c r="B228" t="s">
        <v>952</v>
      </c>
      <c r="C228" t="s">
        <v>955</v>
      </c>
      <c r="D228" t="s">
        <v>1153</v>
      </c>
      <c r="E228" t="s">
        <v>338</v>
      </c>
      <c r="F228">
        <v>1</v>
      </c>
      <c r="G228">
        <v>1</v>
      </c>
      <c r="H228" t="s">
        <v>1478</v>
      </c>
      <c r="I228" t="s">
        <v>211</v>
      </c>
      <c r="J228" t="s">
        <v>212</v>
      </c>
    </row>
    <row r="229" spans="1:10" x14ac:dyDescent="0.3">
      <c r="A229" t="s">
        <v>1479</v>
      </c>
      <c r="B229" t="s">
        <v>955</v>
      </c>
      <c r="C229" t="s">
        <v>958</v>
      </c>
      <c r="D229" t="s">
        <v>1153</v>
      </c>
      <c r="E229" t="s">
        <v>338</v>
      </c>
      <c r="F229">
        <v>1</v>
      </c>
      <c r="G229">
        <v>1</v>
      </c>
      <c r="H229" t="s">
        <v>1480</v>
      </c>
      <c r="I229" t="s">
        <v>211</v>
      </c>
      <c r="J229" t="s">
        <v>212</v>
      </c>
    </row>
    <row r="230" spans="1:10" x14ac:dyDescent="0.3">
      <c r="A230" t="s">
        <v>1481</v>
      </c>
      <c r="B230" t="s">
        <v>958</v>
      </c>
      <c r="C230" t="s">
        <v>961</v>
      </c>
      <c r="D230" t="s">
        <v>1153</v>
      </c>
      <c r="E230" t="s">
        <v>338</v>
      </c>
      <c r="F230">
        <v>1</v>
      </c>
      <c r="G230">
        <v>1</v>
      </c>
      <c r="H230" t="s">
        <v>1482</v>
      </c>
      <c r="I230" t="s">
        <v>211</v>
      </c>
      <c r="J230" t="s">
        <v>212</v>
      </c>
    </row>
    <row r="231" spans="1:10" x14ac:dyDescent="0.3">
      <c r="A231" t="s">
        <v>1483</v>
      </c>
      <c r="B231" t="s">
        <v>961</v>
      </c>
      <c r="C231" t="s">
        <v>964</v>
      </c>
      <c r="D231" t="s">
        <v>1153</v>
      </c>
      <c r="E231" t="s">
        <v>338</v>
      </c>
      <c r="F231">
        <v>1</v>
      </c>
      <c r="G231">
        <v>1</v>
      </c>
      <c r="H231" t="s">
        <v>1484</v>
      </c>
      <c r="I231" t="s">
        <v>211</v>
      </c>
      <c r="J231" t="s">
        <v>212</v>
      </c>
    </row>
    <row r="232" spans="1:10" x14ac:dyDescent="0.3">
      <c r="A232" t="s">
        <v>1485</v>
      </c>
      <c r="B232" t="s">
        <v>964</v>
      </c>
      <c r="C232" t="s">
        <v>967</v>
      </c>
      <c r="D232" t="s">
        <v>1153</v>
      </c>
      <c r="E232" t="s">
        <v>338</v>
      </c>
      <c r="F232">
        <v>1</v>
      </c>
      <c r="G232">
        <v>1</v>
      </c>
      <c r="H232" t="s">
        <v>1486</v>
      </c>
      <c r="I232" t="s">
        <v>211</v>
      </c>
      <c r="J232" t="s">
        <v>212</v>
      </c>
    </row>
    <row r="233" spans="1:10" x14ac:dyDescent="0.3">
      <c r="A233" t="s">
        <v>1487</v>
      </c>
      <c r="B233" t="s">
        <v>967</v>
      </c>
      <c r="C233" t="s">
        <v>970</v>
      </c>
      <c r="D233" t="s">
        <v>1153</v>
      </c>
      <c r="E233" t="s">
        <v>338</v>
      </c>
      <c r="F233">
        <v>1</v>
      </c>
      <c r="G233">
        <v>1</v>
      </c>
      <c r="H233" t="s">
        <v>1488</v>
      </c>
      <c r="I233" t="s">
        <v>211</v>
      </c>
      <c r="J233" t="s">
        <v>212</v>
      </c>
    </row>
    <row r="234" spans="1:10" x14ac:dyDescent="0.3">
      <c r="A234" t="s">
        <v>1489</v>
      </c>
      <c r="B234" t="s">
        <v>970</v>
      </c>
      <c r="C234" t="s">
        <v>973</v>
      </c>
      <c r="D234" t="s">
        <v>1153</v>
      </c>
      <c r="E234" t="s">
        <v>338</v>
      </c>
      <c r="F234">
        <v>1</v>
      </c>
      <c r="G234">
        <v>1</v>
      </c>
      <c r="H234" t="s">
        <v>1490</v>
      </c>
      <c r="I234" t="s">
        <v>211</v>
      </c>
      <c r="J234" t="s">
        <v>212</v>
      </c>
    </row>
    <row r="235" spans="1:10" x14ac:dyDescent="0.3">
      <c r="A235" t="s">
        <v>1491</v>
      </c>
      <c r="B235" t="s">
        <v>973</v>
      </c>
      <c r="C235" t="s">
        <v>976</v>
      </c>
      <c r="D235" t="s">
        <v>1153</v>
      </c>
      <c r="E235" t="s">
        <v>338</v>
      </c>
      <c r="F235">
        <v>1</v>
      </c>
      <c r="G235">
        <v>1</v>
      </c>
      <c r="H235" t="s">
        <v>1492</v>
      </c>
      <c r="I235" t="s">
        <v>211</v>
      </c>
      <c r="J235" t="s">
        <v>212</v>
      </c>
    </row>
    <row r="236" spans="1:10" x14ac:dyDescent="0.3">
      <c r="A236" t="s">
        <v>1493</v>
      </c>
      <c r="B236" t="s">
        <v>976</v>
      </c>
      <c r="C236" t="s">
        <v>979</v>
      </c>
      <c r="D236" t="s">
        <v>1153</v>
      </c>
      <c r="E236" t="s">
        <v>338</v>
      </c>
      <c r="F236">
        <v>1</v>
      </c>
      <c r="G236">
        <v>1</v>
      </c>
      <c r="H236" t="s">
        <v>1494</v>
      </c>
      <c r="I236" t="s">
        <v>211</v>
      </c>
      <c r="J236" t="s">
        <v>212</v>
      </c>
    </row>
    <row r="237" spans="1:10" x14ac:dyDescent="0.3">
      <c r="A237" t="s">
        <v>1495</v>
      </c>
      <c r="B237" t="s">
        <v>979</v>
      </c>
      <c r="C237" t="s">
        <v>982</v>
      </c>
      <c r="D237" t="s">
        <v>1153</v>
      </c>
      <c r="E237" t="s">
        <v>338</v>
      </c>
      <c r="F237">
        <v>1</v>
      </c>
      <c r="G237">
        <v>1</v>
      </c>
      <c r="H237" t="s">
        <v>1496</v>
      </c>
      <c r="I237" t="s">
        <v>211</v>
      </c>
      <c r="J237" t="s">
        <v>212</v>
      </c>
    </row>
    <row r="238" spans="1:10" x14ac:dyDescent="0.3">
      <c r="A238" t="s">
        <v>1497</v>
      </c>
      <c r="B238" t="s">
        <v>982</v>
      </c>
      <c r="C238" t="s">
        <v>985</v>
      </c>
      <c r="D238" t="s">
        <v>1153</v>
      </c>
      <c r="E238" t="s">
        <v>338</v>
      </c>
      <c r="F238">
        <v>1</v>
      </c>
      <c r="G238">
        <v>1</v>
      </c>
      <c r="H238" t="s">
        <v>1498</v>
      </c>
      <c r="I238" t="s">
        <v>211</v>
      </c>
      <c r="J238" t="s">
        <v>212</v>
      </c>
    </row>
    <row r="239" spans="1:10" x14ac:dyDescent="0.3">
      <c r="A239" t="s">
        <v>1499</v>
      </c>
      <c r="B239" t="s">
        <v>985</v>
      </c>
      <c r="C239" t="s">
        <v>988</v>
      </c>
      <c r="D239" t="s">
        <v>1153</v>
      </c>
      <c r="E239" t="s">
        <v>338</v>
      </c>
      <c r="F239">
        <v>1</v>
      </c>
      <c r="G239">
        <v>1</v>
      </c>
      <c r="H239" t="s">
        <v>1500</v>
      </c>
      <c r="I239" t="s">
        <v>211</v>
      </c>
      <c r="J239" t="s">
        <v>212</v>
      </c>
    </row>
    <row r="240" spans="1:10" x14ac:dyDescent="0.3">
      <c r="A240" t="s">
        <v>1501</v>
      </c>
      <c r="B240" t="s">
        <v>988</v>
      </c>
      <c r="C240" t="s">
        <v>991</v>
      </c>
      <c r="D240" t="s">
        <v>1153</v>
      </c>
      <c r="E240" t="s">
        <v>338</v>
      </c>
      <c r="F240">
        <v>1</v>
      </c>
      <c r="G240">
        <v>1</v>
      </c>
      <c r="H240" t="s">
        <v>1502</v>
      </c>
      <c r="I240" t="s">
        <v>211</v>
      </c>
      <c r="J240" t="s">
        <v>212</v>
      </c>
    </row>
    <row r="241" spans="1:10" x14ac:dyDescent="0.3">
      <c r="A241" t="s">
        <v>1503</v>
      </c>
      <c r="B241" t="s">
        <v>991</v>
      </c>
      <c r="C241" t="s">
        <v>995</v>
      </c>
      <c r="D241" t="s">
        <v>1153</v>
      </c>
      <c r="E241" t="s">
        <v>338</v>
      </c>
      <c r="F241">
        <v>1</v>
      </c>
      <c r="G241">
        <v>1</v>
      </c>
      <c r="H241" t="s">
        <v>1504</v>
      </c>
      <c r="I241" t="s">
        <v>211</v>
      </c>
      <c r="J241" t="s">
        <v>212</v>
      </c>
    </row>
    <row r="242" spans="1:10" x14ac:dyDescent="0.3">
      <c r="A242" t="s">
        <v>1505</v>
      </c>
      <c r="B242" t="s">
        <v>995</v>
      </c>
      <c r="C242" t="s">
        <v>998</v>
      </c>
      <c r="D242" t="s">
        <v>1153</v>
      </c>
      <c r="E242" t="s">
        <v>338</v>
      </c>
      <c r="F242">
        <v>1</v>
      </c>
      <c r="G242">
        <v>1</v>
      </c>
      <c r="H242" t="s">
        <v>1506</v>
      </c>
      <c r="I242" t="s">
        <v>211</v>
      </c>
      <c r="J242" t="s">
        <v>212</v>
      </c>
    </row>
    <row r="243" spans="1:10" x14ac:dyDescent="0.3">
      <c r="A243" t="s">
        <v>1507</v>
      </c>
      <c r="B243" t="s">
        <v>998</v>
      </c>
      <c r="C243" t="s">
        <v>1002</v>
      </c>
      <c r="D243" t="s">
        <v>1153</v>
      </c>
      <c r="E243" t="s">
        <v>338</v>
      </c>
      <c r="F243">
        <v>1</v>
      </c>
      <c r="G243">
        <v>1</v>
      </c>
      <c r="H243" t="s">
        <v>1508</v>
      </c>
      <c r="I243" t="s">
        <v>211</v>
      </c>
      <c r="J243" t="s">
        <v>212</v>
      </c>
    </row>
    <row r="244" spans="1:10" x14ac:dyDescent="0.3">
      <c r="A244" t="s">
        <v>1509</v>
      </c>
      <c r="B244" t="s">
        <v>1002</v>
      </c>
      <c r="C244" t="s">
        <v>1006</v>
      </c>
      <c r="D244" t="s">
        <v>1153</v>
      </c>
      <c r="E244" t="s">
        <v>338</v>
      </c>
      <c r="F244">
        <v>1</v>
      </c>
      <c r="G244">
        <v>1</v>
      </c>
      <c r="H244" t="s">
        <v>1510</v>
      </c>
      <c r="I244" t="s">
        <v>211</v>
      </c>
      <c r="J244" t="s">
        <v>212</v>
      </c>
    </row>
    <row r="245" spans="1:10" x14ac:dyDescent="0.3">
      <c r="A245" t="s">
        <v>1511</v>
      </c>
      <c r="B245" t="s">
        <v>1006</v>
      </c>
      <c r="C245" t="s">
        <v>1010</v>
      </c>
      <c r="D245" t="s">
        <v>1153</v>
      </c>
      <c r="E245" t="s">
        <v>338</v>
      </c>
      <c r="F245">
        <v>1</v>
      </c>
      <c r="G245">
        <v>1</v>
      </c>
      <c r="H245" t="s">
        <v>1512</v>
      </c>
      <c r="I245" t="s">
        <v>211</v>
      </c>
      <c r="J245" t="s">
        <v>212</v>
      </c>
    </row>
    <row r="246" spans="1:10" x14ac:dyDescent="0.3">
      <c r="A246" t="s">
        <v>1513</v>
      </c>
      <c r="B246" t="s">
        <v>1010</v>
      </c>
      <c r="C246" t="s">
        <v>1013</v>
      </c>
      <c r="D246" t="s">
        <v>1153</v>
      </c>
      <c r="E246" t="s">
        <v>338</v>
      </c>
      <c r="F246">
        <v>1</v>
      </c>
      <c r="G246">
        <v>1</v>
      </c>
      <c r="H246" t="s">
        <v>1514</v>
      </c>
      <c r="I246" t="s">
        <v>211</v>
      </c>
      <c r="J246" t="s">
        <v>212</v>
      </c>
    </row>
    <row r="247" spans="1:10" x14ac:dyDescent="0.3">
      <c r="A247" t="s">
        <v>1515</v>
      </c>
      <c r="B247" t="s">
        <v>1013</v>
      </c>
      <c r="C247" t="s">
        <v>1016</v>
      </c>
      <c r="D247" t="s">
        <v>1153</v>
      </c>
      <c r="E247" t="s">
        <v>338</v>
      </c>
      <c r="F247">
        <v>1</v>
      </c>
      <c r="G247">
        <v>1</v>
      </c>
      <c r="H247" t="s">
        <v>1516</v>
      </c>
      <c r="I247" t="s">
        <v>211</v>
      </c>
      <c r="J247" t="s">
        <v>212</v>
      </c>
    </row>
    <row r="248" spans="1:10" x14ac:dyDescent="0.3">
      <c r="A248" t="s">
        <v>1517</v>
      </c>
      <c r="B248" t="s">
        <v>1016</v>
      </c>
      <c r="C248" t="s">
        <v>1019</v>
      </c>
      <c r="D248" t="s">
        <v>1153</v>
      </c>
      <c r="E248" t="s">
        <v>338</v>
      </c>
      <c r="F248">
        <v>1</v>
      </c>
      <c r="G248">
        <v>1</v>
      </c>
      <c r="H248" t="s">
        <v>1518</v>
      </c>
      <c r="I248" t="s">
        <v>211</v>
      </c>
      <c r="J248" t="s">
        <v>212</v>
      </c>
    </row>
    <row r="249" spans="1:10" x14ac:dyDescent="0.3">
      <c r="A249" t="s">
        <v>1519</v>
      </c>
      <c r="B249" t="s">
        <v>1019</v>
      </c>
      <c r="C249" t="s">
        <v>1022</v>
      </c>
      <c r="D249" t="s">
        <v>1153</v>
      </c>
      <c r="E249" t="s">
        <v>338</v>
      </c>
      <c r="F249">
        <v>1</v>
      </c>
      <c r="G249">
        <v>1</v>
      </c>
      <c r="H249" t="s">
        <v>1520</v>
      </c>
      <c r="I249" t="s">
        <v>211</v>
      </c>
      <c r="J249" t="s">
        <v>212</v>
      </c>
    </row>
    <row r="250" spans="1:10" x14ac:dyDescent="0.3">
      <c r="A250" t="s">
        <v>1521</v>
      </c>
      <c r="B250" t="s">
        <v>1022</v>
      </c>
      <c r="C250" t="s">
        <v>1025</v>
      </c>
      <c r="D250" t="s">
        <v>1153</v>
      </c>
      <c r="E250" t="s">
        <v>338</v>
      </c>
      <c r="F250">
        <v>1</v>
      </c>
      <c r="G250">
        <v>1</v>
      </c>
      <c r="H250" t="s">
        <v>1522</v>
      </c>
      <c r="I250" t="s">
        <v>211</v>
      </c>
      <c r="J250" t="s">
        <v>212</v>
      </c>
    </row>
    <row r="251" spans="1:10" x14ac:dyDescent="0.3">
      <c r="A251" t="s">
        <v>1523</v>
      </c>
      <c r="B251" t="s">
        <v>1025</v>
      </c>
      <c r="C251" t="s">
        <v>1028</v>
      </c>
      <c r="D251" t="s">
        <v>1153</v>
      </c>
      <c r="E251" t="s">
        <v>338</v>
      </c>
      <c r="F251">
        <v>1</v>
      </c>
      <c r="G251">
        <v>1</v>
      </c>
      <c r="H251" t="s">
        <v>1524</v>
      </c>
      <c r="I251" t="s">
        <v>211</v>
      </c>
      <c r="J251" t="s">
        <v>212</v>
      </c>
    </row>
    <row r="252" spans="1:10" x14ac:dyDescent="0.3">
      <c r="A252" t="s">
        <v>1525</v>
      </c>
      <c r="B252" t="s">
        <v>1028</v>
      </c>
      <c r="C252" t="s">
        <v>1031</v>
      </c>
      <c r="D252" t="s">
        <v>1153</v>
      </c>
      <c r="E252" t="s">
        <v>338</v>
      </c>
      <c r="F252">
        <v>1</v>
      </c>
      <c r="G252">
        <v>1</v>
      </c>
      <c r="H252" t="s">
        <v>1526</v>
      </c>
      <c r="I252" t="s">
        <v>211</v>
      </c>
      <c r="J252" t="s">
        <v>212</v>
      </c>
    </row>
    <row r="253" spans="1:10" x14ac:dyDescent="0.3">
      <c r="A253" t="s">
        <v>1527</v>
      </c>
      <c r="B253" t="s">
        <v>1031</v>
      </c>
      <c r="C253" t="s">
        <v>1034</v>
      </c>
      <c r="D253" t="s">
        <v>1153</v>
      </c>
      <c r="E253" t="s">
        <v>338</v>
      </c>
      <c r="F253">
        <v>1</v>
      </c>
      <c r="G253">
        <v>1</v>
      </c>
      <c r="H253" t="s">
        <v>1528</v>
      </c>
      <c r="I253" t="s">
        <v>211</v>
      </c>
      <c r="J253" t="s">
        <v>212</v>
      </c>
    </row>
    <row r="254" spans="1:10" x14ac:dyDescent="0.3">
      <c r="A254" t="s">
        <v>1529</v>
      </c>
      <c r="B254" t="s">
        <v>1034</v>
      </c>
      <c r="C254" t="s">
        <v>1039</v>
      </c>
      <c r="D254" t="s">
        <v>1153</v>
      </c>
      <c r="E254" t="s">
        <v>338</v>
      </c>
      <c r="F254">
        <v>1</v>
      </c>
      <c r="G254">
        <v>1</v>
      </c>
      <c r="H254" t="s">
        <v>1530</v>
      </c>
      <c r="I254" t="s">
        <v>211</v>
      </c>
      <c r="J254" t="s">
        <v>212</v>
      </c>
    </row>
    <row r="255" spans="1:10" x14ac:dyDescent="0.3">
      <c r="A255" t="s">
        <v>1531</v>
      </c>
      <c r="B255" t="s">
        <v>1039</v>
      </c>
      <c r="C255" t="s">
        <v>1043</v>
      </c>
      <c r="D255" t="s">
        <v>1153</v>
      </c>
      <c r="E255" t="s">
        <v>338</v>
      </c>
      <c r="F255">
        <v>1</v>
      </c>
      <c r="G255">
        <v>1</v>
      </c>
      <c r="H255" t="s">
        <v>1532</v>
      </c>
      <c r="I255" t="s">
        <v>211</v>
      </c>
      <c r="J255" t="s">
        <v>212</v>
      </c>
    </row>
    <row r="256" spans="1:10" x14ac:dyDescent="0.3">
      <c r="A256" t="s">
        <v>1533</v>
      </c>
      <c r="B256" t="s">
        <v>1043</v>
      </c>
      <c r="C256" t="s">
        <v>1047</v>
      </c>
      <c r="D256" t="s">
        <v>1153</v>
      </c>
      <c r="E256" t="s">
        <v>338</v>
      </c>
      <c r="F256">
        <v>1</v>
      </c>
      <c r="G256">
        <v>1</v>
      </c>
      <c r="H256" t="s">
        <v>1534</v>
      </c>
      <c r="I256" t="s">
        <v>211</v>
      </c>
      <c r="J256" t="s">
        <v>212</v>
      </c>
    </row>
    <row r="257" spans="1:10" x14ac:dyDescent="0.3">
      <c r="A257" t="s">
        <v>1535</v>
      </c>
      <c r="B257" t="s">
        <v>1047</v>
      </c>
      <c r="C257" t="s">
        <v>1050</v>
      </c>
      <c r="D257" t="s">
        <v>1153</v>
      </c>
      <c r="E257" t="s">
        <v>338</v>
      </c>
      <c r="F257">
        <v>1</v>
      </c>
      <c r="G257">
        <v>1</v>
      </c>
      <c r="H257" t="s">
        <v>1536</v>
      </c>
      <c r="I257" t="s">
        <v>211</v>
      </c>
      <c r="J257" t="s">
        <v>212</v>
      </c>
    </row>
    <row r="258" spans="1:10" x14ac:dyDescent="0.3">
      <c r="A258" t="s">
        <v>1537</v>
      </c>
      <c r="B258" t="s">
        <v>1050</v>
      </c>
      <c r="C258" t="s">
        <v>1054</v>
      </c>
      <c r="D258" t="s">
        <v>1153</v>
      </c>
      <c r="E258" t="s">
        <v>338</v>
      </c>
      <c r="F258">
        <v>1</v>
      </c>
      <c r="G258">
        <v>1</v>
      </c>
      <c r="H258" t="s">
        <v>1538</v>
      </c>
      <c r="I258" t="s">
        <v>211</v>
      </c>
      <c r="J258" t="s">
        <v>212</v>
      </c>
    </row>
    <row r="259" spans="1:10" x14ac:dyDescent="0.3">
      <c r="A259" t="s">
        <v>1539</v>
      </c>
      <c r="B259" t="s">
        <v>1054</v>
      </c>
      <c r="C259" t="s">
        <v>1058</v>
      </c>
      <c r="D259" t="s">
        <v>1153</v>
      </c>
      <c r="E259" t="s">
        <v>338</v>
      </c>
      <c r="F259">
        <v>1</v>
      </c>
      <c r="G259">
        <v>1</v>
      </c>
      <c r="H259" t="s">
        <v>1540</v>
      </c>
      <c r="I259" t="s">
        <v>211</v>
      </c>
      <c r="J259" t="s">
        <v>212</v>
      </c>
    </row>
    <row r="260" spans="1:10" x14ac:dyDescent="0.3">
      <c r="A260" t="s">
        <v>1541</v>
      </c>
      <c r="B260" t="s">
        <v>1058</v>
      </c>
      <c r="C260" t="s">
        <v>1062</v>
      </c>
      <c r="D260" t="s">
        <v>1153</v>
      </c>
      <c r="E260" t="s">
        <v>338</v>
      </c>
      <c r="F260">
        <v>1</v>
      </c>
      <c r="G260">
        <v>1</v>
      </c>
      <c r="H260" t="s">
        <v>1542</v>
      </c>
      <c r="I260" t="s">
        <v>211</v>
      </c>
      <c r="J260" t="s">
        <v>212</v>
      </c>
    </row>
    <row r="261" spans="1:10" x14ac:dyDescent="0.3">
      <c r="A261" t="s">
        <v>1543</v>
      </c>
      <c r="B261" t="s">
        <v>1062</v>
      </c>
      <c r="C261" t="s">
        <v>1065</v>
      </c>
      <c r="D261" t="s">
        <v>1153</v>
      </c>
      <c r="E261" t="s">
        <v>338</v>
      </c>
      <c r="F261">
        <v>1</v>
      </c>
      <c r="G261">
        <v>1</v>
      </c>
      <c r="H261" t="s">
        <v>1544</v>
      </c>
      <c r="I261" t="s">
        <v>211</v>
      </c>
      <c r="J261" t="s">
        <v>212</v>
      </c>
    </row>
    <row r="262" spans="1:10" x14ac:dyDescent="0.3">
      <c r="A262" t="s">
        <v>1545</v>
      </c>
      <c r="B262" t="s">
        <v>1065</v>
      </c>
      <c r="C262" t="s">
        <v>1068</v>
      </c>
      <c r="D262" t="s">
        <v>1153</v>
      </c>
      <c r="E262" t="s">
        <v>338</v>
      </c>
      <c r="F262">
        <v>1</v>
      </c>
      <c r="G262">
        <v>1</v>
      </c>
      <c r="H262" t="s">
        <v>1546</v>
      </c>
      <c r="I262" t="s">
        <v>211</v>
      </c>
      <c r="J262" t="s">
        <v>212</v>
      </c>
    </row>
    <row r="263" spans="1:10" x14ac:dyDescent="0.3">
      <c r="A263" t="s">
        <v>1547</v>
      </c>
      <c r="B263" t="s">
        <v>1068</v>
      </c>
      <c r="C263" t="s">
        <v>1071</v>
      </c>
      <c r="D263" t="s">
        <v>1153</v>
      </c>
      <c r="E263" t="s">
        <v>338</v>
      </c>
      <c r="F263">
        <v>1</v>
      </c>
      <c r="G263">
        <v>1</v>
      </c>
      <c r="H263" t="s">
        <v>1548</v>
      </c>
      <c r="I263" t="s">
        <v>211</v>
      </c>
      <c r="J263" t="s">
        <v>212</v>
      </c>
    </row>
    <row r="264" spans="1:10" x14ac:dyDescent="0.3">
      <c r="A264" t="s">
        <v>1549</v>
      </c>
      <c r="B264" t="s">
        <v>1071</v>
      </c>
      <c r="C264" t="s">
        <v>1075</v>
      </c>
      <c r="D264" t="s">
        <v>1153</v>
      </c>
      <c r="E264" t="s">
        <v>338</v>
      </c>
      <c r="F264">
        <v>1</v>
      </c>
      <c r="G264">
        <v>1</v>
      </c>
      <c r="H264" t="s">
        <v>1550</v>
      </c>
      <c r="I264" t="s">
        <v>211</v>
      </c>
      <c r="J264" t="s">
        <v>212</v>
      </c>
    </row>
    <row r="265" spans="1:10" x14ac:dyDescent="0.3">
      <c r="A265" t="s">
        <v>1551</v>
      </c>
      <c r="B265" t="s">
        <v>1075</v>
      </c>
      <c r="C265" t="s">
        <v>1079</v>
      </c>
      <c r="D265" t="s">
        <v>1153</v>
      </c>
      <c r="E265" t="s">
        <v>338</v>
      </c>
      <c r="F265">
        <v>1</v>
      </c>
      <c r="G265">
        <v>1</v>
      </c>
      <c r="H265" t="s">
        <v>1552</v>
      </c>
      <c r="I265" t="s">
        <v>211</v>
      </c>
      <c r="J265" t="s">
        <v>212</v>
      </c>
    </row>
    <row r="266" spans="1:10" x14ac:dyDescent="0.3">
      <c r="A266" t="s">
        <v>1553</v>
      </c>
      <c r="B266" t="s">
        <v>1079</v>
      </c>
      <c r="C266" t="s">
        <v>1083</v>
      </c>
      <c r="D266" t="s">
        <v>1153</v>
      </c>
      <c r="E266" t="s">
        <v>338</v>
      </c>
      <c r="F266">
        <v>1</v>
      </c>
      <c r="G266">
        <v>1</v>
      </c>
      <c r="H266" t="s">
        <v>1554</v>
      </c>
      <c r="I266" t="s">
        <v>211</v>
      </c>
      <c r="J266" t="s">
        <v>212</v>
      </c>
    </row>
    <row r="267" spans="1:10" x14ac:dyDescent="0.3">
      <c r="A267" t="s">
        <v>1555</v>
      </c>
      <c r="B267" t="s">
        <v>1083</v>
      </c>
      <c r="C267" t="s">
        <v>1087</v>
      </c>
      <c r="D267" t="s">
        <v>1153</v>
      </c>
      <c r="E267" t="s">
        <v>338</v>
      </c>
      <c r="F267">
        <v>1</v>
      </c>
      <c r="G267">
        <v>1</v>
      </c>
      <c r="H267" t="s">
        <v>1556</v>
      </c>
      <c r="I267" t="s">
        <v>211</v>
      </c>
      <c r="J267" t="s">
        <v>212</v>
      </c>
    </row>
    <row r="268" spans="1:10" x14ac:dyDescent="0.3">
      <c r="A268" t="s">
        <v>1557</v>
      </c>
      <c r="B268" t="s">
        <v>1087</v>
      </c>
      <c r="C268" t="s">
        <v>1092</v>
      </c>
      <c r="D268" t="s">
        <v>1153</v>
      </c>
      <c r="E268" t="s">
        <v>338</v>
      </c>
      <c r="F268">
        <v>1</v>
      </c>
      <c r="G268">
        <v>1</v>
      </c>
      <c r="H268" t="s">
        <v>1558</v>
      </c>
      <c r="I268" t="s">
        <v>211</v>
      </c>
      <c r="J268" t="s">
        <v>212</v>
      </c>
    </row>
    <row r="269" spans="1:10" x14ac:dyDescent="0.3">
      <c r="A269" t="s">
        <v>1559</v>
      </c>
      <c r="B269" t="s">
        <v>1092</v>
      </c>
      <c r="C269" t="s">
        <v>1095</v>
      </c>
      <c r="D269" t="s">
        <v>1153</v>
      </c>
      <c r="E269" t="s">
        <v>338</v>
      </c>
      <c r="F269">
        <v>1</v>
      </c>
      <c r="G269">
        <v>1</v>
      </c>
      <c r="H269" t="s">
        <v>1560</v>
      </c>
      <c r="I269" t="s">
        <v>211</v>
      </c>
      <c r="J269" t="s">
        <v>212</v>
      </c>
    </row>
    <row r="270" spans="1:10" x14ac:dyDescent="0.3">
      <c r="A270" t="s">
        <v>1561</v>
      </c>
      <c r="B270" t="s">
        <v>1095</v>
      </c>
      <c r="C270" t="s">
        <v>1098</v>
      </c>
      <c r="D270" t="s">
        <v>1153</v>
      </c>
      <c r="E270" t="s">
        <v>338</v>
      </c>
      <c r="F270">
        <v>1</v>
      </c>
      <c r="G270">
        <v>1</v>
      </c>
      <c r="H270" t="s">
        <v>1562</v>
      </c>
      <c r="I270" t="s">
        <v>211</v>
      </c>
      <c r="J270" t="s">
        <v>212</v>
      </c>
    </row>
    <row r="271" spans="1:10" x14ac:dyDescent="0.3">
      <c r="A271" t="s">
        <v>1563</v>
      </c>
      <c r="B271" t="s">
        <v>1098</v>
      </c>
      <c r="C271" t="s">
        <v>1101</v>
      </c>
      <c r="D271" t="s">
        <v>1153</v>
      </c>
      <c r="E271" t="s">
        <v>338</v>
      </c>
      <c r="F271">
        <v>1</v>
      </c>
      <c r="G271">
        <v>1</v>
      </c>
      <c r="H271" t="s">
        <v>1564</v>
      </c>
      <c r="I271" t="s">
        <v>211</v>
      </c>
      <c r="J271" t="s">
        <v>212</v>
      </c>
    </row>
    <row r="272" spans="1:10" x14ac:dyDescent="0.3">
      <c r="A272" t="s">
        <v>1565</v>
      </c>
      <c r="B272" t="s">
        <v>1101</v>
      </c>
      <c r="C272" t="s">
        <v>1104</v>
      </c>
      <c r="D272" t="s">
        <v>1153</v>
      </c>
      <c r="E272" t="s">
        <v>338</v>
      </c>
      <c r="F272">
        <v>1</v>
      </c>
      <c r="G272">
        <v>1</v>
      </c>
      <c r="H272" t="s">
        <v>1566</v>
      </c>
      <c r="I272" t="s">
        <v>211</v>
      </c>
      <c r="J272" t="s">
        <v>212</v>
      </c>
    </row>
    <row r="273" spans="1:10" x14ac:dyDescent="0.3">
      <c r="A273" t="s">
        <v>1567</v>
      </c>
      <c r="B273" t="s">
        <v>1104</v>
      </c>
      <c r="C273" t="s">
        <v>1109</v>
      </c>
      <c r="D273" t="s">
        <v>1153</v>
      </c>
      <c r="E273" t="s">
        <v>338</v>
      </c>
      <c r="F273">
        <v>1</v>
      </c>
      <c r="G273">
        <v>1</v>
      </c>
      <c r="H273" t="s">
        <v>1568</v>
      </c>
      <c r="I273" t="s">
        <v>211</v>
      </c>
      <c r="J273" t="s">
        <v>212</v>
      </c>
    </row>
    <row r="274" spans="1:10" x14ac:dyDescent="0.3">
      <c r="A274" t="s">
        <v>1569</v>
      </c>
      <c r="B274" t="s">
        <v>1109</v>
      </c>
      <c r="C274" t="s">
        <v>1114</v>
      </c>
      <c r="D274" t="s">
        <v>1153</v>
      </c>
      <c r="E274" t="s">
        <v>338</v>
      </c>
      <c r="F274">
        <v>1</v>
      </c>
      <c r="G274">
        <v>1</v>
      </c>
      <c r="H274" t="s">
        <v>1570</v>
      </c>
      <c r="I274" t="s">
        <v>211</v>
      </c>
      <c r="J274" t="s">
        <v>212</v>
      </c>
    </row>
    <row r="275" spans="1:10" x14ac:dyDescent="0.3">
      <c r="A275" t="s">
        <v>1571</v>
      </c>
      <c r="B275" t="s">
        <v>1114</v>
      </c>
      <c r="C275" t="s">
        <v>1117</v>
      </c>
      <c r="D275" t="s">
        <v>1153</v>
      </c>
      <c r="E275" t="s">
        <v>338</v>
      </c>
      <c r="F275">
        <v>1</v>
      </c>
      <c r="G275">
        <v>1</v>
      </c>
      <c r="H275" t="s">
        <v>1572</v>
      </c>
      <c r="I275" t="s">
        <v>211</v>
      </c>
      <c r="J275" t="s">
        <v>212</v>
      </c>
    </row>
    <row r="276" spans="1:10" x14ac:dyDescent="0.3">
      <c r="A276" t="s">
        <v>1573</v>
      </c>
      <c r="B276" t="s">
        <v>1117</v>
      </c>
      <c r="C276" t="s">
        <v>1120</v>
      </c>
      <c r="D276" t="s">
        <v>1153</v>
      </c>
      <c r="E276" t="s">
        <v>338</v>
      </c>
      <c r="F276">
        <v>1</v>
      </c>
      <c r="G276">
        <v>1</v>
      </c>
      <c r="H276" t="s">
        <v>1574</v>
      </c>
      <c r="I276" t="s">
        <v>211</v>
      </c>
      <c r="J276" t="s">
        <v>212</v>
      </c>
    </row>
    <row r="277" spans="1:10" x14ac:dyDescent="0.3">
      <c r="A277" t="s">
        <v>1575</v>
      </c>
      <c r="B277" t="s">
        <v>1120</v>
      </c>
      <c r="C277" t="s">
        <v>1125</v>
      </c>
      <c r="D277" t="s">
        <v>1153</v>
      </c>
      <c r="E277" t="s">
        <v>338</v>
      </c>
      <c r="F277">
        <v>1</v>
      </c>
      <c r="G277">
        <v>1</v>
      </c>
      <c r="H277" t="s">
        <v>1576</v>
      </c>
      <c r="I277" t="s">
        <v>211</v>
      </c>
      <c r="J277" t="s">
        <v>212</v>
      </c>
    </row>
    <row r="278" spans="1:10" x14ac:dyDescent="0.3">
      <c r="A278" t="s">
        <v>1577</v>
      </c>
      <c r="B278" t="s">
        <v>1125</v>
      </c>
      <c r="C278" t="s">
        <v>1129</v>
      </c>
      <c r="D278" t="s">
        <v>1153</v>
      </c>
      <c r="E278" t="s">
        <v>338</v>
      </c>
      <c r="F278">
        <v>1</v>
      </c>
      <c r="G278">
        <v>1</v>
      </c>
      <c r="H278" t="s">
        <v>1578</v>
      </c>
      <c r="I278" t="s">
        <v>211</v>
      </c>
      <c r="J278" t="s">
        <v>212</v>
      </c>
    </row>
    <row r="279" spans="1:10" x14ac:dyDescent="0.3">
      <c r="A279" t="s">
        <v>1579</v>
      </c>
      <c r="B279" t="s">
        <v>1129</v>
      </c>
      <c r="C279" t="s">
        <v>1133</v>
      </c>
      <c r="D279" t="s">
        <v>1153</v>
      </c>
      <c r="E279" t="s">
        <v>338</v>
      </c>
      <c r="F279">
        <v>1</v>
      </c>
      <c r="G279">
        <v>1</v>
      </c>
      <c r="H279" t="s">
        <v>1580</v>
      </c>
      <c r="I279" t="s">
        <v>211</v>
      </c>
      <c r="J279" t="s">
        <v>212</v>
      </c>
    </row>
    <row r="280" spans="1:10" x14ac:dyDescent="0.3">
      <c r="A280" t="s">
        <v>1581</v>
      </c>
      <c r="B280" t="s">
        <v>1133</v>
      </c>
      <c r="C280" t="s">
        <v>1138</v>
      </c>
      <c r="D280" t="s">
        <v>1153</v>
      </c>
      <c r="E280" t="s">
        <v>338</v>
      </c>
      <c r="F280">
        <v>1</v>
      </c>
      <c r="G280">
        <v>1</v>
      </c>
      <c r="H280" t="s">
        <v>1582</v>
      </c>
      <c r="I280" t="s">
        <v>211</v>
      </c>
      <c r="J280" t="s">
        <v>212</v>
      </c>
    </row>
    <row r="281" spans="1:10" x14ac:dyDescent="0.3">
      <c r="A281" t="s">
        <v>1583</v>
      </c>
      <c r="B281" t="s">
        <v>174</v>
      </c>
      <c r="C281" t="s">
        <v>1143</v>
      </c>
      <c r="D281" t="s">
        <v>1153</v>
      </c>
      <c r="E281" t="s">
        <v>338</v>
      </c>
      <c r="F281">
        <v>1</v>
      </c>
      <c r="G281">
        <v>1</v>
      </c>
      <c r="H281" t="s">
        <v>1584</v>
      </c>
      <c r="I281" t="s">
        <v>211</v>
      </c>
      <c r="J281" t="s">
        <v>212</v>
      </c>
    </row>
    <row r="282" spans="1:10" x14ac:dyDescent="0.3">
      <c r="A282" t="s">
        <v>1585</v>
      </c>
      <c r="B282" t="s">
        <v>179</v>
      </c>
      <c r="C282" t="s">
        <v>1143</v>
      </c>
      <c r="D282" t="s">
        <v>1153</v>
      </c>
      <c r="E282" t="s">
        <v>338</v>
      </c>
      <c r="F282">
        <v>1</v>
      </c>
      <c r="G282">
        <v>1</v>
      </c>
      <c r="H282" t="s">
        <v>1586</v>
      </c>
      <c r="I282" t="s">
        <v>211</v>
      </c>
      <c r="J282" t="s">
        <v>212</v>
      </c>
    </row>
    <row r="283" spans="1:10" x14ac:dyDescent="0.3">
      <c r="A283" t="s">
        <v>1587</v>
      </c>
      <c r="B283" t="s">
        <v>190</v>
      </c>
      <c r="C283" t="s">
        <v>1143</v>
      </c>
      <c r="D283" t="s">
        <v>1153</v>
      </c>
      <c r="E283" t="s">
        <v>338</v>
      </c>
      <c r="F283">
        <v>1</v>
      </c>
      <c r="G283">
        <v>1</v>
      </c>
      <c r="H283" t="s">
        <v>1588</v>
      </c>
      <c r="I283" t="s">
        <v>211</v>
      </c>
      <c r="J283" t="s">
        <v>212</v>
      </c>
    </row>
    <row r="284" spans="1:10" x14ac:dyDescent="0.3">
      <c r="A284" t="s">
        <v>1589</v>
      </c>
      <c r="B284" t="s">
        <v>1065</v>
      </c>
      <c r="C284" t="s">
        <v>1143</v>
      </c>
      <c r="D284" t="s">
        <v>1153</v>
      </c>
      <c r="E284" t="s">
        <v>338</v>
      </c>
      <c r="F284">
        <v>1</v>
      </c>
      <c r="G284">
        <v>1</v>
      </c>
      <c r="H284" t="s">
        <v>1590</v>
      </c>
      <c r="I284" t="s">
        <v>211</v>
      </c>
      <c r="J284" t="s">
        <v>212</v>
      </c>
    </row>
    <row r="285" spans="1:10" x14ac:dyDescent="0.3">
      <c r="A285" t="s">
        <v>1591</v>
      </c>
      <c r="B285" t="s">
        <v>1068</v>
      </c>
      <c r="C285" t="s">
        <v>1143</v>
      </c>
      <c r="D285" t="s">
        <v>1153</v>
      </c>
      <c r="E285" t="s">
        <v>338</v>
      </c>
      <c r="F285">
        <v>1</v>
      </c>
      <c r="G285">
        <v>1</v>
      </c>
      <c r="H285" t="s">
        <v>1592</v>
      </c>
      <c r="I285" t="s">
        <v>211</v>
      </c>
      <c r="J285" t="s">
        <v>212</v>
      </c>
    </row>
    <row r="286" spans="1:10" x14ac:dyDescent="0.3">
      <c r="A286" t="s">
        <v>1593</v>
      </c>
      <c r="B286" t="s">
        <v>1065</v>
      </c>
      <c r="C286" t="s">
        <v>1148</v>
      </c>
      <c r="D286" t="s">
        <v>1153</v>
      </c>
      <c r="E286" t="s">
        <v>338</v>
      </c>
      <c r="F286">
        <v>1</v>
      </c>
      <c r="G286">
        <v>1</v>
      </c>
      <c r="H286" t="s">
        <v>1594</v>
      </c>
      <c r="I286" t="s">
        <v>211</v>
      </c>
      <c r="J286" t="s">
        <v>212</v>
      </c>
    </row>
    <row r="287" spans="1:10" x14ac:dyDescent="0.3">
      <c r="A287" t="s">
        <v>1595</v>
      </c>
      <c r="B287" t="s">
        <v>1068</v>
      </c>
      <c r="C287" t="s">
        <v>1148</v>
      </c>
      <c r="D287" t="s">
        <v>1153</v>
      </c>
      <c r="E287" t="s">
        <v>338</v>
      </c>
      <c r="F287">
        <v>1</v>
      </c>
      <c r="G287">
        <v>1</v>
      </c>
      <c r="H287" t="s">
        <v>1596</v>
      </c>
      <c r="I287" t="s">
        <v>211</v>
      </c>
      <c r="J287" t="s">
        <v>212</v>
      </c>
    </row>
    <row r="288" spans="1:10" x14ac:dyDescent="0.3">
      <c r="A288" t="s">
        <v>1597</v>
      </c>
      <c r="B288" t="s">
        <v>1143</v>
      </c>
      <c r="C288" t="s">
        <v>1148</v>
      </c>
      <c r="D288" t="s">
        <v>1153</v>
      </c>
      <c r="E288" t="s">
        <v>338</v>
      </c>
      <c r="F288">
        <v>1</v>
      </c>
      <c r="G288">
        <v>1</v>
      </c>
      <c r="H288" t="s">
        <v>1598</v>
      </c>
      <c r="I288" t="s">
        <v>211</v>
      </c>
      <c r="J288" t="s">
        <v>212</v>
      </c>
    </row>
    <row r="289" spans="1:10" x14ac:dyDescent="0.3">
      <c r="A289" t="s">
        <v>1648</v>
      </c>
      <c r="B289" t="s">
        <v>1109</v>
      </c>
      <c r="C289" t="s">
        <v>1599</v>
      </c>
      <c r="D289" t="s">
        <v>1153</v>
      </c>
      <c r="E289" t="s">
        <v>338</v>
      </c>
      <c r="F289">
        <v>1</v>
      </c>
      <c r="G289">
        <v>1</v>
      </c>
      <c r="H289" t="s">
        <v>1649</v>
      </c>
      <c r="I289" t="s">
        <v>211</v>
      </c>
      <c r="J289" t="s">
        <v>212</v>
      </c>
    </row>
    <row r="290" spans="1:10" x14ac:dyDescent="0.3">
      <c r="A290" t="s">
        <v>1650</v>
      </c>
      <c r="B290" t="s">
        <v>1599</v>
      </c>
      <c r="C290" t="s">
        <v>1632</v>
      </c>
      <c r="D290" t="s">
        <v>1153</v>
      </c>
      <c r="E290" t="s">
        <v>338</v>
      </c>
      <c r="F290">
        <v>1</v>
      </c>
      <c r="G290">
        <v>1</v>
      </c>
      <c r="H290" t="s">
        <v>1651</v>
      </c>
      <c r="I290" t="s">
        <v>211</v>
      </c>
      <c r="J290" t="s">
        <v>212</v>
      </c>
    </row>
    <row r="291" spans="1:10" x14ac:dyDescent="0.3">
      <c r="A291" t="s">
        <v>1652</v>
      </c>
      <c r="B291" t="s">
        <v>1599</v>
      </c>
      <c r="C291" t="s">
        <v>1636</v>
      </c>
      <c r="D291" t="s">
        <v>1153</v>
      </c>
      <c r="E291" t="s">
        <v>338</v>
      </c>
      <c r="F291">
        <v>1</v>
      </c>
      <c r="G291">
        <v>1</v>
      </c>
      <c r="H291" t="s">
        <v>1653</v>
      </c>
      <c r="I291" t="s">
        <v>211</v>
      </c>
      <c r="J291" t="s">
        <v>212</v>
      </c>
    </row>
    <row r="292" spans="1:10" x14ac:dyDescent="0.3">
      <c r="A292" t="s">
        <v>1654</v>
      </c>
      <c r="B292" t="s">
        <v>1636</v>
      </c>
      <c r="C292" t="s">
        <v>1627</v>
      </c>
      <c r="D292" t="s">
        <v>1153</v>
      </c>
      <c r="E292" t="s">
        <v>338</v>
      </c>
      <c r="F292">
        <v>1</v>
      </c>
      <c r="G292">
        <v>1</v>
      </c>
      <c r="H292" t="s">
        <v>1655</v>
      </c>
      <c r="I292" t="s">
        <v>211</v>
      </c>
      <c r="J292" t="s">
        <v>212</v>
      </c>
    </row>
    <row r="293" spans="1:10" x14ac:dyDescent="0.3">
      <c r="A293" t="s">
        <v>1656</v>
      </c>
      <c r="B293" t="s">
        <v>991</v>
      </c>
      <c r="C293" t="s">
        <v>1604</v>
      </c>
      <c r="D293" t="s">
        <v>1153</v>
      </c>
      <c r="E293" t="s">
        <v>338</v>
      </c>
      <c r="F293">
        <v>1</v>
      </c>
      <c r="G293">
        <v>1</v>
      </c>
      <c r="H293" t="s">
        <v>1657</v>
      </c>
      <c r="I293" t="s">
        <v>211</v>
      </c>
      <c r="J293" t="s">
        <v>212</v>
      </c>
    </row>
    <row r="294" spans="1:10" x14ac:dyDescent="0.3">
      <c r="A294" t="s">
        <v>1658</v>
      </c>
      <c r="B294" t="s">
        <v>545</v>
      </c>
      <c r="C294" t="s">
        <v>1604</v>
      </c>
      <c r="D294" t="s">
        <v>1153</v>
      </c>
      <c r="E294" t="s">
        <v>338</v>
      </c>
      <c r="F294">
        <v>1</v>
      </c>
      <c r="G294">
        <v>1</v>
      </c>
      <c r="H294" t="s">
        <v>1659</v>
      </c>
      <c r="I294" t="s">
        <v>211</v>
      </c>
      <c r="J294" t="s">
        <v>212</v>
      </c>
    </row>
    <row r="295" spans="1:10" x14ac:dyDescent="0.3">
      <c r="A295" t="s">
        <v>1660</v>
      </c>
      <c r="B295" t="s">
        <v>805</v>
      </c>
      <c r="C295" t="s">
        <v>1604</v>
      </c>
      <c r="D295" t="s">
        <v>1153</v>
      </c>
      <c r="E295" t="s">
        <v>338</v>
      </c>
      <c r="F295">
        <v>1</v>
      </c>
      <c r="G295">
        <v>1</v>
      </c>
      <c r="H295" t="s">
        <v>1661</v>
      </c>
      <c r="I295" t="s">
        <v>211</v>
      </c>
      <c r="J295" t="s">
        <v>212</v>
      </c>
    </row>
    <row r="296" spans="1:10" x14ac:dyDescent="0.3">
      <c r="A296" t="s">
        <v>1662</v>
      </c>
      <c r="B296" t="s">
        <v>1604</v>
      </c>
      <c r="C296" t="s">
        <v>1609</v>
      </c>
      <c r="D296" t="s">
        <v>1153</v>
      </c>
      <c r="E296" t="s">
        <v>338</v>
      </c>
      <c r="F296">
        <v>1</v>
      </c>
      <c r="G296">
        <v>1</v>
      </c>
      <c r="H296" t="s">
        <v>1663</v>
      </c>
      <c r="I296" t="s">
        <v>211</v>
      </c>
      <c r="J296" t="s">
        <v>212</v>
      </c>
    </row>
    <row r="297" spans="1:10" x14ac:dyDescent="0.3">
      <c r="A297" t="s">
        <v>1664</v>
      </c>
      <c r="B297" t="s">
        <v>1609</v>
      </c>
      <c r="C297" t="s">
        <v>1614</v>
      </c>
      <c r="D297" t="s">
        <v>1153</v>
      </c>
      <c r="E297" t="s">
        <v>338</v>
      </c>
      <c r="F297">
        <v>1</v>
      </c>
      <c r="G297">
        <v>1</v>
      </c>
      <c r="H297" t="s">
        <v>1665</v>
      </c>
      <c r="I297" t="s">
        <v>211</v>
      </c>
      <c r="J297" t="s">
        <v>212</v>
      </c>
    </row>
    <row r="298" spans="1:10" x14ac:dyDescent="0.3">
      <c r="A298" t="s">
        <v>1666</v>
      </c>
      <c r="B298" t="s">
        <v>884</v>
      </c>
      <c r="C298" t="s">
        <v>1614</v>
      </c>
      <c r="D298" t="s">
        <v>1153</v>
      </c>
      <c r="E298" t="s">
        <v>338</v>
      </c>
      <c r="F298">
        <v>1</v>
      </c>
      <c r="G298">
        <v>1</v>
      </c>
      <c r="H298" t="s">
        <v>1667</v>
      </c>
      <c r="I298" t="s">
        <v>211</v>
      </c>
      <c r="J298" t="s">
        <v>212</v>
      </c>
    </row>
    <row r="299" spans="1:10" x14ac:dyDescent="0.3">
      <c r="A299" t="s">
        <v>1668</v>
      </c>
      <c r="B299" t="s">
        <v>1604</v>
      </c>
      <c r="C299" t="s">
        <v>1619</v>
      </c>
      <c r="D299" t="s">
        <v>1153</v>
      </c>
      <c r="E299" t="s">
        <v>338</v>
      </c>
      <c r="F299">
        <v>1</v>
      </c>
      <c r="G299">
        <v>1</v>
      </c>
      <c r="H299" t="s">
        <v>1669</v>
      </c>
      <c r="I299" t="s">
        <v>211</v>
      </c>
      <c r="J299" t="s">
        <v>212</v>
      </c>
    </row>
    <row r="300" spans="1:10" x14ac:dyDescent="0.3">
      <c r="A300" t="s">
        <v>1670</v>
      </c>
      <c r="B300" t="s">
        <v>1609</v>
      </c>
      <c r="C300" t="s">
        <v>1619</v>
      </c>
      <c r="D300" t="s">
        <v>1153</v>
      </c>
      <c r="E300" t="s">
        <v>338</v>
      </c>
      <c r="F300">
        <v>1</v>
      </c>
      <c r="G300">
        <v>1</v>
      </c>
      <c r="H300" t="s">
        <v>1671</v>
      </c>
      <c r="I300" t="s">
        <v>211</v>
      </c>
      <c r="J300" t="s">
        <v>212</v>
      </c>
    </row>
    <row r="301" spans="1:10" x14ac:dyDescent="0.3">
      <c r="A301" t="s">
        <v>1672</v>
      </c>
      <c r="B301" t="s">
        <v>1619</v>
      </c>
      <c r="C301" t="s">
        <v>1640</v>
      </c>
      <c r="D301" t="s">
        <v>1153</v>
      </c>
      <c r="E301" t="s">
        <v>338</v>
      </c>
      <c r="F301">
        <v>1</v>
      </c>
      <c r="G301">
        <v>1</v>
      </c>
      <c r="H301" t="s">
        <v>1673</v>
      </c>
      <c r="I301" t="s">
        <v>211</v>
      </c>
      <c r="J301" t="s">
        <v>212</v>
      </c>
    </row>
    <row r="302" spans="1:10" x14ac:dyDescent="0.3">
      <c r="A302" t="s">
        <v>1674</v>
      </c>
      <c r="B302" t="s">
        <v>1604</v>
      </c>
      <c r="C302" t="s">
        <v>1623</v>
      </c>
      <c r="D302" t="s">
        <v>1153</v>
      </c>
      <c r="E302" t="s">
        <v>338</v>
      </c>
      <c r="F302">
        <v>1</v>
      </c>
      <c r="G302">
        <v>1</v>
      </c>
      <c r="H302" t="s">
        <v>1675</v>
      </c>
      <c r="I302" t="s">
        <v>211</v>
      </c>
      <c r="J302" t="s">
        <v>212</v>
      </c>
    </row>
    <row r="303" spans="1:10" x14ac:dyDescent="0.3">
      <c r="A303" t="s">
        <v>1676</v>
      </c>
      <c r="B303" t="s">
        <v>1623</v>
      </c>
      <c r="C303" t="s">
        <v>1627</v>
      </c>
      <c r="D303" t="s">
        <v>1153</v>
      </c>
      <c r="E303" t="s">
        <v>338</v>
      </c>
      <c r="F303">
        <v>1</v>
      </c>
      <c r="G303">
        <v>1</v>
      </c>
      <c r="H303" t="s">
        <v>1677</v>
      </c>
      <c r="I303" t="s">
        <v>211</v>
      </c>
      <c r="J303" t="s">
        <v>212</v>
      </c>
    </row>
    <row r="304" spans="1:10" x14ac:dyDescent="0.3">
      <c r="A304" t="s">
        <v>1678</v>
      </c>
      <c r="B304" t="s">
        <v>1614</v>
      </c>
      <c r="C304" t="s">
        <v>1627</v>
      </c>
      <c r="D304" t="s">
        <v>1153</v>
      </c>
      <c r="E304" t="s">
        <v>338</v>
      </c>
      <c r="F304">
        <v>1</v>
      </c>
      <c r="G304">
        <v>1</v>
      </c>
      <c r="H304" t="s">
        <v>1679</v>
      </c>
      <c r="I304" t="s">
        <v>211</v>
      </c>
      <c r="J304" t="s">
        <v>212</v>
      </c>
    </row>
    <row r="305" spans="1:10" x14ac:dyDescent="0.3">
      <c r="A305" t="s">
        <v>1680</v>
      </c>
      <c r="B305" t="s">
        <v>1599</v>
      </c>
      <c r="C305" t="s">
        <v>1627</v>
      </c>
      <c r="D305" t="s">
        <v>1153</v>
      </c>
      <c r="E305" t="s">
        <v>338</v>
      </c>
      <c r="F305">
        <v>1</v>
      </c>
      <c r="G305">
        <v>1</v>
      </c>
      <c r="H305" t="s">
        <v>1681</v>
      </c>
      <c r="I305" t="s">
        <v>211</v>
      </c>
      <c r="J305" t="s">
        <v>212</v>
      </c>
    </row>
    <row r="306" spans="1:10" x14ac:dyDescent="0.3">
      <c r="A306" t="s">
        <v>1682</v>
      </c>
      <c r="B306" t="s">
        <v>1604</v>
      </c>
      <c r="C306" t="s">
        <v>1644</v>
      </c>
      <c r="D306" t="s">
        <v>1153</v>
      </c>
      <c r="E306" t="s">
        <v>338</v>
      </c>
      <c r="F306">
        <v>1</v>
      </c>
      <c r="G306">
        <v>1</v>
      </c>
      <c r="H306" t="s">
        <v>1683</v>
      </c>
      <c r="I306" t="s">
        <v>211</v>
      </c>
      <c r="J306" t="s">
        <v>212</v>
      </c>
    </row>
    <row r="307" spans="1:10" x14ac:dyDescent="0.3">
      <c r="A307" t="s">
        <v>1684</v>
      </c>
      <c r="B307" t="s">
        <v>545</v>
      </c>
      <c r="C307" t="s">
        <v>1644</v>
      </c>
      <c r="D307" t="s">
        <v>1153</v>
      </c>
      <c r="E307" t="s">
        <v>338</v>
      </c>
      <c r="F307">
        <v>1</v>
      </c>
      <c r="G307">
        <v>1</v>
      </c>
      <c r="H307" t="s">
        <v>1685</v>
      </c>
      <c r="I307" t="s">
        <v>211</v>
      </c>
      <c r="J307" t="s">
        <v>212</v>
      </c>
    </row>
    <row r="308" spans="1:10" x14ac:dyDescent="0.3">
      <c r="A308" t="s">
        <v>1686</v>
      </c>
      <c r="B308" t="s">
        <v>560</v>
      </c>
      <c r="C308" t="s">
        <v>1604</v>
      </c>
      <c r="D308" t="s">
        <v>1153</v>
      </c>
      <c r="E308" t="s">
        <v>338</v>
      </c>
      <c r="F308">
        <v>1</v>
      </c>
      <c r="G308">
        <v>1</v>
      </c>
      <c r="H308" t="s">
        <v>1687</v>
      </c>
      <c r="I308" t="s">
        <v>211</v>
      </c>
      <c r="J308" t="s">
        <v>212</v>
      </c>
    </row>
    <row r="309" spans="1:10" x14ac:dyDescent="0.3">
      <c r="A309" t="s">
        <v>1688</v>
      </c>
      <c r="B309" t="s">
        <v>1071</v>
      </c>
      <c r="C309" t="s">
        <v>1604</v>
      </c>
      <c r="D309" t="s">
        <v>1153</v>
      </c>
      <c r="E309" t="s">
        <v>338</v>
      </c>
      <c r="F309">
        <v>1</v>
      </c>
      <c r="G309">
        <v>1</v>
      </c>
      <c r="H309" t="s">
        <v>1689</v>
      </c>
      <c r="I309" t="s">
        <v>211</v>
      </c>
      <c r="J309" t="s">
        <v>212</v>
      </c>
    </row>
    <row r="310" spans="1:10" x14ac:dyDescent="0.3">
      <c r="A310" t="s">
        <v>1690</v>
      </c>
      <c r="B310" t="s">
        <v>1075</v>
      </c>
      <c r="C310" t="s">
        <v>1599</v>
      </c>
      <c r="D310" t="s">
        <v>1153</v>
      </c>
      <c r="E310" t="s">
        <v>338</v>
      </c>
      <c r="F310">
        <v>1</v>
      </c>
      <c r="G310">
        <v>1</v>
      </c>
      <c r="H310" t="s">
        <v>1691</v>
      </c>
      <c r="I310" t="s">
        <v>211</v>
      </c>
      <c r="J310" t="s">
        <v>212</v>
      </c>
    </row>
    <row r="311" spans="1:10" x14ac:dyDescent="0.3">
      <c r="A311" t="s">
        <v>1692</v>
      </c>
      <c r="B311" t="s">
        <v>1143</v>
      </c>
      <c r="C311" t="s">
        <v>1619</v>
      </c>
      <c r="D311" t="s">
        <v>1153</v>
      </c>
      <c r="E311" t="s">
        <v>338</v>
      </c>
      <c r="F311">
        <v>1</v>
      </c>
      <c r="G311">
        <v>1</v>
      </c>
      <c r="H311" t="s">
        <v>1693</v>
      </c>
      <c r="I311" t="s">
        <v>211</v>
      </c>
      <c r="J311" t="s">
        <v>212</v>
      </c>
    </row>
    <row r="312" spans="1:10" x14ac:dyDescent="0.3">
      <c r="A312" t="s">
        <v>1694</v>
      </c>
      <c r="B312" t="s">
        <v>719</v>
      </c>
      <c r="C312" t="s">
        <v>1609</v>
      </c>
      <c r="D312" t="s">
        <v>1153</v>
      </c>
      <c r="E312" t="s">
        <v>338</v>
      </c>
      <c r="F312">
        <v>1</v>
      </c>
      <c r="G312">
        <v>1</v>
      </c>
      <c r="H312" t="s">
        <v>1695</v>
      </c>
      <c r="I312" t="s">
        <v>211</v>
      </c>
      <c r="J312" t="s">
        <v>212</v>
      </c>
    </row>
    <row r="313" spans="1:10" x14ac:dyDescent="0.3">
      <c r="A313" t="s">
        <v>1696</v>
      </c>
      <c r="B313" t="s">
        <v>587</v>
      </c>
      <c r="C313" t="s">
        <v>1604</v>
      </c>
      <c r="D313" t="s">
        <v>1153</v>
      </c>
      <c r="E313" t="s">
        <v>338</v>
      </c>
      <c r="F313">
        <v>1</v>
      </c>
      <c r="G313">
        <v>1</v>
      </c>
      <c r="H313" t="s">
        <v>1697</v>
      </c>
      <c r="I313" t="s">
        <v>211</v>
      </c>
      <c r="J313" t="s">
        <v>212</v>
      </c>
    </row>
    <row r="314" spans="1:10" x14ac:dyDescent="0.3">
      <c r="A314" t="s">
        <v>1698</v>
      </c>
      <c r="B314" t="s">
        <v>1640</v>
      </c>
      <c r="C314" t="s">
        <v>1148</v>
      </c>
      <c r="D314" t="s">
        <v>1153</v>
      </c>
      <c r="E314" t="s">
        <v>338</v>
      </c>
      <c r="F314">
        <v>1</v>
      </c>
      <c r="G314">
        <v>1</v>
      </c>
      <c r="H314" t="s">
        <v>1699</v>
      </c>
      <c r="I314" t="s">
        <v>211</v>
      </c>
      <c r="J314" t="s">
        <v>212</v>
      </c>
    </row>
    <row r="315" spans="1:10" x14ac:dyDescent="0.3">
      <c r="A315" t="s">
        <v>1700</v>
      </c>
      <c r="B315" t="s">
        <v>1120</v>
      </c>
      <c r="C315" t="s">
        <v>1604</v>
      </c>
      <c r="D315" t="s">
        <v>1153</v>
      </c>
      <c r="E315" t="s">
        <v>338</v>
      </c>
      <c r="F315">
        <v>1</v>
      </c>
      <c r="G315">
        <v>1</v>
      </c>
      <c r="H315" t="s">
        <v>1701</v>
      </c>
      <c r="I315" t="s">
        <v>211</v>
      </c>
      <c r="J315" t="s">
        <v>212</v>
      </c>
    </row>
    <row r="316" spans="1:10" x14ac:dyDescent="0.3">
      <c r="A316" t="s">
        <v>1702</v>
      </c>
      <c r="B316" t="s">
        <v>1129</v>
      </c>
      <c r="C316" t="s">
        <v>1614</v>
      </c>
      <c r="D316" t="s">
        <v>1153</v>
      </c>
      <c r="E316" t="s">
        <v>338</v>
      </c>
      <c r="F316">
        <v>1</v>
      </c>
      <c r="G316">
        <v>1</v>
      </c>
      <c r="H316" t="s">
        <v>1703</v>
      </c>
      <c r="I316" t="s">
        <v>211</v>
      </c>
      <c r="J316" t="s">
        <v>212</v>
      </c>
    </row>
    <row r="317" spans="1:10" x14ac:dyDescent="0.3">
      <c r="A317" t="s">
        <v>1704</v>
      </c>
      <c r="B317" t="s">
        <v>1644</v>
      </c>
      <c r="C317" t="s">
        <v>1627</v>
      </c>
      <c r="D317" t="s">
        <v>1153</v>
      </c>
      <c r="E317" t="s">
        <v>338</v>
      </c>
      <c r="F317">
        <v>1</v>
      </c>
      <c r="G317">
        <v>1</v>
      </c>
      <c r="H317" t="s">
        <v>1705</v>
      </c>
      <c r="I317" t="s">
        <v>211</v>
      </c>
      <c r="J317" t="s">
        <v>212</v>
      </c>
    </row>
    <row r="318" spans="1:10" x14ac:dyDescent="0.3">
      <c r="A318" t="s">
        <v>1706</v>
      </c>
      <c r="B318" t="s">
        <v>1002</v>
      </c>
      <c r="C318" t="s">
        <v>1609</v>
      </c>
      <c r="D318" t="s">
        <v>1153</v>
      </c>
      <c r="E318" t="s">
        <v>338</v>
      </c>
      <c r="F318">
        <v>1</v>
      </c>
      <c r="G318">
        <v>1</v>
      </c>
      <c r="H318" t="s">
        <v>1707</v>
      </c>
      <c r="I318" t="s">
        <v>211</v>
      </c>
      <c r="J318" t="s">
        <v>212</v>
      </c>
    </row>
    <row r="319" spans="1:10" x14ac:dyDescent="0.3">
      <c r="A319" t="s">
        <v>1729</v>
      </c>
      <c r="B319" t="s">
        <v>1604</v>
      </c>
      <c r="C319" t="s">
        <v>1720</v>
      </c>
      <c r="D319" t="s">
        <v>1153</v>
      </c>
      <c r="E319" t="s">
        <v>338</v>
      </c>
      <c r="F319">
        <v>1</v>
      </c>
      <c r="G319">
        <v>1</v>
      </c>
      <c r="H319" t="s">
        <v>1730</v>
      </c>
      <c r="I319" t="s">
        <v>211</v>
      </c>
      <c r="J319" t="s">
        <v>212</v>
      </c>
    </row>
    <row r="320" spans="1:10" x14ac:dyDescent="0.3">
      <c r="A320" t="s">
        <v>1731</v>
      </c>
      <c r="B320" t="s">
        <v>884</v>
      </c>
      <c r="C320" t="s">
        <v>1720</v>
      </c>
      <c r="D320" t="s">
        <v>1153</v>
      </c>
      <c r="E320" t="s">
        <v>338</v>
      </c>
      <c r="F320">
        <v>1</v>
      </c>
      <c r="G320">
        <v>1</v>
      </c>
      <c r="H320" t="s">
        <v>1732</v>
      </c>
      <c r="I320" t="s">
        <v>211</v>
      </c>
      <c r="J320" t="s">
        <v>212</v>
      </c>
    </row>
    <row r="321" spans="1:10" x14ac:dyDescent="0.3">
      <c r="A321" t="s">
        <v>1733</v>
      </c>
      <c r="B321" t="s">
        <v>1614</v>
      </c>
      <c r="C321" t="s">
        <v>1720</v>
      </c>
      <c r="D321" t="s">
        <v>1153</v>
      </c>
      <c r="E321" t="s">
        <v>338</v>
      </c>
      <c r="F321">
        <v>1</v>
      </c>
      <c r="G321">
        <v>1</v>
      </c>
      <c r="H321" t="s">
        <v>1734</v>
      </c>
      <c r="I321" t="s">
        <v>211</v>
      </c>
      <c r="J321" t="s">
        <v>212</v>
      </c>
    </row>
    <row r="322" spans="1:10" x14ac:dyDescent="0.3">
      <c r="A322" t="s">
        <v>1735</v>
      </c>
      <c r="B322" t="s">
        <v>1720</v>
      </c>
      <c r="C322" t="s">
        <v>1627</v>
      </c>
      <c r="D322" t="s">
        <v>1153</v>
      </c>
      <c r="E322" t="s">
        <v>338</v>
      </c>
      <c r="F322">
        <v>1</v>
      </c>
      <c r="G322">
        <v>1</v>
      </c>
      <c r="H322" t="s">
        <v>1736</v>
      </c>
      <c r="I322" t="s">
        <v>211</v>
      </c>
      <c r="J322" t="s">
        <v>212</v>
      </c>
    </row>
    <row r="323" spans="1:10" x14ac:dyDescent="0.3">
      <c r="A323" t="s">
        <v>1737</v>
      </c>
      <c r="B323" t="s">
        <v>1054</v>
      </c>
      <c r="C323" t="s">
        <v>1725</v>
      </c>
      <c r="D323" t="s">
        <v>1153</v>
      </c>
      <c r="E323" t="s">
        <v>338</v>
      </c>
      <c r="F323">
        <v>1</v>
      </c>
      <c r="G323">
        <v>1</v>
      </c>
      <c r="H323" t="s">
        <v>1738</v>
      </c>
      <c r="I323" t="s">
        <v>211</v>
      </c>
      <c r="J323" t="s">
        <v>212</v>
      </c>
    </row>
    <row r="324" spans="1:10" x14ac:dyDescent="0.3">
      <c r="A324" t="s">
        <v>1739</v>
      </c>
      <c r="B324" t="s">
        <v>181</v>
      </c>
      <c r="C324" t="s">
        <v>1725</v>
      </c>
      <c r="D324" t="s">
        <v>1153</v>
      </c>
      <c r="E324" t="s">
        <v>338</v>
      </c>
      <c r="F324">
        <v>1</v>
      </c>
      <c r="G324">
        <v>1</v>
      </c>
      <c r="H324" t="s">
        <v>1740</v>
      </c>
      <c r="I324" t="s">
        <v>211</v>
      </c>
      <c r="J324" t="s">
        <v>212</v>
      </c>
    </row>
    <row r="325" spans="1:10" x14ac:dyDescent="0.3">
      <c r="A325" t="s">
        <v>1741</v>
      </c>
      <c r="B325" t="s">
        <v>1725</v>
      </c>
      <c r="C325" t="s">
        <v>1720</v>
      </c>
      <c r="D325" t="s">
        <v>1153</v>
      </c>
      <c r="E325" t="s">
        <v>338</v>
      </c>
      <c r="F325">
        <v>1</v>
      </c>
      <c r="G325">
        <v>1</v>
      </c>
      <c r="H325" t="s">
        <v>1742</v>
      </c>
      <c r="I325" t="s">
        <v>211</v>
      </c>
      <c r="J325" t="s">
        <v>212</v>
      </c>
    </row>
    <row r="326" spans="1:10" x14ac:dyDescent="0.3">
      <c r="A326" t="s">
        <v>1743</v>
      </c>
      <c r="B326" t="s">
        <v>1599</v>
      </c>
      <c r="C326" t="s">
        <v>1720</v>
      </c>
      <c r="D326" t="s">
        <v>1153</v>
      </c>
      <c r="E326" t="s">
        <v>338</v>
      </c>
      <c r="F326">
        <v>1</v>
      </c>
      <c r="G326">
        <v>1</v>
      </c>
      <c r="H326" t="s">
        <v>1744</v>
      </c>
      <c r="I326" t="s">
        <v>211</v>
      </c>
      <c r="J326" t="s">
        <v>212</v>
      </c>
    </row>
    <row r="327" spans="1:10" x14ac:dyDescent="0.3">
      <c r="A327" t="s">
        <v>1964</v>
      </c>
      <c r="B327" t="s">
        <v>138</v>
      </c>
      <c r="C327" t="s">
        <v>695</v>
      </c>
      <c r="D327" t="s">
        <v>204</v>
      </c>
      <c r="E327" t="s">
        <v>205</v>
      </c>
      <c r="F327">
        <v>1</v>
      </c>
      <c r="G327">
        <v>1</v>
      </c>
      <c r="H327" t="s">
        <v>1965</v>
      </c>
      <c r="I327" t="s">
        <v>211</v>
      </c>
      <c r="J327" t="s">
        <v>212</v>
      </c>
    </row>
    <row r="328" spans="1:10" x14ac:dyDescent="0.3">
      <c r="A328" t="s">
        <v>1966</v>
      </c>
      <c r="B328" t="s">
        <v>138</v>
      </c>
      <c r="C328" t="s">
        <v>699</v>
      </c>
      <c r="D328" t="s">
        <v>204</v>
      </c>
      <c r="E328" t="s">
        <v>205</v>
      </c>
      <c r="F328">
        <v>1</v>
      </c>
      <c r="G328">
        <v>1</v>
      </c>
      <c r="H328" t="s">
        <v>1967</v>
      </c>
      <c r="I328" t="s">
        <v>211</v>
      </c>
      <c r="J328" t="s">
        <v>212</v>
      </c>
    </row>
    <row r="329" spans="1:10" x14ac:dyDescent="0.3">
      <c r="A329" t="s">
        <v>1968</v>
      </c>
      <c r="B329" t="s">
        <v>138</v>
      </c>
      <c r="C329" t="s">
        <v>703</v>
      </c>
      <c r="D329" t="s">
        <v>204</v>
      </c>
      <c r="E329" t="s">
        <v>205</v>
      </c>
      <c r="F329">
        <v>1</v>
      </c>
      <c r="G329">
        <v>1</v>
      </c>
      <c r="H329" t="s">
        <v>1969</v>
      </c>
      <c r="I329" t="s">
        <v>211</v>
      </c>
      <c r="J329" t="s">
        <v>212</v>
      </c>
    </row>
    <row r="330" spans="1:10" x14ac:dyDescent="0.3">
      <c r="A330" t="s">
        <v>1970</v>
      </c>
      <c r="B330" t="s">
        <v>138</v>
      </c>
      <c r="C330" t="s">
        <v>706</v>
      </c>
      <c r="D330" t="s">
        <v>204</v>
      </c>
      <c r="E330" t="s">
        <v>205</v>
      </c>
      <c r="F330">
        <v>1</v>
      </c>
      <c r="G330">
        <v>1</v>
      </c>
      <c r="H330" t="s">
        <v>1971</v>
      </c>
      <c r="I330" t="s">
        <v>211</v>
      </c>
      <c r="J330" t="s">
        <v>212</v>
      </c>
    </row>
    <row r="331" spans="1:10" x14ac:dyDescent="0.3">
      <c r="A331" t="s">
        <v>1972</v>
      </c>
      <c r="B331" t="s">
        <v>138</v>
      </c>
      <c r="C331" t="s">
        <v>709</v>
      </c>
      <c r="D331" t="s">
        <v>204</v>
      </c>
      <c r="E331" t="s">
        <v>205</v>
      </c>
      <c r="F331">
        <v>1</v>
      </c>
      <c r="G331">
        <v>1</v>
      </c>
      <c r="H331" t="s">
        <v>1973</v>
      </c>
      <c r="I331" t="s">
        <v>211</v>
      </c>
      <c r="J331" t="s">
        <v>212</v>
      </c>
    </row>
    <row r="332" spans="1:10" x14ac:dyDescent="0.3">
      <c r="A332" t="s">
        <v>1974</v>
      </c>
      <c r="B332" t="s">
        <v>138</v>
      </c>
      <c r="C332" t="s">
        <v>712</v>
      </c>
      <c r="D332" t="s">
        <v>204</v>
      </c>
      <c r="E332" t="s">
        <v>205</v>
      </c>
      <c r="F332">
        <v>1</v>
      </c>
      <c r="G332">
        <v>1</v>
      </c>
      <c r="H332" t="s">
        <v>1975</v>
      </c>
      <c r="I332" t="s">
        <v>211</v>
      </c>
      <c r="J332" t="s">
        <v>212</v>
      </c>
    </row>
    <row r="333" spans="1:10" x14ac:dyDescent="0.3">
      <c r="A333" t="s">
        <v>1976</v>
      </c>
      <c r="B333" t="s">
        <v>138</v>
      </c>
      <c r="C333" t="s">
        <v>716</v>
      </c>
      <c r="D333" t="s">
        <v>204</v>
      </c>
      <c r="E333" t="s">
        <v>205</v>
      </c>
      <c r="F333">
        <v>1</v>
      </c>
      <c r="G333">
        <v>1</v>
      </c>
      <c r="H333" t="s">
        <v>1977</v>
      </c>
      <c r="I333" t="s">
        <v>211</v>
      </c>
      <c r="J333" t="s">
        <v>212</v>
      </c>
    </row>
    <row r="334" spans="1:10" x14ac:dyDescent="0.3">
      <c r="A334" t="s">
        <v>1978</v>
      </c>
      <c r="B334" t="s">
        <v>138</v>
      </c>
      <c r="C334" t="s">
        <v>719</v>
      </c>
      <c r="D334" t="s">
        <v>204</v>
      </c>
      <c r="E334" t="s">
        <v>205</v>
      </c>
      <c r="F334">
        <v>1</v>
      </c>
      <c r="G334">
        <v>1</v>
      </c>
      <c r="H334" t="s">
        <v>1979</v>
      </c>
      <c r="I334" t="s">
        <v>211</v>
      </c>
      <c r="J334" t="s">
        <v>212</v>
      </c>
    </row>
    <row r="335" spans="1:10" x14ac:dyDescent="0.3">
      <c r="A335" t="s">
        <v>1980</v>
      </c>
      <c r="B335" t="s">
        <v>141</v>
      </c>
      <c r="C335" t="s">
        <v>722</v>
      </c>
      <c r="D335" t="s">
        <v>204</v>
      </c>
      <c r="E335" t="s">
        <v>205</v>
      </c>
      <c r="F335">
        <v>1</v>
      </c>
      <c r="G335">
        <v>1</v>
      </c>
      <c r="H335" t="s">
        <v>1981</v>
      </c>
      <c r="I335" t="s">
        <v>211</v>
      </c>
      <c r="J335" t="s">
        <v>212</v>
      </c>
    </row>
    <row r="336" spans="1:10" x14ac:dyDescent="0.3">
      <c r="A336" t="s">
        <v>1982</v>
      </c>
      <c r="B336" t="s">
        <v>141</v>
      </c>
      <c r="C336" t="s">
        <v>727</v>
      </c>
      <c r="D336" t="s">
        <v>204</v>
      </c>
      <c r="E336" t="s">
        <v>205</v>
      </c>
      <c r="F336">
        <v>1</v>
      </c>
      <c r="G336">
        <v>1</v>
      </c>
      <c r="H336" t="s">
        <v>1983</v>
      </c>
      <c r="I336" t="s">
        <v>211</v>
      </c>
      <c r="J336" t="s">
        <v>212</v>
      </c>
    </row>
    <row r="337" spans="1:10" x14ac:dyDescent="0.3">
      <c r="A337" t="s">
        <v>1984</v>
      </c>
      <c r="B337" t="s">
        <v>171</v>
      </c>
      <c r="C337" t="s">
        <v>884</v>
      </c>
      <c r="D337" t="s">
        <v>204</v>
      </c>
      <c r="E337" t="s">
        <v>205</v>
      </c>
      <c r="F337">
        <v>1</v>
      </c>
      <c r="G337">
        <v>1</v>
      </c>
      <c r="H337" t="s">
        <v>1985</v>
      </c>
      <c r="I337" t="s">
        <v>211</v>
      </c>
      <c r="J337" t="s">
        <v>212</v>
      </c>
    </row>
    <row r="338" spans="1:10" x14ac:dyDescent="0.3">
      <c r="A338" t="s">
        <v>1986</v>
      </c>
      <c r="B338" t="s">
        <v>171</v>
      </c>
      <c r="C338" t="s">
        <v>887</v>
      </c>
      <c r="D338" t="s">
        <v>204</v>
      </c>
      <c r="E338" t="s">
        <v>205</v>
      </c>
      <c r="F338">
        <v>1</v>
      </c>
      <c r="G338">
        <v>1</v>
      </c>
      <c r="H338" t="s">
        <v>1987</v>
      </c>
      <c r="I338" t="s">
        <v>207</v>
      </c>
      <c r="J338" t="s">
        <v>1988</v>
      </c>
    </row>
    <row r="339" spans="1:10" x14ac:dyDescent="0.3">
      <c r="A339" t="s">
        <v>1989</v>
      </c>
      <c r="B339" t="s">
        <v>171</v>
      </c>
      <c r="C339" t="s">
        <v>890</v>
      </c>
      <c r="D339" t="s">
        <v>204</v>
      </c>
      <c r="E339" t="s">
        <v>205</v>
      </c>
      <c r="F339">
        <v>1</v>
      </c>
      <c r="G339">
        <v>1</v>
      </c>
      <c r="H339" t="s">
        <v>1990</v>
      </c>
      <c r="I339" t="s">
        <v>207</v>
      </c>
      <c r="J339" t="s">
        <v>1991</v>
      </c>
    </row>
    <row r="340" spans="1:10" x14ac:dyDescent="0.3">
      <c r="A340" t="s">
        <v>1992</v>
      </c>
      <c r="B340" t="s">
        <v>171</v>
      </c>
      <c r="C340" t="s">
        <v>893</v>
      </c>
      <c r="D340" t="s">
        <v>204</v>
      </c>
      <c r="E340" t="s">
        <v>205</v>
      </c>
      <c r="F340">
        <v>1</v>
      </c>
      <c r="G340">
        <v>1</v>
      </c>
      <c r="H340" t="s">
        <v>1993</v>
      </c>
      <c r="I340" t="s">
        <v>207</v>
      </c>
      <c r="J340" t="s">
        <v>1994</v>
      </c>
    </row>
    <row r="341" spans="1:10" x14ac:dyDescent="0.3">
      <c r="A341" t="s">
        <v>1995</v>
      </c>
      <c r="B341" t="s">
        <v>171</v>
      </c>
      <c r="C341" t="s">
        <v>896</v>
      </c>
      <c r="D341" t="s">
        <v>204</v>
      </c>
      <c r="E341" t="s">
        <v>205</v>
      </c>
      <c r="F341">
        <v>1</v>
      </c>
      <c r="G341">
        <v>1</v>
      </c>
      <c r="H341" t="s">
        <v>1996</v>
      </c>
      <c r="I341" t="s">
        <v>207</v>
      </c>
      <c r="J341" t="s">
        <v>1997</v>
      </c>
    </row>
    <row r="342" spans="1:10" x14ac:dyDescent="0.3">
      <c r="A342" t="s">
        <v>1998</v>
      </c>
      <c r="B342" t="s">
        <v>171</v>
      </c>
      <c r="C342" t="s">
        <v>899</v>
      </c>
      <c r="D342" t="s">
        <v>204</v>
      </c>
      <c r="E342" t="s">
        <v>205</v>
      </c>
      <c r="F342">
        <v>1</v>
      </c>
      <c r="G342">
        <v>1</v>
      </c>
      <c r="H342" t="s">
        <v>1999</v>
      </c>
      <c r="I342" t="s">
        <v>207</v>
      </c>
      <c r="J342" t="s">
        <v>2000</v>
      </c>
    </row>
    <row r="343" spans="1:10" x14ac:dyDescent="0.3">
      <c r="A343" t="s">
        <v>2001</v>
      </c>
      <c r="B343" t="s">
        <v>104</v>
      </c>
      <c r="C343" t="s">
        <v>537</v>
      </c>
      <c r="D343" t="s">
        <v>204</v>
      </c>
      <c r="E343" t="s">
        <v>205</v>
      </c>
      <c r="F343">
        <v>1</v>
      </c>
      <c r="G343">
        <v>1</v>
      </c>
      <c r="H343" t="s">
        <v>2002</v>
      </c>
      <c r="I343" t="s">
        <v>211</v>
      </c>
      <c r="J343" t="s">
        <v>212</v>
      </c>
    </row>
    <row r="344" spans="1:10" x14ac:dyDescent="0.3">
      <c r="A344" t="s">
        <v>2003</v>
      </c>
      <c r="B344" t="s">
        <v>104</v>
      </c>
      <c r="C344" t="s">
        <v>541</v>
      </c>
      <c r="D344" t="s">
        <v>204</v>
      </c>
      <c r="E344" t="s">
        <v>205</v>
      </c>
      <c r="F344">
        <v>1</v>
      </c>
      <c r="G344">
        <v>1</v>
      </c>
      <c r="H344" t="s">
        <v>2004</v>
      </c>
      <c r="I344" t="s">
        <v>211</v>
      </c>
      <c r="J344" t="s">
        <v>212</v>
      </c>
    </row>
    <row r="345" spans="1:10" x14ac:dyDescent="0.3">
      <c r="A345" t="s">
        <v>2005</v>
      </c>
      <c r="B345" t="s">
        <v>104</v>
      </c>
      <c r="C345" t="s">
        <v>549</v>
      </c>
      <c r="D345" t="s">
        <v>204</v>
      </c>
      <c r="E345" t="s">
        <v>205</v>
      </c>
      <c r="F345">
        <v>1</v>
      </c>
      <c r="G345">
        <v>1</v>
      </c>
      <c r="H345" t="s">
        <v>2006</v>
      </c>
      <c r="I345" t="s">
        <v>211</v>
      </c>
      <c r="J345" t="s">
        <v>212</v>
      </c>
    </row>
    <row r="346" spans="1:10" x14ac:dyDescent="0.3">
      <c r="A346" t="s">
        <v>2007</v>
      </c>
      <c r="B346" t="s">
        <v>104</v>
      </c>
      <c r="C346" t="s">
        <v>554</v>
      </c>
      <c r="D346" t="s">
        <v>204</v>
      </c>
      <c r="E346" t="s">
        <v>205</v>
      </c>
      <c r="F346">
        <v>1</v>
      </c>
      <c r="G346">
        <v>1</v>
      </c>
      <c r="H346" t="s">
        <v>2008</v>
      </c>
      <c r="I346" t="s">
        <v>211</v>
      </c>
      <c r="J346" t="s">
        <v>212</v>
      </c>
    </row>
    <row r="347" spans="1:10" x14ac:dyDescent="0.3">
      <c r="A347" t="s">
        <v>2009</v>
      </c>
      <c r="B347" t="s">
        <v>104</v>
      </c>
      <c r="C347" t="s">
        <v>545</v>
      </c>
      <c r="D347" t="s">
        <v>204</v>
      </c>
      <c r="E347" t="s">
        <v>205</v>
      </c>
      <c r="F347">
        <v>1</v>
      </c>
      <c r="G347">
        <v>1</v>
      </c>
      <c r="H347" t="s">
        <v>2010</v>
      </c>
      <c r="I347" t="s">
        <v>211</v>
      </c>
      <c r="J347" t="s">
        <v>212</v>
      </c>
    </row>
    <row r="348" spans="1:10" x14ac:dyDescent="0.3">
      <c r="A348" t="s">
        <v>2011</v>
      </c>
      <c r="B348" t="s">
        <v>104</v>
      </c>
      <c r="C348" t="s">
        <v>557</v>
      </c>
      <c r="D348" t="s">
        <v>204</v>
      </c>
      <c r="E348" t="s">
        <v>205</v>
      </c>
      <c r="F348">
        <v>1</v>
      </c>
      <c r="G348">
        <v>1</v>
      </c>
      <c r="H348" t="s">
        <v>2012</v>
      </c>
      <c r="I348" t="s">
        <v>211</v>
      </c>
      <c r="J348" t="s">
        <v>212</v>
      </c>
    </row>
    <row r="349" spans="1:10" x14ac:dyDescent="0.3">
      <c r="A349" t="s">
        <v>2013</v>
      </c>
      <c r="B349" t="s">
        <v>104</v>
      </c>
      <c r="C349" t="s">
        <v>560</v>
      </c>
      <c r="D349" t="s">
        <v>204</v>
      </c>
      <c r="E349" t="s">
        <v>205</v>
      </c>
      <c r="F349">
        <v>1</v>
      </c>
      <c r="G349">
        <v>1</v>
      </c>
      <c r="H349" t="s">
        <v>2014</v>
      </c>
      <c r="I349" t="s">
        <v>211</v>
      </c>
      <c r="J349" t="s">
        <v>212</v>
      </c>
    </row>
    <row r="350" spans="1:10" x14ac:dyDescent="0.3">
      <c r="A350" t="s">
        <v>2015</v>
      </c>
      <c r="B350" t="s">
        <v>104</v>
      </c>
      <c r="C350" t="s">
        <v>564</v>
      </c>
      <c r="D350" t="s">
        <v>204</v>
      </c>
      <c r="E350" t="s">
        <v>205</v>
      </c>
      <c r="F350">
        <v>1</v>
      </c>
      <c r="G350">
        <v>1</v>
      </c>
      <c r="H350" t="s">
        <v>2016</v>
      </c>
      <c r="I350" t="s">
        <v>211</v>
      </c>
      <c r="J350" t="s">
        <v>212</v>
      </c>
    </row>
    <row r="351" spans="1:10" x14ac:dyDescent="0.3">
      <c r="A351" t="s">
        <v>2017</v>
      </c>
      <c r="B351" t="s">
        <v>104</v>
      </c>
      <c r="C351" t="s">
        <v>568</v>
      </c>
      <c r="D351" t="s">
        <v>204</v>
      </c>
      <c r="E351" t="s">
        <v>205</v>
      </c>
      <c r="F351">
        <v>1</v>
      </c>
      <c r="G351">
        <v>1</v>
      </c>
      <c r="H351" t="s">
        <v>2018</v>
      </c>
      <c r="I351" t="s">
        <v>211</v>
      </c>
      <c r="J351" t="s">
        <v>212</v>
      </c>
    </row>
    <row r="352" spans="1:10" x14ac:dyDescent="0.3">
      <c r="A352" t="s">
        <v>2019</v>
      </c>
      <c r="B352" t="s">
        <v>104</v>
      </c>
      <c r="C352" t="s">
        <v>596</v>
      </c>
      <c r="D352" t="s">
        <v>204</v>
      </c>
      <c r="E352" t="s">
        <v>205</v>
      </c>
      <c r="F352">
        <v>1</v>
      </c>
      <c r="G352">
        <v>1</v>
      </c>
      <c r="H352" t="s">
        <v>2020</v>
      </c>
      <c r="I352" t="s">
        <v>211</v>
      </c>
      <c r="J352" t="s">
        <v>212</v>
      </c>
    </row>
    <row r="353" spans="1:10" x14ac:dyDescent="0.3">
      <c r="A353" t="s">
        <v>2021</v>
      </c>
      <c r="B353" t="s">
        <v>104</v>
      </c>
      <c r="C353" t="s">
        <v>600</v>
      </c>
      <c r="D353" t="s">
        <v>204</v>
      </c>
      <c r="E353" t="s">
        <v>205</v>
      </c>
      <c r="F353">
        <v>1</v>
      </c>
      <c r="G353">
        <v>1</v>
      </c>
      <c r="H353" t="s">
        <v>2022</v>
      </c>
      <c r="I353" t="s">
        <v>211</v>
      </c>
      <c r="J353" t="s">
        <v>212</v>
      </c>
    </row>
    <row r="354" spans="1:10" x14ac:dyDescent="0.3">
      <c r="A354" t="s">
        <v>2023</v>
      </c>
      <c r="B354" t="s">
        <v>104</v>
      </c>
      <c r="C354" t="s">
        <v>603</v>
      </c>
      <c r="D354" t="s">
        <v>204</v>
      </c>
      <c r="E354" t="s">
        <v>205</v>
      </c>
      <c r="F354">
        <v>1</v>
      </c>
      <c r="G354">
        <v>1</v>
      </c>
      <c r="H354" t="s">
        <v>2024</v>
      </c>
      <c r="I354" t="s">
        <v>211</v>
      </c>
      <c r="J354" t="s">
        <v>212</v>
      </c>
    </row>
    <row r="355" spans="1:10" x14ac:dyDescent="0.3">
      <c r="A355" t="s">
        <v>2025</v>
      </c>
      <c r="B355" t="s">
        <v>104</v>
      </c>
      <c r="C355" t="s">
        <v>606</v>
      </c>
      <c r="D355" t="s">
        <v>204</v>
      </c>
      <c r="E355" t="s">
        <v>205</v>
      </c>
      <c r="F355">
        <v>1</v>
      </c>
      <c r="G355">
        <v>1</v>
      </c>
      <c r="H355" t="s">
        <v>2026</v>
      </c>
      <c r="I355" t="s">
        <v>211</v>
      </c>
      <c r="J355" t="s">
        <v>212</v>
      </c>
    </row>
    <row r="356" spans="1:10" x14ac:dyDescent="0.3">
      <c r="A356" t="s">
        <v>2051</v>
      </c>
      <c r="B356" t="s">
        <v>2033</v>
      </c>
      <c r="C356" t="s">
        <v>2039</v>
      </c>
      <c r="D356" t="s">
        <v>1153</v>
      </c>
      <c r="E356" t="s">
        <v>2052</v>
      </c>
      <c r="F356">
        <v>1</v>
      </c>
      <c r="G356">
        <v>1</v>
      </c>
      <c r="H356" t="s">
        <v>2053</v>
      </c>
      <c r="I356" t="s">
        <v>211</v>
      </c>
      <c r="J356" t="s">
        <v>212</v>
      </c>
    </row>
    <row r="357" spans="1:10" x14ac:dyDescent="0.3">
      <c r="A357" t="s">
        <v>2054</v>
      </c>
      <c r="B357" t="s">
        <v>2033</v>
      </c>
      <c r="C357" t="s">
        <v>2042</v>
      </c>
      <c r="D357" t="s">
        <v>1153</v>
      </c>
      <c r="E357" t="s">
        <v>2052</v>
      </c>
      <c r="F357">
        <v>1</v>
      </c>
      <c r="G357">
        <v>1</v>
      </c>
      <c r="H357" t="s">
        <v>2055</v>
      </c>
      <c r="I357" t="s">
        <v>211</v>
      </c>
      <c r="J357" t="s">
        <v>212</v>
      </c>
    </row>
    <row r="358" spans="1:10" x14ac:dyDescent="0.3">
      <c r="A358" t="s">
        <v>2056</v>
      </c>
      <c r="B358" t="s">
        <v>2033</v>
      </c>
      <c r="C358" t="s">
        <v>2046</v>
      </c>
      <c r="D358" t="s">
        <v>1153</v>
      </c>
      <c r="E358" t="s">
        <v>2052</v>
      </c>
      <c r="F358">
        <v>1</v>
      </c>
      <c r="G358">
        <v>1</v>
      </c>
      <c r="H358" t="s">
        <v>2057</v>
      </c>
      <c r="I358" t="s">
        <v>211</v>
      </c>
      <c r="J358" t="s">
        <v>212</v>
      </c>
    </row>
    <row r="359" spans="1:10" x14ac:dyDescent="0.3">
      <c r="A359" t="s">
        <v>2058</v>
      </c>
      <c r="B359" t="s">
        <v>2039</v>
      </c>
      <c r="C359" t="s">
        <v>15</v>
      </c>
      <c r="D359" t="s">
        <v>204</v>
      </c>
      <c r="E359" t="s">
        <v>2059</v>
      </c>
      <c r="F359">
        <v>1</v>
      </c>
      <c r="G359">
        <v>1</v>
      </c>
      <c r="H359" t="s">
        <v>2060</v>
      </c>
      <c r="I359" t="s">
        <v>211</v>
      </c>
      <c r="J359" t="s">
        <v>212</v>
      </c>
    </row>
    <row r="360" spans="1:10" x14ac:dyDescent="0.3">
      <c r="A360" t="s">
        <v>2061</v>
      </c>
      <c r="B360" t="s">
        <v>2039</v>
      </c>
      <c r="C360" t="s">
        <v>39</v>
      </c>
      <c r="D360" t="s">
        <v>204</v>
      </c>
      <c r="E360" t="s">
        <v>2059</v>
      </c>
      <c r="F360">
        <v>1</v>
      </c>
      <c r="G360">
        <v>1</v>
      </c>
      <c r="H360" t="s">
        <v>2062</v>
      </c>
      <c r="I360" t="s">
        <v>211</v>
      </c>
      <c r="J360" t="s">
        <v>212</v>
      </c>
    </row>
    <row r="361" spans="1:10" x14ac:dyDescent="0.3">
      <c r="A361" t="s">
        <v>2063</v>
      </c>
      <c r="B361" t="s">
        <v>2039</v>
      </c>
      <c r="C361" t="s">
        <v>51</v>
      </c>
      <c r="D361" t="s">
        <v>204</v>
      </c>
      <c r="E361" t="s">
        <v>2059</v>
      </c>
      <c r="F361">
        <v>1</v>
      </c>
      <c r="G361">
        <v>1</v>
      </c>
      <c r="H361" t="s">
        <v>2064</v>
      </c>
      <c r="I361" t="s">
        <v>211</v>
      </c>
      <c r="J361" t="s">
        <v>212</v>
      </c>
    </row>
    <row r="362" spans="1:10" x14ac:dyDescent="0.3">
      <c r="A362" t="s">
        <v>2065</v>
      </c>
      <c r="B362" t="s">
        <v>2039</v>
      </c>
      <c r="C362" t="s">
        <v>73</v>
      </c>
      <c r="D362" t="s">
        <v>204</v>
      </c>
      <c r="E362" t="s">
        <v>2059</v>
      </c>
      <c r="F362">
        <v>1</v>
      </c>
      <c r="G362">
        <v>1</v>
      </c>
      <c r="H362" t="s">
        <v>2066</v>
      </c>
      <c r="I362" t="s">
        <v>211</v>
      </c>
      <c r="J362" t="s">
        <v>212</v>
      </c>
    </row>
    <row r="363" spans="1:10" x14ac:dyDescent="0.3">
      <c r="A363" t="s">
        <v>2067</v>
      </c>
      <c r="B363" t="s">
        <v>2039</v>
      </c>
      <c r="C363" t="s">
        <v>85</v>
      </c>
      <c r="D363" t="s">
        <v>204</v>
      </c>
      <c r="E363" t="s">
        <v>2059</v>
      </c>
      <c r="F363">
        <v>1</v>
      </c>
      <c r="G363">
        <v>1</v>
      </c>
      <c r="H363" t="s">
        <v>2068</v>
      </c>
      <c r="I363" t="s">
        <v>211</v>
      </c>
      <c r="J363" t="s">
        <v>212</v>
      </c>
    </row>
    <row r="364" spans="1:10" x14ac:dyDescent="0.3">
      <c r="A364" t="s">
        <v>2069</v>
      </c>
      <c r="B364" t="s">
        <v>2042</v>
      </c>
      <c r="C364" t="s">
        <v>174</v>
      </c>
      <c r="D364" t="s">
        <v>324</v>
      </c>
      <c r="E364" t="s">
        <v>220</v>
      </c>
      <c r="F364">
        <v>1</v>
      </c>
      <c r="G364">
        <v>1</v>
      </c>
      <c r="H364" t="s">
        <v>2070</v>
      </c>
      <c r="I364" t="s">
        <v>211</v>
      </c>
      <c r="J364" t="s">
        <v>212</v>
      </c>
    </row>
    <row r="365" spans="1:10" x14ac:dyDescent="0.3">
      <c r="A365" t="s">
        <v>2071</v>
      </c>
      <c r="B365" t="s">
        <v>2042</v>
      </c>
      <c r="C365" t="s">
        <v>695</v>
      </c>
      <c r="D365" t="s">
        <v>324</v>
      </c>
      <c r="E365" t="s">
        <v>220</v>
      </c>
      <c r="F365">
        <v>1</v>
      </c>
      <c r="G365">
        <v>1</v>
      </c>
      <c r="H365" t="s">
        <v>2072</v>
      </c>
      <c r="I365" t="s">
        <v>211</v>
      </c>
      <c r="J365" t="s">
        <v>212</v>
      </c>
    </row>
    <row r="366" spans="1:10" x14ac:dyDescent="0.3">
      <c r="A366" t="s">
        <v>2073</v>
      </c>
      <c r="B366" t="s">
        <v>2046</v>
      </c>
      <c r="C366" t="s">
        <v>1599</v>
      </c>
      <c r="D366" t="s">
        <v>1153</v>
      </c>
      <c r="E366" t="s">
        <v>338</v>
      </c>
      <c r="F366">
        <v>1</v>
      </c>
      <c r="G366">
        <v>1</v>
      </c>
      <c r="H366" t="s">
        <v>2074</v>
      </c>
      <c r="I366" t="s">
        <v>211</v>
      </c>
      <c r="J366" t="s">
        <v>212</v>
      </c>
    </row>
    <row r="367" spans="1:10" x14ac:dyDescent="0.3">
      <c r="A367" t="s">
        <v>2075</v>
      </c>
      <c r="B367" t="s">
        <v>2046</v>
      </c>
      <c r="C367" t="s">
        <v>1623</v>
      </c>
      <c r="D367" t="s">
        <v>1153</v>
      </c>
      <c r="E367" t="s">
        <v>220</v>
      </c>
      <c r="F367">
        <v>1</v>
      </c>
      <c r="G367">
        <v>1</v>
      </c>
      <c r="H367" t="s">
        <v>2076</v>
      </c>
      <c r="I367" t="s">
        <v>211</v>
      </c>
      <c r="J367" t="s">
        <v>212</v>
      </c>
    </row>
    <row r="368" spans="1:10" x14ac:dyDescent="0.3">
      <c r="A368" t="s">
        <v>2077</v>
      </c>
      <c r="B368" t="s">
        <v>1632</v>
      </c>
      <c r="C368" t="s">
        <v>2033</v>
      </c>
      <c r="D368" t="s">
        <v>1153</v>
      </c>
      <c r="E368" t="s">
        <v>325</v>
      </c>
      <c r="F368">
        <v>1</v>
      </c>
      <c r="G368">
        <v>1</v>
      </c>
      <c r="H368" t="s">
        <v>2078</v>
      </c>
      <c r="I368" t="s">
        <v>211</v>
      </c>
      <c r="J368" t="s">
        <v>212</v>
      </c>
    </row>
    <row r="369" spans="1:10" x14ac:dyDescent="0.3">
      <c r="A369" t="s">
        <v>2079</v>
      </c>
      <c r="B369" t="s">
        <v>1609</v>
      </c>
      <c r="C369" t="s">
        <v>2033</v>
      </c>
      <c r="D369" t="s">
        <v>1153</v>
      </c>
      <c r="E369" t="s">
        <v>220</v>
      </c>
      <c r="F369">
        <v>1</v>
      </c>
      <c r="G369">
        <v>1</v>
      </c>
      <c r="H369" t="s">
        <v>2080</v>
      </c>
      <c r="I369" t="s">
        <v>211</v>
      </c>
      <c r="J369" t="s">
        <v>212</v>
      </c>
    </row>
    <row r="370" spans="1:10" x14ac:dyDescent="0.3">
      <c r="A370" t="s">
        <v>2081</v>
      </c>
      <c r="B370" t="s">
        <v>2039</v>
      </c>
      <c r="C370" t="s">
        <v>2042</v>
      </c>
      <c r="D370" t="s">
        <v>324</v>
      </c>
      <c r="E370" t="s">
        <v>2059</v>
      </c>
      <c r="F370">
        <v>1</v>
      </c>
      <c r="G370">
        <v>1</v>
      </c>
      <c r="H370" t="s">
        <v>2082</v>
      </c>
      <c r="I370" t="s">
        <v>211</v>
      </c>
      <c r="J370" t="s">
        <v>212</v>
      </c>
    </row>
    <row r="371" spans="1:10" x14ac:dyDescent="0.3">
      <c r="A371" t="s">
        <v>2083</v>
      </c>
      <c r="B371" t="s">
        <v>2033</v>
      </c>
      <c r="C371" t="s">
        <v>1636</v>
      </c>
      <c r="D371" t="s">
        <v>1153</v>
      </c>
      <c r="E371" t="s">
        <v>325</v>
      </c>
      <c r="F371">
        <v>1</v>
      </c>
      <c r="G371">
        <v>1</v>
      </c>
      <c r="H371" t="s">
        <v>2084</v>
      </c>
      <c r="I371" t="s">
        <v>211</v>
      </c>
      <c r="J371" t="s">
        <v>212</v>
      </c>
    </row>
    <row r="372" spans="1:10" x14ac:dyDescent="0.3">
      <c r="A372" t="s">
        <v>2085</v>
      </c>
      <c r="B372" t="s">
        <v>2042</v>
      </c>
      <c r="C372" t="s">
        <v>532</v>
      </c>
      <c r="D372" t="s">
        <v>324</v>
      </c>
      <c r="E372" t="s">
        <v>220</v>
      </c>
      <c r="F372">
        <v>1</v>
      </c>
      <c r="G372">
        <v>1</v>
      </c>
      <c r="H372" t="s">
        <v>2086</v>
      </c>
      <c r="I372" t="s">
        <v>211</v>
      </c>
      <c r="J372" t="s">
        <v>212</v>
      </c>
    </row>
    <row r="373" spans="1:10" x14ac:dyDescent="0.3">
      <c r="A373" t="s">
        <v>2087</v>
      </c>
      <c r="B373" t="s">
        <v>2042</v>
      </c>
      <c r="C373" t="s">
        <v>184</v>
      </c>
      <c r="D373" t="s">
        <v>324</v>
      </c>
      <c r="E373" t="s">
        <v>220</v>
      </c>
      <c r="F373">
        <v>1</v>
      </c>
      <c r="G373">
        <v>1</v>
      </c>
      <c r="H373" t="s">
        <v>2088</v>
      </c>
      <c r="I373" t="s">
        <v>211</v>
      </c>
      <c r="J373" t="s">
        <v>212</v>
      </c>
    </row>
    <row r="374" spans="1:10" x14ac:dyDescent="0.3">
      <c r="A374" t="s">
        <v>2089</v>
      </c>
      <c r="B374" t="s">
        <v>2042</v>
      </c>
      <c r="C374" t="s">
        <v>1604</v>
      </c>
      <c r="D374" t="s">
        <v>324</v>
      </c>
      <c r="E374" t="s">
        <v>220</v>
      </c>
      <c r="F374">
        <v>1</v>
      </c>
      <c r="G374">
        <v>1</v>
      </c>
      <c r="H374" t="s">
        <v>2090</v>
      </c>
      <c r="I374" t="s">
        <v>211</v>
      </c>
      <c r="J374" t="s">
        <v>212</v>
      </c>
    </row>
    <row r="375" spans="1:10" x14ac:dyDescent="0.3">
      <c r="A375" t="s">
        <v>2105</v>
      </c>
      <c r="B375" t="s">
        <v>2042</v>
      </c>
      <c r="C375" t="s">
        <v>2091</v>
      </c>
      <c r="D375" t="s">
        <v>1153</v>
      </c>
      <c r="E375" t="s">
        <v>220</v>
      </c>
      <c r="F375">
        <v>1</v>
      </c>
      <c r="G375">
        <v>1</v>
      </c>
      <c r="H375" t="s">
        <v>2106</v>
      </c>
      <c r="I375" t="s">
        <v>211</v>
      </c>
      <c r="J375" t="s">
        <v>212</v>
      </c>
    </row>
    <row r="376" spans="1:10" x14ac:dyDescent="0.3">
      <c r="A376" t="s">
        <v>2107</v>
      </c>
      <c r="B376" t="s">
        <v>2042</v>
      </c>
      <c r="C376" t="s">
        <v>2097</v>
      </c>
      <c r="D376" t="s">
        <v>1153</v>
      </c>
      <c r="E376" t="s">
        <v>220</v>
      </c>
      <c r="F376">
        <v>1</v>
      </c>
      <c r="G376">
        <v>1</v>
      </c>
      <c r="H376" t="s">
        <v>2108</v>
      </c>
      <c r="I376" t="s">
        <v>211</v>
      </c>
      <c r="J376" t="s">
        <v>212</v>
      </c>
    </row>
    <row r="377" spans="1:10" x14ac:dyDescent="0.3">
      <c r="A377" t="s">
        <v>2109</v>
      </c>
      <c r="B377" t="s">
        <v>2042</v>
      </c>
      <c r="C377" t="s">
        <v>2101</v>
      </c>
      <c r="D377" t="s">
        <v>1153</v>
      </c>
      <c r="E377" t="s">
        <v>220</v>
      </c>
      <c r="F377">
        <v>1</v>
      </c>
      <c r="G377">
        <v>1</v>
      </c>
      <c r="H377" t="s">
        <v>2110</v>
      </c>
      <c r="I377" t="s">
        <v>211</v>
      </c>
      <c r="J377" t="s">
        <v>212</v>
      </c>
    </row>
    <row r="378" spans="1:10" x14ac:dyDescent="0.3">
      <c r="A378" t="s">
        <v>2111</v>
      </c>
      <c r="B378" t="s">
        <v>2091</v>
      </c>
      <c r="C378" t="s">
        <v>532</v>
      </c>
      <c r="D378" t="s">
        <v>324</v>
      </c>
      <c r="E378" t="s">
        <v>220</v>
      </c>
      <c r="F378">
        <v>1</v>
      </c>
      <c r="G378">
        <v>1</v>
      </c>
      <c r="H378" t="s">
        <v>2112</v>
      </c>
      <c r="I378" t="s">
        <v>207</v>
      </c>
      <c r="J378" t="s">
        <v>2113</v>
      </c>
    </row>
    <row r="379" spans="1:10" x14ac:dyDescent="0.3">
      <c r="A379" t="s">
        <v>2114</v>
      </c>
      <c r="B379" t="s">
        <v>2097</v>
      </c>
      <c r="C379" t="s">
        <v>184</v>
      </c>
      <c r="D379" t="s">
        <v>324</v>
      </c>
      <c r="E379" t="s">
        <v>220</v>
      </c>
      <c r="F379">
        <v>1</v>
      </c>
      <c r="G379">
        <v>1</v>
      </c>
      <c r="H379" t="s">
        <v>2115</v>
      </c>
      <c r="I379" t="s">
        <v>211</v>
      </c>
      <c r="J379" t="s">
        <v>263</v>
      </c>
    </row>
    <row r="380" spans="1:10" x14ac:dyDescent="0.3">
      <c r="A380" t="s">
        <v>2116</v>
      </c>
      <c r="B380" t="s">
        <v>2101</v>
      </c>
      <c r="C380" t="s">
        <v>706</v>
      </c>
      <c r="D380" t="s">
        <v>324</v>
      </c>
      <c r="E380" t="s">
        <v>220</v>
      </c>
      <c r="F380">
        <v>1</v>
      </c>
      <c r="G380">
        <v>1</v>
      </c>
      <c r="H380" t="s">
        <v>2117</v>
      </c>
      <c r="I380" t="s">
        <v>211</v>
      </c>
      <c r="J380" t="s">
        <v>1607</v>
      </c>
    </row>
    <row r="381" spans="1:10" x14ac:dyDescent="0.3">
      <c r="A381" t="s">
        <v>2118</v>
      </c>
      <c r="B381" t="s">
        <v>2101</v>
      </c>
      <c r="C381" t="s">
        <v>722</v>
      </c>
      <c r="D381" t="s">
        <v>324</v>
      </c>
      <c r="E381" t="s">
        <v>220</v>
      </c>
      <c r="F381">
        <v>1</v>
      </c>
      <c r="G381">
        <v>1</v>
      </c>
      <c r="H381" t="s">
        <v>2119</v>
      </c>
      <c r="I381" t="s">
        <v>211</v>
      </c>
      <c r="J381" t="s">
        <v>2120</v>
      </c>
    </row>
    <row r="382" spans="1:10" x14ac:dyDescent="0.3">
      <c r="A382" t="s">
        <v>2121</v>
      </c>
      <c r="B382" t="s">
        <v>2101</v>
      </c>
      <c r="C382" t="s">
        <v>1609</v>
      </c>
      <c r="D382" t="s">
        <v>1153</v>
      </c>
      <c r="E382" t="s">
        <v>220</v>
      </c>
      <c r="F382">
        <v>1</v>
      </c>
      <c r="G382">
        <v>1</v>
      </c>
      <c r="H382" t="s">
        <v>2122</v>
      </c>
      <c r="I382" t="s">
        <v>211</v>
      </c>
      <c r="J382" t="s">
        <v>212</v>
      </c>
    </row>
    <row r="383" spans="1:10" x14ac:dyDescent="0.3">
      <c r="A383" t="s">
        <v>2131</v>
      </c>
      <c r="B383" t="s">
        <v>2123</v>
      </c>
      <c r="C383" t="s">
        <v>2033</v>
      </c>
      <c r="D383" t="s">
        <v>1153</v>
      </c>
      <c r="E383" t="s">
        <v>2052</v>
      </c>
      <c r="F383">
        <v>1</v>
      </c>
      <c r="G383">
        <v>1</v>
      </c>
      <c r="H383" t="s">
        <v>2132</v>
      </c>
      <c r="I383" t="s">
        <v>211</v>
      </c>
      <c r="J383" t="s">
        <v>212</v>
      </c>
    </row>
    <row r="384" spans="1:10" x14ac:dyDescent="0.3">
      <c r="A384" t="s">
        <v>2133</v>
      </c>
      <c r="B384" t="s">
        <v>2123</v>
      </c>
      <c r="C384" t="s">
        <v>2042</v>
      </c>
      <c r="D384" t="s">
        <v>1153</v>
      </c>
      <c r="E384" t="s">
        <v>220</v>
      </c>
      <c r="F384">
        <v>1</v>
      </c>
      <c r="G384">
        <v>1</v>
      </c>
      <c r="H384" t="s">
        <v>2134</v>
      </c>
      <c r="I384" t="s">
        <v>211</v>
      </c>
      <c r="J384" t="s">
        <v>212</v>
      </c>
    </row>
    <row r="385" spans="1:10" x14ac:dyDescent="0.3">
      <c r="A385" t="s">
        <v>2135</v>
      </c>
      <c r="B385" t="s">
        <v>2127</v>
      </c>
      <c r="C385" t="s">
        <v>2123</v>
      </c>
      <c r="D385" t="s">
        <v>1153</v>
      </c>
      <c r="E385" t="s">
        <v>2059</v>
      </c>
      <c r="F385">
        <v>1</v>
      </c>
      <c r="G385">
        <v>1</v>
      </c>
      <c r="H385" t="s">
        <v>2136</v>
      </c>
      <c r="I385" t="s">
        <v>211</v>
      </c>
      <c r="J385" t="s">
        <v>212</v>
      </c>
    </row>
    <row r="386" spans="1:10" x14ac:dyDescent="0.3">
      <c r="A386" t="s">
        <v>2137</v>
      </c>
      <c r="B386" t="s">
        <v>2127</v>
      </c>
      <c r="C386" t="s">
        <v>181</v>
      </c>
      <c r="D386" t="s">
        <v>324</v>
      </c>
      <c r="E386" t="s">
        <v>325</v>
      </c>
      <c r="F386">
        <v>1</v>
      </c>
      <c r="G386">
        <v>1</v>
      </c>
      <c r="H386" t="s">
        <v>2138</v>
      </c>
      <c r="I386" t="s">
        <v>211</v>
      </c>
      <c r="J386" t="s">
        <v>212</v>
      </c>
    </row>
    <row r="387" spans="1:10" x14ac:dyDescent="0.3">
      <c r="A387" t="s">
        <v>2139</v>
      </c>
      <c r="B387" t="s">
        <v>2123</v>
      </c>
      <c r="C387" t="s">
        <v>545</v>
      </c>
      <c r="D387" t="s">
        <v>324</v>
      </c>
      <c r="E387" t="s">
        <v>325</v>
      </c>
      <c r="F387">
        <v>1</v>
      </c>
      <c r="G387">
        <v>1</v>
      </c>
      <c r="H387" t="s">
        <v>2140</v>
      </c>
      <c r="I387" t="s">
        <v>211</v>
      </c>
      <c r="J387" t="s">
        <v>212</v>
      </c>
    </row>
    <row r="388" spans="1:10" x14ac:dyDescent="0.3">
      <c r="A388" t="s">
        <v>2141</v>
      </c>
      <c r="B388" t="s">
        <v>2123</v>
      </c>
      <c r="C388" t="s">
        <v>560</v>
      </c>
      <c r="D388" t="s">
        <v>324</v>
      </c>
      <c r="E388" t="s">
        <v>325</v>
      </c>
      <c r="F388">
        <v>1</v>
      </c>
      <c r="G388">
        <v>1</v>
      </c>
      <c r="H388" t="s">
        <v>2142</v>
      </c>
      <c r="I388" t="s">
        <v>211</v>
      </c>
      <c r="J388" t="s">
        <v>212</v>
      </c>
    </row>
    <row r="389" spans="1:10" x14ac:dyDescent="0.3">
      <c r="A389" t="s">
        <v>2143</v>
      </c>
      <c r="B389" t="s">
        <v>2127</v>
      </c>
      <c r="C389" t="s">
        <v>516</v>
      </c>
      <c r="D389" t="s">
        <v>324</v>
      </c>
      <c r="E389" t="s">
        <v>2059</v>
      </c>
      <c r="F389">
        <v>1</v>
      </c>
      <c r="G389">
        <v>1</v>
      </c>
      <c r="H389" t="s">
        <v>2144</v>
      </c>
      <c r="I389" t="s">
        <v>211</v>
      </c>
      <c r="J389" t="s">
        <v>212</v>
      </c>
    </row>
    <row r="390" spans="1:10" x14ac:dyDescent="0.3">
      <c r="A390" t="s">
        <v>2145</v>
      </c>
      <c r="B390" t="s">
        <v>2042</v>
      </c>
      <c r="C390" t="s">
        <v>1609</v>
      </c>
      <c r="D390" t="s">
        <v>1153</v>
      </c>
      <c r="E390" t="s">
        <v>220</v>
      </c>
      <c r="F390">
        <v>1</v>
      </c>
      <c r="G390">
        <v>1</v>
      </c>
      <c r="H390" t="s">
        <v>2146</v>
      </c>
      <c r="I390" t="s">
        <v>211</v>
      </c>
      <c r="J390" t="s">
        <v>212</v>
      </c>
    </row>
    <row r="391" spans="1:10" x14ac:dyDescent="0.3">
      <c r="A391" t="s">
        <v>2160</v>
      </c>
      <c r="B391" t="s">
        <v>2147</v>
      </c>
      <c r="C391" t="s">
        <v>174</v>
      </c>
      <c r="D391" t="s">
        <v>324</v>
      </c>
      <c r="E391" t="s">
        <v>2059</v>
      </c>
      <c r="F391">
        <v>1</v>
      </c>
      <c r="G391">
        <v>1</v>
      </c>
      <c r="H391" s="56" t="s">
        <v>2161</v>
      </c>
      <c r="I391" t="s">
        <v>211</v>
      </c>
      <c r="J391" t="s">
        <v>212</v>
      </c>
    </row>
    <row r="392" spans="1:10" x14ac:dyDescent="0.3">
      <c r="A392" t="s">
        <v>2162</v>
      </c>
      <c r="B392" t="s">
        <v>2147</v>
      </c>
      <c r="C392" t="s">
        <v>184</v>
      </c>
      <c r="D392" t="s">
        <v>324</v>
      </c>
      <c r="E392" t="s">
        <v>2059</v>
      </c>
      <c r="F392">
        <v>1</v>
      </c>
      <c r="G392">
        <v>1</v>
      </c>
      <c r="H392" s="56" t="s">
        <v>2163</v>
      </c>
      <c r="I392" t="s">
        <v>211</v>
      </c>
      <c r="J392" t="s">
        <v>212</v>
      </c>
    </row>
    <row r="393" spans="1:10" x14ac:dyDescent="0.3">
      <c r="A393" t="s">
        <v>2164</v>
      </c>
      <c r="B393" t="s">
        <v>2147</v>
      </c>
      <c r="C393" t="s">
        <v>722</v>
      </c>
      <c r="D393" t="s">
        <v>324</v>
      </c>
      <c r="E393" t="s">
        <v>2059</v>
      </c>
      <c r="F393">
        <v>1</v>
      </c>
      <c r="G393">
        <v>1</v>
      </c>
      <c r="H393" t="s">
        <v>2165</v>
      </c>
      <c r="I393" t="s">
        <v>211</v>
      </c>
      <c r="J393" t="s">
        <v>212</v>
      </c>
    </row>
    <row r="394" spans="1:10" x14ac:dyDescent="0.3">
      <c r="A394" t="s">
        <v>2166</v>
      </c>
      <c r="B394" t="s">
        <v>2147</v>
      </c>
      <c r="C394" t="s">
        <v>2152</v>
      </c>
      <c r="D394" t="s">
        <v>1153</v>
      </c>
      <c r="E394" t="s">
        <v>220</v>
      </c>
      <c r="F394">
        <v>1</v>
      </c>
      <c r="G394">
        <v>1</v>
      </c>
      <c r="H394" t="s">
        <v>2167</v>
      </c>
      <c r="I394" t="s">
        <v>211</v>
      </c>
      <c r="J394" t="s">
        <v>212</v>
      </c>
    </row>
    <row r="395" spans="1:10" x14ac:dyDescent="0.3">
      <c r="A395" t="s">
        <v>2168</v>
      </c>
      <c r="B395" t="s">
        <v>104</v>
      </c>
      <c r="C395" t="s">
        <v>2152</v>
      </c>
      <c r="D395" t="s">
        <v>1153</v>
      </c>
      <c r="E395" t="s">
        <v>220</v>
      </c>
      <c r="F395">
        <v>1</v>
      </c>
      <c r="G395">
        <v>1</v>
      </c>
      <c r="H395" t="s">
        <v>2169</v>
      </c>
      <c r="I395" t="s">
        <v>211</v>
      </c>
      <c r="J395" t="s">
        <v>212</v>
      </c>
    </row>
    <row r="396" spans="1:10" x14ac:dyDescent="0.3">
      <c r="A396" t="s">
        <v>2170</v>
      </c>
      <c r="B396" t="s">
        <v>2152</v>
      </c>
      <c r="C396" t="s">
        <v>537</v>
      </c>
      <c r="D396" t="s">
        <v>324</v>
      </c>
      <c r="E396" t="s">
        <v>2059</v>
      </c>
      <c r="F396">
        <v>1</v>
      </c>
      <c r="G396">
        <v>1</v>
      </c>
      <c r="H396" t="s">
        <v>2171</v>
      </c>
      <c r="I396" t="s">
        <v>211</v>
      </c>
      <c r="J396" t="s">
        <v>212</v>
      </c>
    </row>
    <row r="397" spans="1:10" x14ac:dyDescent="0.3">
      <c r="A397" t="s">
        <v>2172</v>
      </c>
      <c r="B397" t="s">
        <v>2152</v>
      </c>
      <c r="C397" t="s">
        <v>541</v>
      </c>
      <c r="D397" t="s">
        <v>324</v>
      </c>
      <c r="E397" t="s">
        <v>2059</v>
      </c>
      <c r="F397">
        <v>1</v>
      </c>
      <c r="G397">
        <v>1</v>
      </c>
      <c r="H397" t="s">
        <v>2173</v>
      </c>
      <c r="I397" t="s">
        <v>211</v>
      </c>
      <c r="J397" t="s">
        <v>212</v>
      </c>
    </row>
    <row r="398" spans="1:10" x14ac:dyDescent="0.3">
      <c r="A398" t="s">
        <v>2174</v>
      </c>
      <c r="B398" t="s">
        <v>2152</v>
      </c>
      <c r="C398" t="s">
        <v>549</v>
      </c>
      <c r="D398" t="s">
        <v>324</v>
      </c>
      <c r="E398" t="s">
        <v>2059</v>
      </c>
      <c r="F398">
        <v>1</v>
      </c>
      <c r="G398">
        <v>1</v>
      </c>
      <c r="H398" t="s">
        <v>2175</v>
      </c>
      <c r="I398" t="s">
        <v>211</v>
      </c>
      <c r="J398" t="s">
        <v>212</v>
      </c>
    </row>
    <row r="399" spans="1:10" x14ac:dyDescent="0.3">
      <c r="A399" t="s">
        <v>2176</v>
      </c>
      <c r="B399" t="s">
        <v>2152</v>
      </c>
      <c r="C399" t="s">
        <v>560</v>
      </c>
      <c r="D399" t="s">
        <v>324</v>
      </c>
      <c r="E399" t="s">
        <v>2059</v>
      </c>
      <c r="F399">
        <v>1</v>
      </c>
      <c r="G399">
        <v>1</v>
      </c>
      <c r="H399" t="s">
        <v>2177</v>
      </c>
      <c r="I399" t="s">
        <v>211</v>
      </c>
      <c r="J399" t="s">
        <v>212</v>
      </c>
    </row>
    <row r="400" spans="1:10" x14ac:dyDescent="0.3">
      <c r="A400" t="s">
        <v>2178</v>
      </c>
      <c r="B400" t="s">
        <v>2156</v>
      </c>
      <c r="C400" t="s">
        <v>2152</v>
      </c>
      <c r="D400" t="s">
        <v>1153</v>
      </c>
      <c r="E400" t="s">
        <v>220</v>
      </c>
      <c r="F400">
        <v>1</v>
      </c>
      <c r="G400">
        <v>1</v>
      </c>
      <c r="H400" t="s">
        <v>2179</v>
      </c>
      <c r="I400" t="s">
        <v>211</v>
      </c>
      <c r="J400" t="s">
        <v>212</v>
      </c>
    </row>
    <row r="401" spans="1:10" x14ac:dyDescent="0.3">
      <c r="A401" t="s">
        <v>2180</v>
      </c>
      <c r="B401" t="s">
        <v>2156</v>
      </c>
      <c r="C401" t="s">
        <v>1604</v>
      </c>
      <c r="D401" t="s">
        <v>324</v>
      </c>
      <c r="E401" t="s">
        <v>325</v>
      </c>
      <c r="F401">
        <v>1</v>
      </c>
      <c r="G401">
        <v>1</v>
      </c>
      <c r="H401" t="s">
        <v>2181</v>
      </c>
      <c r="I401" t="s">
        <v>211</v>
      </c>
      <c r="J401" t="s">
        <v>212</v>
      </c>
    </row>
    <row r="402" spans="1:10" x14ac:dyDescent="0.3">
      <c r="A402" t="s">
        <v>2182</v>
      </c>
      <c r="B402" t="s">
        <v>2156</v>
      </c>
      <c r="C402" t="s">
        <v>1623</v>
      </c>
      <c r="D402" t="s">
        <v>1153</v>
      </c>
      <c r="E402" t="s">
        <v>220</v>
      </c>
      <c r="F402">
        <v>1</v>
      </c>
      <c r="G402">
        <v>1</v>
      </c>
      <c r="H402" t="s">
        <v>2183</v>
      </c>
      <c r="I402" t="s">
        <v>211</v>
      </c>
      <c r="J402" t="s">
        <v>212</v>
      </c>
    </row>
    <row r="403" spans="1:10" x14ac:dyDescent="0.3">
      <c r="A403" t="s">
        <v>2184</v>
      </c>
      <c r="B403" t="s">
        <v>2156</v>
      </c>
      <c r="C403" t="s">
        <v>545</v>
      </c>
      <c r="D403" t="s">
        <v>324</v>
      </c>
      <c r="E403" t="s">
        <v>325</v>
      </c>
      <c r="F403">
        <v>1</v>
      </c>
      <c r="G403">
        <v>1</v>
      </c>
      <c r="H403" t="s">
        <v>2185</v>
      </c>
      <c r="I403" t="s">
        <v>211</v>
      </c>
      <c r="J403" t="s">
        <v>212</v>
      </c>
    </row>
    <row r="404" spans="1:10" x14ac:dyDescent="0.3">
      <c r="A404" t="s">
        <v>2186</v>
      </c>
      <c r="B404" t="s">
        <v>2156</v>
      </c>
      <c r="C404" t="s">
        <v>706</v>
      </c>
      <c r="D404" t="s">
        <v>1153</v>
      </c>
      <c r="E404" t="s">
        <v>220</v>
      </c>
      <c r="F404">
        <v>1</v>
      </c>
      <c r="G404">
        <v>1</v>
      </c>
      <c r="H404" t="s">
        <v>2187</v>
      </c>
      <c r="I404" t="s">
        <v>211</v>
      </c>
      <c r="J404" t="s">
        <v>212</v>
      </c>
    </row>
    <row r="405" spans="1:10" x14ac:dyDescent="0.3">
      <c r="A405" t="s">
        <v>2188</v>
      </c>
      <c r="B405" t="s">
        <v>2147</v>
      </c>
      <c r="C405" t="s">
        <v>2123</v>
      </c>
      <c r="D405" t="s">
        <v>324</v>
      </c>
      <c r="E405" t="s">
        <v>220</v>
      </c>
      <c r="F405">
        <v>1</v>
      </c>
      <c r="G405">
        <v>1</v>
      </c>
      <c r="H405" t="s">
        <v>2189</v>
      </c>
      <c r="I405" t="s">
        <v>211</v>
      </c>
      <c r="J405" t="s">
        <v>212</v>
      </c>
    </row>
    <row r="406" spans="1:10" x14ac:dyDescent="0.3">
      <c r="A406" t="s">
        <v>2190</v>
      </c>
      <c r="B406" t="s">
        <v>2152</v>
      </c>
      <c r="C406" t="s">
        <v>1720</v>
      </c>
      <c r="D406" t="s">
        <v>1153</v>
      </c>
      <c r="E406" t="s">
        <v>325</v>
      </c>
      <c r="F406">
        <v>1</v>
      </c>
      <c r="G406">
        <v>1</v>
      </c>
      <c r="H406" t="s">
        <v>2191</v>
      </c>
      <c r="I406" t="s">
        <v>211</v>
      </c>
      <c r="J406" t="s">
        <v>212</v>
      </c>
    </row>
    <row r="407" spans="1:10" x14ac:dyDescent="0.3">
      <c r="A407" t="s">
        <v>2250</v>
      </c>
      <c r="B407" t="s">
        <v>174</v>
      </c>
      <c r="C407" t="s">
        <v>2225</v>
      </c>
      <c r="D407" t="s">
        <v>324</v>
      </c>
      <c r="E407" t="s">
        <v>325</v>
      </c>
      <c r="F407">
        <v>1</v>
      </c>
      <c r="G407">
        <v>1</v>
      </c>
      <c r="H407" t="s">
        <v>2251</v>
      </c>
      <c r="I407" t="s">
        <v>211</v>
      </c>
      <c r="J407" t="s">
        <v>212</v>
      </c>
    </row>
    <row r="408" spans="1:10" x14ac:dyDescent="0.3">
      <c r="A408" t="s">
        <v>2252</v>
      </c>
      <c r="B408" t="s">
        <v>174</v>
      </c>
      <c r="C408" t="s">
        <v>2230</v>
      </c>
      <c r="D408" t="s">
        <v>324</v>
      </c>
      <c r="E408" t="s">
        <v>325</v>
      </c>
      <c r="F408">
        <v>1</v>
      </c>
      <c r="G408">
        <v>1</v>
      </c>
      <c r="H408" t="s">
        <v>2253</v>
      </c>
      <c r="I408" t="s">
        <v>211</v>
      </c>
      <c r="J408" t="s">
        <v>212</v>
      </c>
    </row>
    <row r="409" spans="1:10" x14ac:dyDescent="0.3">
      <c r="A409" t="s">
        <v>2254</v>
      </c>
      <c r="B409" t="s">
        <v>174</v>
      </c>
      <c r="C409" t="s">
        <v>2233</v>
      </c>
      <c r="D409" t="s">
        <v>324</v>
      </c>
      <c r="E409" t="s">
        <v>325</v>
      </c>
      <c r="F409">
        <v>1</v>
      </c>
      <c r="G409">
        <v>1</v>
      </c>
      <c r="H409" t="s">
        <v>2255</v>
      </c>
      <c r="I409" t="s">
        <v>211</v>
      </c>
      <c r="J409" t="s">
        <v>212</v>
      </c>
    </row>
    <row r="410" spans="1:10" x14ac:dyDescent="0.3">
      <c r="A410" t="s">
        <v>2256</v>
      </c>
      <c r="B410" t="s">
        <v>174</v>
      </c>
      <c r="C410" t="s">
        <v>2237</v>
      </c>
      <c r="D410" t="s">
        <v>324</v>
      </c>
      <c r="E410" t="s">
        <v>325</v>
      </c>
      <c r="F410">
        <v>1</v>
      </c>
      <c r="G410">
        <v>1</v>
      </c>
      <c r="H410" t="s">
        <v>2257</v>
      </c>
      <c r="I410" t="s">
        <v>211</v>
      </c>
      <c r="J410" t="s">
        <v>212</v>
      </c>
    </row>
    <row r="411" spans="1:10" x14ac:dyDescent="0.3">
      <c r="A411" t="s">
        <v>2258</v>
      </c>
      <c r="B411" t="s">
        <v>174</v>
      </c>
      <c r="C411" t="s">
        <v>2241</v>
      </c>
      <c r="D411" t="s">
        <v>324</v>
      </c>
      <c r="E411" t="s">
        <v>325</v>
      </c>
      <c r="F411">
        <v>1</v>
      </c>
      <c r="G411">
        <v>1</v>
      </c>
      <c r="H411" t="s">
        <v>2259</v>
      </c>
      <c r="I411" t="s">
        <v>211</v>
      </c>
      <c r="J411" t="s">
        <v>212</v>
      </c>
    </row>
    <row r="412" spans="1:10" x14ac:dyDescent="0.3">
      <c r="A412" t="s">
        <v>2260</v>
      </c>
      <c r="B412" t="s">
        <v>174</v>
      </c>
      <c r="C412" t="s">
        <v>2244</v>
      </c>
      <c r="D412" t="s">
        <v>324</v>
      </c>
      <c r="E412" t="s">
        <v>325</v>
      </c>
      <c r="F412">
        <v>1</v>
      </c>
      <c r="G412">
        <v>1</v>
      </c>
      <c r="H412" t="s">
        <v>2261</v>
      </c>
      <c r="I412" t="s">
        <v>211</v>
      </c>
      <c r="J412" t="s">
        <v>212</v>
      </c>
    </row>
    <row r="413" spans="1:10" x14ac:dyDescent="0.3">
      <c r="A413" t="s">
        <v>2262</v>
      </c>
      <c r="B413" t="s">
        <v>174</v>
      </c>
      <c r="C413" t="s">
        <v>2247</v>
      </c>
      <c r="D413" t="s">
        <v>324</v>
      </c>
      <c r="E413" t="s">
        <v>325</v>
      </c>
      <c r="F413">
        <v>1</v>
      </c>
      <c r="G413">
        <v>1</v>
      </c>
      <c r="H413" t="s">
        <v>2263</v>
      </c>
      <c r="I413" t="s">
        <v>211</v>
      </c>
      <c r="J413" t="s">
        <v>212</v>
      </c>
    </row>
    <row r="414" spans="1:10" x14ac:dyDescent="0.3">
      <c r="A414" t="s">
        <v>2264</v>
      </c>
      <c r="B414" t="s">
        <v>179</v>
      </c>
      <c r="C414" t="s">
        <v>2225</v>
      </c>
      <c r="D414" t="s">
        <v>324</v>
      </c>
      <c r="E414" t="s">
        <v>325</v>
      </c>
      <c r="F414">
        <v>1</v>
      </c>
      <c r="G414">
        <v>1</v>
      </c>
      <c r="H414" t="s">
        <v>2251</v>
      </c>
      <c r="I414" t="s">
        <v>211</v>
      </c>
      <c r="J414" t="s">
        <v>212</v>
      </c>
    </row>
    <row r="415" spans="1:10" x14ac:dyDescent="0.3">
      <c r="A415" t="s">
        <v>2265</v>
      </c>
      <c r="B415" t="s">
        <v>179</v>
      </c>
      <c r="C415" t="s">
        <v>2230</v>
      </c>
      <c r="D415" t="s">
        <v>324</v>
      </c>
      <c r="E415" t="s">
        <v>325</v>
      </c>
      <c r="F415">
        <v>1</v>
      </c>
      <c r="G415">
        <v>1</v>
      </c>
      <c r="H415" t="s">
        <v>2253</v>
      </c>
      <c r="I415" t="s">
        <v>211</v>
      </c>
      <c r="J415" t="s">
        <v>212</v>
      </c>
    </row>
    <row r="416" spans="1:10" x14ac:dyDescent="0.3">
      <c r="A416" t="s">
        <v>2266</v>
      </c>
      <c r="B416" t="s">
        <v>179</v>
      </c>
      <c r="C416" t="s">
        <v>2233</v>
      </c>
      <c r="D416" t="s">
        <v>324</v>
      </c>
      <c r="E416" t="s">
        <v>325</v>
      </c>
      <c r="F416">
        <v>1</v>
      </c>
      <c r="G416">
        <v>1</v>
      </c>
      <c r="H416" t="s">
        <v>2255</v>
      </c>
      <c r="I416" t="s">
        <v>211</v>
      </c>
      <c r="J416" t="s">
        <v>212</v>
      </c>
    </row>
    <row r="417" spans="1:10" x14ac:dyDescent="0.3">
      <c r="A417" t="s">
        <v>2267</v>
      </c>
      <c r="B417" t="s">
        <v>179</v>
      </c>
      <c r="C417" t="s">
        <v>2237</v>
      </c>
      <c r="D417" t="s">
        <v>324</v>
      </c>
      <c r="E417" t="s">
        <v>325</v>
      </c>
      <c r="F417">
        <v>1</v>
      </c>
      <c r="G417">
        <v>1</v>
      </c>
      <c r="H417" t="s">
        <v>2257</v>
      </c>
      <c r="I417" t="s">
        <v>211</v>
      </c>
      <c r="J417" t="s">
        <v>212</v>
      </c>
    </row>
    <row r="418" spans="1:10" x14ac:dyDescent="0.3">
      <c r="A418" t="s">
        <v>2268</v>
      </c>
      <c r="B418" t="s">
        <v>179</v>
      </c>
      <c r="C418" t="s">
        <v>2241</v>
      </c>
      <c r="D418" t="s">
        <v>324</v>
      </c>
      <c r="E418" t="s">
        <v>325</v>
      </c>
      <c r="F418">
        <v>1</v>
      </c>
      <c r="G418">
        <v>1</v>
      </c>
      <c r="H418" t="s">
        <v>2259</v>
      </c>
      <c r="I418" t="s">
        <v>211</v>
      </c>
      <c r="J418" t="s">
        <v>212</v>
      </c>
    </row>
    <row r="419" spans="1:10" x14ac:dyDescent="0.3">
      <c r="A419" t="s">
        <v>2269</v>
      </c>
      <c r="B419" t="s">
        <v>179</v>
      </c>
      <c r="C419" t="s">
        <v>2244</v>
      </c>
      <c r="D419" t="s">
        <v>324</v>
      </c>
      <c r="E419" t="s">
        <v>325</v>
      </c>
      <c r="F419">
        <v>1</v>
      </c>
      <c r="G419">
        <v>1</v>
      </c>
      <c r="H419" t="s">
        <v>2261</v>
      </c>
      <c r="I419" t="s">
        <v>211</v>
      </c>
      <c r="J419" t="s">
        <v>212</v>
      </c>
    </row>
    <row r="420" spans="1:10" x14ac:dyDescent="0.3">
      <c r="A420" t="s">
        <v>2270</v>
      </c>
      <c r="B420" t="s">
        <v>179</v>
      </c>
      <c r="C420" t="s">
        <v>2247</v>
      </c>
      <c r="D420" t="s">
        <v>324</v>
      </c>
      <c r="E420" t="s">
        <v>325</v>
      </c>
      <c r="F420">
        <v>1</v>
      </c>
      <c r="G420">
        <v>1</v>
      </c>
      <c r="H420" t="s">
        <v>2263</v>
      </c>
      <c r="I420" t="s">
        <v>211</v>
      </c>
      <c r="J420" t="s">
        <v>212</v>
      </c>
    </row>
    <row r="421" spans="1:10" x14ac:dyDescent="0.3">
      <c r="A421" t="s">
        <v>2271</v>
      </c>
      <c r="B421" t="s">
        <v>181</v>
      </c>
      <c r="C421" t="s">
        <v>2225</v>
      </c>
      <c r="D421" t="s">
        <v>324</v>
      </c>
      <c r="E421" t="s">
        <v>325</v>
      </c>
      <c r="F421">
        <v>1</v>
      </c>
      <c r="G421">
        <v>1</v>
      </c>
      <c r="H421" t="s">
        <v>2251</v>
      </c>
      <c r="I421" t="s">
        <v>211</v>
      </c>
      <c r="J421" t="s">
        <v>212</v>
      </c>
    </row>
    <row r="422" spans="1:10" x14ac:dyDescent="0.3">
      <c r="A422" t="s">
        <v>2272</v>
      </c>
      <c r="B422" t="s">
        <v>181</v>
      </c>
      <c r="C422" t="s">
        <v>2230</v>
      </c>
      <c r="D422" t="s">
        <v>324</v>
      </c>
      <c r="E422" t="s">
        <v>325</v>
      </c>
      <c r="F422">
        <v>1</v>
      </c>
      <c r="G422">
        <v>1</v>
      </c>
      <c r="H422" t="s">
        <v>2253</v>
      </c>
      <c r="I422" t="s">
        <v>211</v>
      </c>
      <c r="J422" t="s">
        <v>212</v>
      </c>
    </row>
    <row r="423" spans="1:10" x14ac:dyDescent="0.3">
      <c r="A423" t="s">
        <v>2273</v>
      </c>
      <c r="B423" t="s">
        <v>181</v>
      </c>
      <c r="C423" t="s">
        <v>2233</v>
      </c>
      <c r="D423" t="s">
        <v>324</v>
      </c>
      <c r="E423" t="s">
        <v>325</v>
      </c>
      <c r="F423">
        <v>1</v>
      </c>
      <c r="G423">
        <v>1</v>
      </c>
      <c r="H423" t="s">
        <v>2255</v>
      </c>
      <c r="I423" t="s">
        <v>211</v>
      </c>
      <c r="J423" t="s">
        <v>212</v>
      </c>
    </row>
    <row r="424" spans="1:10" x14ac:dyDescent="0.3">
      <c r="A424" t="s">
        <v>2274</v>
      </c>
      <c r="B424" t="s">
        <v>181</v>
      </c>
      <c r="C424" t="s">
        <v>2237</v>
      </c>
      <c r="D424" t="s">
        <v>324</v>
      </c>
      <c r="E424" t="s">
        <v>325</v>
      </c>
      <c r="F424">
        <v>1</v>
      </c>
      <c r="G424">
        <v>1</v>
      </c>
      <c r="H424" t="s">
        <v>2257</v>
      </c>
      <c r="I424" t="s">
        <v>211</v>
      </c>
      <c r="J424" t="s">
        <v>212</v>
      </c>
    </row>
    <row r="425" spans="1:10" x14ac:dyDescent="0.3">
      <c r="A425" t="s">
        <v>2275</v>
      </c>
      <c r="B425" t="s">
        <v>181</v>
      </c>
      <c r="C425" t="s">
        <v>2241</v>
      </c>
      <c r="D425" t="s">
        <v>324</v>
      </c>
      <c r="E425" t="s">
        <v>325</v>
      </c>
      <c r="F425">
        <v>1</v>
      </c>
      <c r="G425">
        <v>1</v>
      </c>
      <c r="H425" t="s">
        <v>2259</v>
      </c>
      <c r="I425" t="s">
        <v>211</v>
      </c>
      <c r="J425" t="s">
        <v>212</v>
      </c>
    </row>
    <row r="426" spans="1:10" x14ac:dyDescent="0.3">
      <c r="A426" t="s">
        <v>2276</v>
      </c>
      <c r="B426" t="s">
        <v>181</v>
      </c>
      <c r="C426" t="s">
        <v>2244</v>
      </c>
      <c r="D426" t="s">
        <v>324</v>
      </c>
      <c r="E426" t="s">
        <v>325</v>
      </c>
      <c r="F426">
        <v>1</v>
      </c>
      <c r="G426">
        <v>1</v>
      </c>
      <c r="H426" t="s">
        <v>2261</v>
      </c>
      <c r="I426" t="s">
        <v>211</v>
      </c>
      <c r="J426" t="s">
        <v>212</v>
      </c>
    </row>
    <row r="427" spans="1:10" x14ac:dyDescent="0.3">
      <c r="A427" t="s">
        <v>2277</v>
      </c>
      <c r="B427" t="s">
        <v>181</v>
      </c>
      <c r="C427" t="s">
        <v>2247</v>
      </c>
      <c r="D427" t="s">
        <v>324</v>
      </c>
      <c r="E427" t="s">
        <v>325</v>
      </c>
      <c r="F427">
        <v>1</v>
      </c>
      <c r="G427">
        <v>1</v>
      </c>
      <c r="H427" t="s">
        <v>2263</v>
      </c>
      <c r="I427" t="s">
        <v>211</v>
      </c>
      <c r="J427" t="s">
        <v>212</v>
      </c>
    </row>
    <row r="428" spans="1:10" x14ac:dyDescent="0.3">
      <c r="A428" t="s">
        <v>2278</v>
      </c>
      <c r="B428" t="s">
        <v>516</v>
      </c>
      <c r="C428" t="s">
        <v>2225</v>
      </c>
      <c r="D428" t="s">
        <v>324</v>
      </c>
      <c r="E428" t="s">
        <v>325</v>
      </c>
      <c r="F428">
        <v>1</v>
      </c>
      <c r="G428">
        <v>1</v>
      </c>
      <c r="H428" t="s">
        <v>2251</v>
      </c>
      <c r="I428" t="s">
        <v>211</v>
      </c>
      <c r="J428" t="s">
        <v>212</v>
      </c>
    </row>
    <row r="429" spans="1:10" x14ac:dyDescent="0.3">
      <c r="A429" t="s">
        <v>2279</v>
      </c>
      <c r="B429" t="s">
        <v>516</v>
      </c>
      <c r="C429" t="s">
        <v>2230</v>
      </c>
      <c r="D429" t="s">
        <v>324</v>
      </c>
      <c r="E429" t="s">
        <v>325</v>
      </c>
      <c r="F429">
        <v>1</v>
      </c>
      <c r="G429">
        <v>1</v>
      </c>
      <c r="H429" t="s">
        <v>2253</v>
      </c>
      <c r="I429" t="s">
        <v>211</v>
      </c>
      <c r="J429" t="s">
        <v>212</v>
      </c>
    </row>
    <row r="430" spans="1:10" x14ac:dyDescent="0.3">
      <c r="A430" t="s">
        <v>2280</v>
      </c>
      <c r="B430" t="s">
        <v>516</v>
      </c>
      <c r="C430" t="s">
        <v>2233</v>
      </c>
      <c r="D430" t="s">
        <v>324</v>
      </c>
      <c r="E430" t="s">
        <v>325</v>
      </c>
      <c r="F430">
        <v>1</v>
      </c>
      <c r="G430">
        <v>1</v>
      </c>
      <c r="H430" t="s">
        <v>2255</v>
      </c>
      <c r="I430" t="s">
        <v>211</v>
      </c>
      <c r="J430" t="s">
        <v>212</v>
      </c>
    </row>
    <row r="431" spans="1:10" x14ac:dyDescent="0.3">
      <c r="A431" t="s">
        <v>2281</v>
      </c>
      <c r="B431" t="s">
        <v>516</v>
      </c>
      <c r="C431" t="s">
        <v>2237</v>
      </c>
      <c r="D431" t="s">
        <v>324</v>
      </c>
      <c r="E431" t="s">
        <v>325</v>
      </c>
      <c r="F431">
        <v>1</v>
      </c>
      <c r="G431">
        <v>1</v>
      </c>
      <c r="H431" t="s">
        <v>2257</v>
      </c>
      <c r="I431" t="s">
        <v>211</v>
      </c>
      <c r="J431" t="s">
        <v>212</v>
      </c>
    </row>
    <row r="432" spans="1:10" x14ac:dyDescent="0.3">
      <c r="A432" t="s">
        <v>2282</v>
      </c>
      <c r="B432" t="s">
        <v>516</v>
      </c>
      <c r="C432" t="s">
        <v>2241</v>
      </c>
      <c r="D432" t="s">
        <v>324</v>
      </c>
      <c r="E432" t="s">
        <v>325</v>
      </c>
      <c r="F432">
        <v>1</v>
      </c>
      <c r="G432">
        <v>1</v>
      </c>
      <c r="H432" t="s">
        <v>2259</v>
      </c>
      <c r="I432" t="s">
        <v>211</v>
      </c>
      <c r="J432" t="s">
        <v>212</v>
      </c>
    </row>
    <row r="433" spans="1:10" x14ac:dyDescent="0.3">
      <c r="A433" t="s">
        <v>2283</v>
      </c>
      <c r="B433" t="s">
        <v>516</v>
      </c>
      <c r="C433" t="s">
        <v>2244</v>
      </c>
      <c r="D433" t="s">
        <v>324</v>
      </c>
      <c r="E433" t="s">
        <v>325</v>
      </c>
      <c r="F433">
        <v>1</v>
      </c>
      <c r="G433">
        <v>1</v>
      </c>
      <c r="H433" t="s">
        <v>2261</v>
      </c>
      <c r="I433" t="s">
        <v>211</v>
      </c>
      <c r="J433" t="s">
        <v>212</v>
      </c>
    </row>
    <row r="434" spans="1:10" x14ac:dyDescent="0.3">
      <c r="A434" t="s">
        <v>2284</v>
      </c>
      <c r="B434" t="s">
        <v>516</v>
      </c>
      <c r="C434" t="s">
        <v>2247</v>
      </c>
      <c r="D434" t="s">
        <v>324</v>
      </c>
      <c r="E434" t="s">
        <v>325</v>
      </c>
      <c r="F434">
        <v>1</v>
      </c>
      <c r="G434">
        <v>1</v>
      </c>
      <c r="H434" t="s">
        <v>2263</v>
      </c>
      <c r="I434" t="s">
        <v>211</v>
      </c>
      <c r="J434" t="s">
        <v>212</v>
      </c>
    </row>
    <row r="435" spans="1:10" x14ac:dyDescent="0.3">
      <c r="A435" t="s">
        <v>2285</v>
      </c>
      <c r="B435" t="s">
        <v>521</v>
      </c>
      <c r="C435" t="s">
        <v>2225</v>
      </c>
      <c r="D435" t="s">
        <v>324</v>
      </c>
      <c r="E435" t="s">
        <v>325</v>
      </c>
      <c r="F435">
        <v>1</v>
      </c>
      <c r="G435">
        <v>1</v>
      </c>
      <c r="H435" t="s">
        <v>2251</v>
      </c>
      <c r="I435" t="s">
        <v>211</v>
      </c>
      <c r="J435" t="s">
        <v>212</v>
      </c>
    </row>
    <row r="436" spans="1:10" x14ac:dyDescent="0.3">
      <c r="A436" t="s">
        <v>2286</v>
      </c>
      <c r="B436" t="s">
        <v>521</v>
      </c>
      <c r="C436" t="s">
        <v>2230</v>
      </c>
      <c r="D436" t="s">
        <v>324</v>
      </c>
      <c r="E436" t="s">
        <v>325</v>
      </c>
      <c r="F436">
        <v>1</v>
      </c>
      <c r="G436">
        <v>1</v>
      </c>
      <c r="H436" t="s">
        <v>2253</v>
      </c>
      <c r="I436" t="s">
        <v>211</v>
      </c>
      <c r="J436" t="s">
        <v>212</v>
      </c>
    </row>
    <row r="437" spans="1:10" x14ac:dyDescent="0.3">
      <c r="A437" t="s">
        <v>2287</v>
      </c>
      <c r="B437" t="s">
        <v>521</v>
      </c>
      <c r="C437" t="s">
        <v>2233</v>
      </c>
      <c r="D437" t="s">
        <v>324</v>
      </c>
      <c r="E437" t="s">
        <v>325</v>
      </c>
      <c r="F437">
        <v>1</v>
      </c>
      <c r="G437">
        <v>1</v>
      </c>
      <c r="H437" t="s">
        <v>2255</v>
      </c>
      <c r="I437" t="s">
        <v>211</v>
      </c>
      <c r="J437" t="s">
        <v>212</v>
      </c>
    </row>
    <row r="438" spans="1:10" x14ac:dyDescent="0.3">
      <c r="A438" t="s">
        <v>2288</v>
      </c>
      <c r="B438" t="s">
        <v>521</v>
      </c>
      <c r="C438" t="s">
        <v>2237</v>
      </c>
      <c r="D438" t="s">
        <v>324</v>
      </c>
      <c r="E438" t="s">
        <v>325</v>
      </c>
      <c r="F438">
        <v>1</v>
      </c>
      <c r="G438">
        <v>1</v>
      </c>
      <c r="H438" t="s">
        <v>2257</v>
      </c>
      <c r="I438" t="s">
        <v>211</v>
      </c>
      <c r="J438" t="s">
        <v>212</v>
      </c>
    </row>
    <row r="439" spans="1:10" x14ac:dyDescent="0.3">
      <c r="A439" t="s">
        <v>2289</v>
      </c>
      <c r="B439" t="s">
        <v>521</v>
      </c>
      <c r="C439" t="s">
        <v>2241</v>
      </c>
      <c r="D439" t="s">
        <v>324</v>
      </c>
      <c r="E439" t="s">
        <v>325</v>
      </c>
      <c r="F439">
        <v>1</v>
      </c>
      <c r="G439">
        <v>1</v>
      </c>
      <c r="H439" t="s">
        <v>2259</v>
      </c>
      <c r="I439" t="s">
        <v>211</v>
      </c>
      <c r="J439" t="s">
        <v>212</v>
      </c>
    </row>
    <row r="440" spans="1:10" x14ac:dyDescent="0.3">
      <c r="A440" t="s">
        <v>2290</v>
      </c>
      <c r="B440" t="s">
        <v>521</v>
      </c>
      <c r="C440" t="s">
        <v>2244</v>
      </c>
      <c r="D440" t="s">
        <v>324</v>
      </c>
      <c r="E440" t="s">
        <v>325</v>
      </c>
      <c r="F440">
        <v>1</v>
      </c>
      <c r="G440">
        <v>1</v>
      </c>
      <c r="H440" t="s">
        <v>2261</v>
      </c>
      <c r="I440" t="s">
        <v>211</v>
      </c>
      <c r="J440" t="s">
        <v>212</v>
      </c>
    </row>
    <row r="441" spans="1:10" x14ac:dyDescent="0.3">
      <c r="A441" t="s">
        <v>2291</v>
      </c>
      <c r="B441" t="s">
        <v>521</v>
      </c>
      <c r="C441" t="s">
        <v>2247</v>
      </c>
      <c r="D441" t="s">
        <v>324</v>
      </c>
      <c r="E441" t="s">
        <v>325</v>
      </c>
      <c r="F441">
        <v>1</v>
      </c>
      <c r="G441">
        <v>1</v>
      </c>
      <c r="H441" t="s">
        <v>2263</v>
      </c>
      <c r="I441" t="s">
        <v>211</v>
      </c>
      <c r="J441" t="s">
        <v>212</v>
      </c>
    </row>
    <row r="442" spans="1:10" x14ac:dyDescent="0.3">
      <c r="A442" t="s">
        <v>2292</v>
      </c>
      <c r="B442" t="s">
        <v>532</v>
      </c>
      <c r="C442" t="s">
        <v>2225</v>
      </c>
      <c r="D442" t="s">
        <v>324</v>
      </c>
      <c r="E442" t="s">
        <v>325</v>
      </c>
      <c r="F442">
        <v>1</v>
      </c>
      <c r="G442">
        <v>1</v>
      </c>
      <c r="H442" t="s">
        <v>2251</v>
      </c>
      <c r="I442" t="s">
        <v>211</v>
      </c>
      <c r="J442" t="s">
        <v>212</v>
      </c>
    </row>
    <row r="443" spans="1:10" x14ac:dyDescent="0.3">
      <c r="A443" t="s">
        <v>2293</v>
      </c>
      <c r="B443" t="s">
        <v>532</v>
      </c>
      <c r="C443" t="s">
        <v>2230</v>
      </c>
      <c r="D443" t="s">
        <v>324</v>
      </c>
      <c r="E443" t="s">
        <v>325</v>
      </c>
      <c r="F443">
        <v>1</v>
      </c>
      <c r="G443">
        <v>1</v>
      </c>
      <c r="H443" t="s">
        <v>2253</v>
      </c>
      <c r="I443" t="s">
        <v>211</v>
      </c>
      <c r="J443" t="s">
        <v>212</v>
      </c>
    </row>
    <row r="444" spans="1:10" x14ac:dyDescent="0.3">
      <c r="A444" t="s">
        <v>2294</v>
      </c>
      <c r="B444" t="s">
        <v>532</v>
      </c>
      <c r="C444" t="s">
        <v>2233</v>
      </c>
      <c r="D444" t="s">
        <v>324</v>
      </c>
      <c r="E444" t="s">
        <v>325</v>
      </c>
      <c r="F444">
        <v>1</v>
      </c>
      <c r="G444">
        <v>1</v>
      </c>
      <c r="H444" t="s">
        <v>2255</v>
      </c>
      <c r="I444" t="s">
        <v>211</v>
      </c>
      <c r="J444" t="s">
        <v>212</v>
      </c>
    </row>
    <row r="445" spans="1:10" x14ac:dyDescent="0.3">
      <c r="A445" t="s">
        <v>2295</v>
      </c>
      <c r="B445" t="s">
        <v>532</v>
      </c>
      <c r="C445" t="s">
        <v>2237</v>
      </c>
      <c r="D445" t="s">
        <v>324</v>
      </c>
      <c r="E445" t="s">
        <v>325</v>
      </c>
      <c r="F445">
        <v>1</v>
      </c>
      <c r="G445">
        <v>1</v>
      </c>
      <c r="H445" t="s">
        <v>2257</v>
      </c>
      <c r="I445" t="s">
        <v>211</v>
      </c>
      <c r="J445" t="s">
        <v>212</v>
      </c>
    </row>
    <row r="446" spans="1:10" x14ac:dyDescent="0.3">
      <c r="A446" t="s">
        <v>2296</v>
      </c>
      <c r="B446" t="s">
        <v>532</v>
      </c>
      <c r="C446" t="s">
        <v>2241</v>
      </c>
      <c r="D446" t="s">
        <v>324</v>
      </c>
      <c r="E446" t="s">
        <v>325</v>
      </c>
      <c r="F446">
        <v>1</v>
      </c>
      <c r="G446">
        <v>1</v>
      </c>
      <c r="H446" t="s">
        <v>2259</v>
      </c>
      <c r="I446" t="s">
        <v>211</v>
      </c>
      <c r="J446" t="s">
        <v>212</v>
      </c>
    </row>
    <row r="447" spans="1:10" x14ac:dyDescent="0.3">
      <c r="A447" t="s">
        <v>2297</v>
      </c>
      <c r="B447" t="s">
        <v>532</v>
      </c>
      <c r="C447" t="s">
        <v>2244</v>
      </c>
      <c r="D447" t="s">
        <v>324</v>
      </c>
      <c r="E447" t="s">
        <v>325</v>
      </c>
      <c r="F447">
        <v>1</v>
      </c>
      <c r="G447">
        <v>1</v>
      </c>
      <c r="H447" t="s">
        <v>2261</v>
      </c>
      <c r="I447" t="s">
        <v>211</v>
      </c>
      <c r="J447" t="s">
        <v>212</v>
      </c>
    </row>
    <row r="448" spans="1:10" x14ac:dyDescent="0.3">
      <c r="A448" t="s">
        <v>2298</v>
      </c>
      <c r="B448" t="s">
        <v>532</v>
      </c>
      <c r="C448" t="s">
        <v>2247</v>
      </c>
      <c r="D448" t="s">
        <v>324</v>
      </c>
      <c r="E448" t="s">
        <v>325</v>
      </c>
      <c r="F448">
        <v>1</v>
      </c>
      <c r="G448">
        <v>1</v>
      </c>
      <c r="H448" t="s">
        <v>2263</v>
      </c>
      <c r="I448" t="s">
        <v>211</v>
      </c>
      <c r="J448" t="s">
        <v>212</v>
      </c>
    </row>
    <row r="449" spans="1:10" x14ac:dyDescent="0.3">
      <c r="A449" t="s">
        <v>2299</v>
      </c>
      <c r="B449" t="s">
        <v>184</v>
      </c>
      <c r="C449" t="s">
        <v>2225</v>
      </c>
      <c r="D449" t="s">
        <v>324</v>
      </c>
      <c r="E449" t="s">
        <v>325</v>
      </c>
      <c r="F449">
        <v>1</v>
      </c>
      <c r="G449">
        <v>1</v>
      </c>
      <c r="H449" t="s">
        <v>2251</v>
      </c>
      <c r="I449" t="s">
        <v>211</v>
      </c>
      <c r="J449" t="s">
        <v>212</v>
      </c>
    </row>
    <row r="450" spans="1:10" x14ac:dyDescent="0.3">
      <c r="A450" t="s">
        <v>2300</v>
      </c>
      <c r="B450" t="s">
        <v>184</v>
      </c>
      <c r="C450" t="s">
        <v>2230</v>
      </c>
      <c r="D450" t="s">
        <v>324</v>
      </c>
      <c r="E450" t="s">
        <v>325</v>
      </c>
      <c r="F450">
        <v>1</v>
      </c>
      <c r="G450">
        <v>1</v>
      </c>
      <c r="H450" t="s">
        <v>2253</v>
      </c>
      <c r="I450" t="s">
        <v>211</v>
      </c>
      <c r="J450" t="s">
        <v>212</v>
      </c>
    </row>
    <row r="451" spans="1:10" x14ac:dyDescent="0.3">
      <c r="A451" t="s">
        <v>2301</v>
      </c>
      <c r="B451" t="s">
        <v>184</v>
      </c>
      <c r="C451" t="s">
        <v>2233</v>
      </c>
      <c r="D451" t="s">
        <v>324</v>
      </c>
      <c r="E451" t="s">
        <v>325</v>
      </c>
      <c r="F451">
        <v>1</v>
      </c>
      <c r="G451">
        <v>1</v>
      </c>
      <c r="H451" t="s">
        <v>2255</v>
      </c>
      <c r="I451" t="s">
        <v>211</v>
      </c>
      <c r="J451" t="s">
        <v>212</v>
      </c>
    </row>
    <row r="452" spans="1:10" x14ac:dyDescent="0.3">
      <c r="A452" t="s">
        <v>2302</v>
      </c>
      <c r="B452" t="s">
        <v>184</v>
      </c>
      <c r="C452" t="s">
        <v>2237</v>
      </c>
      <c r="D452" t="s">
        <v>324</v>
      </c>
      <c r="E452" t="s">
        <v>325</v>
      </c>
      <c r="F452">
        <v>1</v>
      </c>
      <c r="G452">
        <v>1</v>
      </c>
      <c r="H452" t="s">
        <v>2257</v>
      </c>
      <c r="I452" t="s">
        <v>211</v>
      </c>
      <c r="J452" t="s">
        <v>212</v>
      </c>
    </row>
    <row r="453" spans="1:10" x14ac:dyDescent="0.3">
      <c r="A453" t="s">
        <v>2303</v>
      </c>
      <c r="B453" t="s">
        <v>184</v>
      </c>
      <c r="C453" t="s">
        <v>2241</v>
      </c>
      <c r="D453" t="s">
        <v>324</v>
      </c>
      <c r="E453" t="s">
        <v>325</v>
      </c>
      <c r="F453">
        <v>1</v>
      </c>
      <c r="G453">
        <v>1</v>
      </c>
      <c r="H453" t="s">
        <v>2259</v>
      </c>
      <c r="I453" t="s">
        <v>211</v>
      </c>
      <c r="J453" t="s">
        <v>212</v>
      </c>
    </row>
    <row r="454" spans="1:10" x14ac:dyDescent="0.3">
      <c r="A454" t="s">
        <v>2304</v>
      </c>
      <c r="B454" t="s">
        <v>184</v>
      </c>
      <c r="C454" t="s">
        <v>2244</v>
      </c>
      <c r="D454" t="s">
        <v>324</v>
      </c>
      <c r="E454" t="s">
        <v>325</v>
      </c>
      <c r="F454">
        <v>1</v>
      </c>
      <c r="G454">
        <v>1</v>
      </c>
      <c r="H454" t="s">
        <v>2261</v>
      </c>
      <c r="I454" t="s">
        <v>211</v>
      </c>
      <c r="J454" t="s">
        <v>212</v>
      </c>
    </row>
    <row r="455" spans="1:10" x14ac:dyDescent="0.3">
      <c r="A455" t="s">
        <v>2305</v>
      </c>
      <c r="B455" t="s">
        <v>184</v>
      </c>
      <c r="C455" t="s">
        <v>2247</v>
      </c>
      <c r="D455" t="s">
        <v>324</v>
      </c>
      <c r="E455" t="s">
        <v>325</v>
      </c>
      <c r="F455">
        <v>1</v>
      </c>
      <c r="G455">
        <v>1</v>
      </c>
      <c r="H455" t="s">
        <v>2263</v>
      </c>
      <c r="I455" t="s">
        <v>211</v>
      </c>
      <c r="J455" t="s">
        <v>212</v>
      </c>
    </row>
    <row r="456" spans="1:10" x14ac:dyDescent="0.3">
      <c r="A456" t="s">
        <v>2306</v>
      </c>
      <c r="B456" t="s">
        <v>537</v>
      </c>
      <c r="C456" t="s">
        <v>2225</v>
      </c>
      <c r="D456" t="s">
        <v>324</v>
      </c>
      <c r="E456" t="s">
        <v>325</v>
      </c>
      <c r="F456">
        <v>1</v>
      </c>
      <c r="G456">
        <v>1</v>
      </c>
      <c r="H456" t="s">
        <v>2251</v>
      </c>
      <c r="I456" t="s">
        <v>211</v>
      </c>
      <c r="J456" t="s">
        <v>212</v>
      </c>
    </row>
    <row r="457" spans="1:10" x14ac:dyDescent="0.3">
      <c r="A457" t="s">
        <v>2307</v>
      </c>
      <c r="B457" t="s">
        <v>537</v>
      </c>
      <c r="C457" t="s">
        <v>2230</v>
      </c>
      <c r="D457" t="s">
        <v>324</v>
      </c>
      <c r="E457" t="s">
        <v>325</v>
      </c>
      <c r="F457">
        <v>1</v>
      </c>
      <c r="G457">
        <v>1</v>
      </c>
      <c r="H457" t="s">
        <v>2253</v>
      </c>
      <c r="I457" t="s">
        <v>211</v>
      </c>
      <c r="J457" t="s">
        <v>212</v>
      </c>
    </row>
    <row r="458" spans="1:10" x14ac:dyDescent="0.3">
      <c r="A458" t="s">
        <v>2308</v>
      </c>
      <c r="B458" t="s">
        <v>537</v>
      </c>
      <c r="C458" t="s">
        <v>2233</v>
      </c>
      <c r="D458" t="s">
        <v>324</v>
      </c>
      <c r="E458" t="s">
        <v>325</v>
      </c>
      <c r="F458">
        <v>1</v>
      </c>
      <c r="G458">
        <v>1</v>
      </c>
      <c r="H458" t="s">
        <v>2255</v>
      </c>
      <c r="I458" t="s">
        <v>211</v>
      </c>
      <c r="J458" t="s">
        <v>212</v>
      </c>
    </row>
    <row r="459" spans="1:10" x14ac:dyDescent="0.3">
      <c r="A459" t="s">
        <v>2309</v>
      </c>
      <c r="B459" t="s">
        <v>537</v>
      </c>
      <c r="C459" t="s">
        <v>2237</v>
      </c>
      <c r="D459" t="s">
        <v>324</v>
      </c>
      <c r="E459" t="s">
        <v>325</v>
      </c>
      <c r="F459">
        <v>1</v>
      </c>
      <c r="G459">
        <v>1</v>
      </c>
      <c r="H459" t="s">
        <v>2257</v>
      </c>
      <c r="I459" t="s">
        <v>211</v>
      </c>
      <c r="J459" t="s">
        <v>212</v>
      </c>
    </row>
    <row r="460" spans="1:10" x14ac:dyDescent="0.3">
      <c r="A460" t="s">
        <v>2310</v>
      </c>
      <c r="B460" t="s">
        <v>537</v>
      </c>
      <c r="C460" t="s">
        <v>2241</v>
      </c>
      <c r="D460" t="s">
        <v>324</v>
      </c>
      <c r="E460" t="s">
        <v>325</v>
      </c>
      <c r="F460">
        <v>1</v>
      </c>
      <c r="G460">
        <v>1</v>
      </c>
      <c r="H460" t="s">
        <v>2259</v>
      </c>
      <c r="I460" t="s">
        <v>211</v>
      </c>
      <c r="J460" t="s">
        <v>212</v>
      </c>
    </row>
    <row r="461" spans="1:10" x14ac:dyDescent="0.3">
      <c r="A461" t="s">
        <v>2311</v>
      </c>
      <c r="B461" t="s">
        <v>537</v>
      </c>
      <c r="C461" t="s">
        <v>2244</v>
      </c>
      <c r="D461" t="s">
        <v>324</v>
      </c>
      <c r="E461" t="s">
        <v>325</v>
      </c>
      <c r="F461">
        <v>1</v>
      </c>
      <c r="G461">
        <v>1</v>
      </c>
      <c r="H461" t="s">
        <v>2261</v>
      </c>
      <c r="I461" t="s">
        <v>211</v>
      </c>
      <c r="J461" t="s">
        <v>212</v>
      </c>
    </row>
    <row r="462" spans="1:10" x14ac:dyDescent="0.3">
      <c r="A462" t="s">
        <v>2312</v>
      </c>
      <c r="B462" t="s">
        <v>537</v>
      </c>
      <c r="C462" t="s">
        <v>2247</v>
      </c>
      <c r="D462" t="s">
        <v>324</v>
      </c>
      <c r="E462" t="s">
        <v>325</v>
      </c>
      <c r="F462">
        <v>1</v>
      </c>
      <c r="G462">
        <v>1</v>
      </c>
      <c r="H462" t="s">
        <v>2263</v>
      </c>
      <c r="I462" t="s">
        <v>211</v>
      </c>
      <c r="J462" t="s">
        <v>212</v>
      </c>
    </row>
    <row r="463" spans="1:10" x14ac:dyDescent="0.3">
      <c r="A463" t="s">
        <v>2313</v>
      </c>
      <c r="B463" t="s">
        <v>541</v>
      </c>
      <c r="C463" t="s">
        <v>2225</v>
      </c>
      <c r="D463" t="s">
        <v>324</v>
      </c>
      <c r="E463" t="s">
        <v>325</v>
      </c>
      <c r="F463">
        <v>1</v>
      </c>
      <c r="G463">
        <v>1</v>
      </c>
      <c r="H463" t="s">
        <v>2251</v>
      </c>
      <c r="I463" t="s">
        <v>211</v>
      </c>
      <c r="J463" t="s">
        <v>212</v>
      </c>
    </row>
    <row r="464" spans="1:10" x14ac:dyDescent="0.3">
      <c r="A464" t="s">
        <v>2314</v>
      </c>
      <c r="B464" t="s">
        <v>541</v>
      </c>
      <c r="C464" t="s">
        <v>2230</v>
      </c>
      <c r="D464" t="s">
        <v>324</v>
      </c>
      <c r="E464" t="s">
        <v>325</v>
      </c>
      <c r="F464">
        <v>1</v>
      </c>
      <c r="G464">
        <v>1</v>
      </c>
      <c r="H464" t="s">
        <v>2253</v>
      </c>
      <c r="I464" t="s">
        <v>211</v>
      </c>
      <c r="J464" t="s">
        <v>212</v>
      </c>
    </row>
    <row r="465" spans="1:10" x14ac:dyDescent="0.3">
      <c r="A465" t="s">
        <v>2315</v>
      </c>
      <c r="B465" t="s">
        <v>541</v>
      </c>
      <c r="C465" t="s">
        <v>2233</v>
      </c>
      <c r="D465" t="s">
        <v>324</v>
      </c>
      <c r="E465" t="s">
        <v>325</v>
      </c>
      <c r="F465">
        <v>1</v>
      </c>
      <c r="G465">
        <v>1</v>
      </c>
      <c r="H465" t="s">
        <v>2255</v>
      </c>
      <c r="I465" t="s">
        <v>211</v>
      </c>
      <c r="J465" t="s">
        <v>212</v>
      </c>
    </row>
    <row r="466" spans="1:10" x14ac:dyDescent="0.3">
      <c r="A466" t="s">
        <v>2316</v>
      </c>
      <c r="B466" t="s">
        <v>541</v>
      </c>
      <c r="C466" t="s">
        <v>2237</v>
      </c>
      <c r="D466" t="s">
        <v>324</v>
      </c>
      <c r="E466" t="s">
        <v>325</v>
      </c>
      <c r="F466">
        <v>1</v>
      </c>
      <c r="G466">
        <v>1</v>
      </c>
      <c r="H466" t="s">
        <v>2257</v>
      </c>
      <c r="I466" t="s">
        <v>211</v>
      </c>
      <c r="J466" t="s">
        <v>212</v>
      </c>
    </row>
    <row r="467" spans="1:10" x14ac:dyDescent="0.3">
      <c r="A467" t="s">
        <v>2317</v>
      </c>
      <c r="B467" t="s">
        <v>541</v>
      </c>
      <c r="C467" t="s">
        <v>2241</v>
      </c>
      <c r="D467" t="s">
        <v>324</v>
      </c>
      <c r="E467" t="s">
        <v>325</v>
      </c>
      <c r="F467">
        <v>1</v>
      </c>
      <c r="G467">
        <v>1</v>
      </c>
      <c r="H467" t="s">
        <v>2259</v>
      </c>
      <c r="I467" t="s">
        <v>211</v>
      </c>
      <c r="J467" t="s">
        <v>212</v>
      </c>
    </row>
    <row r="468" spans="1:10" x14ac:dyDescent="0.3">
      <c r="A468" t="s">
        <v>2318</v>
      </c>
      <c r="B468" t="s">
        <v>541</v>
      </c>
      <c r="C468" t="s">
        <v>2244</v>
      </c>
      <c r="D468" t="s">
        <v>324</v>
      </c>
      <c r="E468" t="s">
        <v>325</v>
      </c>
      <c r="F468">
        <v>1</v>
      </c>
      <c r="G468">
        <v>1</v>
      </c>
      <c r="H468" t="s">
        <v>2261</v>
      </c>
      <c r="I468" t="s">
        <v>211</v>
      </c>
      <c r="J468" t="s">
        <v>212</v>
      </c>
    </row>
    <row r="469" spans="1:10" x14ac:dyDescent="0.3">
      <c r="A469" t="s">
        <v>2319</v>
      </c>
      <c r="B469" t="s">
        <v>541</v>
      </c>
      <c r="C469" t="s">
        <v>2247</v>
      </c>
      <c r="D469" t="s">
        <v>324</v>
      </c>
      <c r="E469" t="s">
        <v>325</v>
      </c>
      <c r="F469">
        <v>1</v>
      </c>
      <c r="G469">
        <v>1</v>
      </c>
      <c r="H469" t="s">
        <v>2263</v>
      </c>
      <c r="I469" t="s">
        <v>211</v>
      </c>
      <c r="J469" t="s">
        <v>212</v>
      </c>
    </row>
    <row r="470" spans="1:10" x14ac:dyDescent="0.3">
      <c r="A470" t="s">
        <v>2320</v>
      </c>
      <c r="B470" t="s">
        <v>545</v>
      </c>
      <c r="C470" t="s">
        <v>2225</v>
      </c>
      <c r="D470" t="s">
        <v>324</v>
      </c>
      <c r="E470" t="s">
        <v>325</v>
      </c>
      <c r="F470">
        <v>1</v>
      </c>
      <c r="G470">
        <v>1</v>
      </c>
      <c r="H470" t="s">
        <v>2251</v>
      </c>
      <c r="I470" t="s">
        <v>211</v>
      </c>
      <c r="J470" t="s">
        <v>212</v>
      </c>
    </row>
    <row r="471" spans="1:10" x14ac:dyDescent="0.3">
      <c r="A471" t="s">
        <v>2321</v>
      </c>
      <c r="B471" t="s">
        <v>545</v>
      </c>
      <c r="C471" t="s">
        <v>2230</v>
      </c>
      <c r="D471" t="s">
        <v>324</v>
      </c>
      <c r="E471" t="s">
        <v>325</v>
      </c>
      <c r="F471">
        <v>1</v>
      </c>
      <c r="G471">
        <v>1</v>
      </c>
      <c r="H471" t="s">
        <v>2253</v>
      </c>
      <c r="I471" t="s">
        <v>211</v>
      </c>
      <c r="J471" t="s">
        <v>212</v>
      </c>
    </row>
    <row r="472" spans="1:10" x14ac:dyDescent="0.3">
      <c r="A472" t="s">
        <v>2322</v>
      </c>
      <c r="B472" t="s">
        <v>545</v>
      </c>
      <c r="C472" t="s">
        <v>2233</v>
      </c>
      <c r="D472" t="s">
        <v>324</v>
      </c>
      <c r="E472" t="s">
        <v>325</v>
      </c>
      <c r="F472">
        <v>1</v>
      </c>
      <c r="G472">
        <v>1</v>
      </c>
      <c r="H472" t="s">
        <v>2255</v>
      </c>
      <c r="I472" t="s">
        <v>211</v>
      </c>
      <c r="J472" t="s">
        <v>212</v>
      </c>
    </row>
    <row r="473" spans="1:10" x14ac:dyDescent="0.3">
      <c r="A473" t="s">
        <v>2323</v>
      </c>
      <c r="B473" t="s">
        <v>545</v>
      </c>
      <c r="C473" t="s">
        <v>2237</v>
      </c>
      <c r="D473" t="s">
        <v>324</v>
      </c>
      <c r="E473" t="s">
        <v>325</v>
      </c>
      <c r="F473">
        <v>1</v>
      </c>
      <c r="G473">
        <v>1</v>
      </c>
      <c r="H473" t="s">
        <v>2257</v>
      </c>
      <c r="I473" t="s">
        <v>211</v>
      </c>
      <c r="J473" t="s">
        <v>212</v>
      </c>
    </row>
    <row r="474" spans="1:10" x14ac:dyDescent="0.3">
      <c r="A474" t="s">
        <v>2324</v>
      </c>
      <c r="B474" t="s">
        <v>545</v>
      </c>
      <c r="C474" t="s">
        <v>2241</v>
      </c>
      <c r="D474" t="s">
        <v>324</v>
      </c>
      <c r="E474" t="s">
        <v>325</v>
      </c>
      <c r="F474">
        <v>1</v>
      </c>
      <c r="G474">
        <v>1</v>
      </c>
      <c r="H474" t="s">
        <v>2259</v>
      </c>
      <c r="I474" t="s">
        <v>211</v>
      </c>
      <c r="J474" t="s">
        <v>212</v>
      </c>
    </row>
    <row r="475" spans="1:10" x14ac:dyDescent="0.3">
      <c r="A475" t="s">
        <v>2325</v>
      </c>
      <c r="B475" t="s">
        <v>545</v>
      </c>
      <c r="C475" t="s">
        <v>2244</v>
      </c>
      <c r="D475" t="s">
        <v>324</v>
      </c>
      <c r="E475" t="s">
        <v>325</v>
      </c>
      <c r="F475">
        <v>1</v>
      </c>
      <c r="G475">
        <v>1</v>
      </c>
      <c r="H475" t="s">
        <v>2261</v>
      </c>
      <c r="I475" t="s">
        <v>211</v>
      </c>
      <c r="J475" t="s">
        <v>212</v>
      </c>
    </row>
    <row r="476" spans="1:10" x14ac:dyDescent="0.3">
      <c r="A476" t="s">
        <v>2326</v>
      </c>
      <c r="B476" t="s">
        <v>545</v>
      </c>
      <c r="C476" t="s">
        <v>2247</v>
      </c>
      <c r="D476" t="s">
        <v>324</v>
      </c>
      <c r="E476" t="s">
        <v>325</v>
      </c>
      <c r="F476">
        <v>1</v>
      </c>
      <c r="G476">
        <v>1</v>
      </c>
      <c r="H476" t="s">
        <v>2263</v>
      </c>
      <c r="I476" t="s">
        <v>211</v>
      </c>
      <c r="J476" t="s">
        <v>212</v>
      </c>
    </row>
    <row r="477" spans="1:10" x14ac:dyDescent="0.3">
      <c r="A477" t="s">
        <v>2327</v>
      </c>
      <c r="B477" t="s">
        <v>549</v>
      </c>
      <c r="C477" t="s">
        <v>2225</v>
      </c>
      <c r="D477" t="s">
        <v>324</v>
      </c>
      <c r="E477" t="s">
        <v>325</v>
      </c>
      <c r="F477">
        <v>1</v>
      </c>
      <c r="G477">
        <v>1</v>
      </c>
      <c r="H477" t="s">
        <v>2251</v>
      </c>
      <c r="I477" t="s">
        <v>211</v>
      </c>
      <c r="J477" t="s">
        <v>212</v>
      </c>
    </row>
    <row r="478" spans="1:10" x14ac:dyDescent="0.3">
      <c r="A478" t="s">
        <v>2328</v>
      </c>
      <c r="B478" t="s">
        <v>549</v>
      </c>
      <c r="C478" t="s">
        <v>2230</v>
      </c>
      <c r="D478" t="s">
        <v>324</v>
      </c>
      <c r="E478" t="s">
        <v>325</v>
      </c>
      <c r="F478">
        <v>1</v>
      </c>
      <c r="G478">
        <v>1</v>
      </c>
      <c r="H478" t="s">
        <v>2253</v>
      </c>
      <c r="I478" t="s">
        <v>211</v>
      </c>
      <c r="J478" t="s">
        <v>212</v>
      </c>
    </row>
    <row r="479" spans="1:10" x14ac:dyDescent="0.3">
      <c r="A479" t="s">
        <v>2329</v>
      </c>
      <c r="B479" t="s">
        <v>549</v>
      </c>
      <c r="C479" t="s">
        <v>2233</v>
      </c>
      <c r="D479" t="s">
        <v>324</v>
      </c>
      <c r="E479" t="s">
        <v>325</v>
      </c>
      <c r="F479">
        <v>1</v>
      </c>
      <c r="G479">
        <v>1</v>
      </c>
      <c r="H479" t="s">
        <v>2255</v>
      </c>
      <c r="I479" t="s">
        <v>211</v>
      </c>
      <c r="J479" t="s">
        <v>212</v>
      </c>
    </row>
    <row r="480" spans="1:10" x14ac:dyDescent="0.3">
      <c r="A480" t="s">
        <v>2330</v>
      </c>
      <c r="B480" t="s">
        <v>549</v>
      </c>
      <c r="C480" t="s">
        <v>2237</v>
      </c>
      <c r="D480" t="s">
        <v>324</v>
      </c>
      <c r="E480" t="s">
        <v>325</v>
      </c>
      <c r="F480">
        <v>1</v>
      </c>
      <c r="G480">
        <v>1</v>
      </c>
      <c r="H480" t="s">
        <v>2257</v>
      </c>
      <c r="I480" t="s">
        <v>211</v>
      </c>
      <c r="J480" t="s">
        <v>212</v>
      </c>
    </row>
    <row r="481" spans="1:10" x14ac:dyDescent="0.3">
      <c r="A481" t="s">
        <v>2331</v>
      </c>
      <c r="B481" t="s">
        <v>549</v>
      </c>
      <c r="C481" t="s">
        <v>2241</v>
      </c>
      <c r="D481" t="s">
        <v>324</v>
      </c>
      <c r="E481" t="s">
        <v>325</v>
      </c>
      <c r="F481">
        <v>1</v>
      </c>
      <c r="G481">
        <v>1</v>
      </c>
      <c r="H481" t="s">
        <v>2259</v>
      </c>
      <c r="I481" t="s">
        <v>211</v>
      </c>
      <c r="J481" t="s">
        <v>212</v>
      </c>
    </row>
    <row r="482" spans="1:10" x14ac:dyDescent="0.3">
      <c r="A482" t="s">
        <v>2332</v>
      </c>
      <c r="B482" t="s">
        <v>549</v>
      </c>
      <c r="C482" t="s">
        <v>2244</v>
      </c>
      <c r="D482" t="s">
        <v>324</v>
      </c>
      <c r="E482" t="s">
        <v>325</v>
      </c>
      <c r="F482">
        <v>1</v>
      </c>
      <c r="G482">
        <v>1</v>
      </c>
      <c r="H482" t="s">
        <v>2261</v>
      </c>
      <c r="I482" t="s">
        <v>211</v>
      </c>
      <c r="J482" t="s">
        <v>212</v>
      </c>
    </row>
    <row r="483" spans="1:10" x14ac:dyDescent="0.3">
      <c r="A483" t="s">
        <v>2333</v>
      </c>
      <c r="B483" t="s">
        <v>549</v>
      </c>
      <c r="C483" t="s">
        <v>2247</v>
      </c>
      <c r="D483" t="s">
        <v>324</v>
      </c>
      <c r="E483" t="s">
        <v>325</v>
      </c>
      <c r="F483">
        <v>1</v>
      </c>
      <c r="G483">
        <v>1</v>
      </c>
      <c r="H483" t="s">
        <v>2263</v>
      </c>
      <c r="I483" t="s">
        <v>211</v>
      </c>
      <c r="J483" t="s">
        <v>212</v>
      </c>
    </row>
    <row r="484" spans="1:10" x14ac:dyDescent="0.3">
      <c r="A484" t="s">
        <v>2334</v>
      </c>
      <c r="B484" t="s">
        <v>554</v>
      </c>
      <c r="C484" t="s">
        <v>2225</v>
      </c>
      <c r="D484" t="s">
        <v>324</v>
      </c>
      <c r="E484" t="s">
        <v>325</v>
      </c>
      <c r="F484">
        <v>1</v>
      </c>
      <c r="G484">
        <v>1</v>
      </c>
      <c r="H484" t="s">
        <v>2251</v>
      </c>
      <c r="I484" t="s">
        <v>211</v>
      </c>
      <c r="J484" t="s">
        <v>212</v>
      </c>
    </row>
    <row r="485" spans="1:10" x14ac:dyDescent="0.3">
      <c r="A485" t="s">
        <v>2335</v>
      </c>
      <c r="B485" t="s">
        <v>554</v>
      </c>
      <c r="C485" t="s">
        <v>2230</v>
      </c>
      <c r="D485" t="s">
        <v>324</v>
      </c>
      <c r="E485" t="s">
        <v>325</v>
      </c>
      <c r="F485">
        <v>1</v>
      </c>
      <c r="G485">
        <v>1</v>
      </c>
      <c r="H485" t="s">
        <v>2253</v>
      </c>
      <c r="I485" t="s">
        <v>211</v>
      </c>
      <c r="J485" t="s">
        <v>212</v>
      </c>
    </row>
    <row r="486" spans="1:10" x14ac:dyDescent="0.3">
      <c r="A486" t="s">
        <v>2336</v>
      </c>
      <c r="B486" t="s">
        <v>554</v>
      </c>
      <c r="C486" t="s">
        <v>2233</v>
      </c>
      <c r="D486" t="s">
        <v>324</v>
      </c>
      <c r="E486" t="s">
        <v>325</v>
      </c>
      <c r="F486">
        <v>1</v>
      </c>
      <c r="G486">
        <v>1</v>
      </c>
      <c r="H486" t="s">
        <v>2255</v>
      </c>
      <c r="I486" t="s">
        <v>211</v>
      </c>
      <c r="J486" t="s">
        <v>212</v>
      </c>
    </row>
    <row r="487" spans="1:10" x14ac:dyDescent="0.3">
      <c r="A487" t="s">
        <v>2337</v>
      </c>
      <c r="B487" t="s">
        <v>554</v>
      </c>
      <c r="C487" t="s">
        <v>2237</v>
      </c>
      <c r="D487" t="s">
        <v>324</v>
      </c>
      <c r="E487" t="s">
        <v>325</v>
      </c>
      <c r="F487">
        <v>1</v>
      </c>
      <c r="G487">
        <v>1</v>
      </c>
      <c r="H487" t="s">
        <v>2257</v>
      </c>
      <c r="I487" t="s">
        <v>211</v>
      </c>
      <c r="J487" t="s">
        <v>212</v>
      </c>
    </row>
    <row r="488" spans="1:10" x14ac:dyDescent="0.3">
      <c r="A488" t="s">
        <v>2338</v>
      </c>
      <c r="B488" t="s">
        <v>554</v>
      </c>
      <c r="C488" t="s">
        <v>2241</v>
      </c>
      <c r="D488" t="s">
        <v>324</v>
      </c>
      <c r="E488" t="s">
        <v>325</v>
      </c>
      <c r="F488">
        <v>1</v>
      </c>
      <c r="G488">
        <v>1</v>
      </c>
      <c r="H488" t="s">
        <v>2259</v>
      </c>
      <c r="I488" t="s">
        <v>211</v>
      </c>
      <c r="J488" t="s">
        <v>212</v>
      </c>
    </row>
    <row r="489" spans="1:10" x14ac:dyDescent="0.3">
      <c r="A489" t="s">
        <v>2339</v>
      </c>
      <c r="B489" t="s">
        <v>554</v>
      </c>
      <c r="C489" t="s">
        <v>2244</v>
      </c>
      <c r="D489" t="s">
        <v>324</v>
      </c>
      <c r="E489" t="s">
        <v>325</v>
      </c>
      <c r="F489">
        <v>1</v>
      </c>
      <c r="G489">
        <v>1</v>
      </c>
      <c r="H489" t="s">
        <v>2261</v>
      </c>
      <c r="I489" t="s">
        <v>211</v>
      </c>
      <c r="J489" t="s">
        <v>212</v>
      </c>
    </row>
    <row r="490" spans="1:10" x14ac:dyDescent="0.3">
      <c r="A490" t="s">
        <v>2340</v>
      </c>
      <c r="B490" t="s">
        <v>554</v>
      </c>
      <c r="C490" t="s">
        <v>2247</v>
      </c>
      <c r="D490" t="s">
        <v>324</v>
      </c>
      <c r="E490" t="s">
        <v>325</v>
      </c>
      <c r="F490">
        <v>1</v>
      </c>
      <c r="G490">
        <v>1</v>
      </c>
      <c r="H490" t="s">
        <v>2263</v>
      </c>
      <c r="I490" t="s">
        <v>211</v>
      </c>
      <c r="J490" t="s">
        <v>212</v>
      </c>
    </row>
    <row r="491" spans="1:10" x14ac:dyDescent="0.3">
      <c r="A491" t="s">
        <v>2341</v>
      </c>
      <c r="B491" t="s">
        <v>187</v>
      </c>
      <c r="C491" t="s">
        <v>2225</v>
      </c>
      <c r="D491" t="s">
        <v>324</v>
      </c>
      <c r="E491" t="s">
        <v>325</v>
      </c>
      <c r="F491">
        <v>1</v>
      </c>
      <c r="G491">
        <v>1</v>
      </c>
      <c r="H491" t="s">
        <v>2251</v>
      </c>
      <c r="I491" t="s">
        <v>211</v>
      </c>
      <c r="J491" t="s">
        <v>212</v>
      </c>
    </row>
    <row r="492" spans="1:10" x14ac:dyDescent="0.3">
      <c r="A492" t="s">
        <v>2342</v>
      </c>
      <c r="B492" t="s">
        <v>187</v>
      </c>
      <c r="C492" t="s">
        <v>2230</v>
      </c>
      <c r="D492" t="s">
        <v>324</v>
      </c>
      <c r="E492" t="s">
        <v>325</v>
      </c>
      <c r="F492">
        <v>1</v>
      </c>
      <c r="G492">
        <v>1</v>
      </c>
      <c r="H492" t="s">
        <v>2253</v>
      </c>
      <c r="I492" t="s">
        <v>211</v>
      </c>
      <c r="J492" t="s">
        <v>212</v>
      </c>
    </row>
    <row r="493" spans="1:10" x14ac:dyDescent="0.3">
      <c r="A493" t="s">
        <v>2343</v>
      </c>
      <c r="B493" t="s">
        <v>187</v>
      </c>
      <c r="C493" t="s">
        <v>2233</v>
      </c>
      <c r="D493" t="s">
        <v>324</v>
      </c>
      <c r="E493" t="s">
        <v>325</v>
      </c>
      <c r="F493">
        <v>1</v>
      </c>
      <c r="G493">
        <v>1</v>
      </c>
      <c r="H493" t="s">
        <v>2255</v>
      </c>
      <c r="I493" t="s">
        <v>211</v>
      </c>
      <c r="J493" t="s">
        <v>212</v>
      </c>
    </row>
    <row r="494" spans="1:10" x14ac:dyDescent="0.3">
      <c r="A494" t="s">
        <v>2344</v>
      </c>
      <c r="B494" t="s">
        <v>187</v>
      </c>
      <c r="C494" t="s">
        <v>2237</v>
      </c>
      <c r="D494" t="s">
        <v>324</v>
      </c>
      <c r="E494" t="s">
        <v>325</v>
      </c>
      <c r="F494">
        <v>1</v>
      </c>
      <c r="G494">
        <v>1</v>
      </c>
      <c r="H494" t="s">
        <v>2257</v>
      </c>
      <c r="I494" t="s">
        <v>211</v>
      </c>
      <c r="J494" t="s">
        <v>212</v>
      </c>
    </row>
    <row r="495" spans="1:10" x14ac:dyDescent="0.3">
      <c r="A495" t="s">
        <v>2345</v>
      </c>
      <c r="B495" t="s">
        <v>187</v>
      </c>
      <c r="C495" t="s">
        <v>2241</v>
      </c>
      <c r="D495" t="s">
        <v>324</v>
      </c>
      <c r="E495" t="s">
        <v>325</v>
      </c>
      <c r="F495">
        <v>1</v>
      </c>
      <c r="G495">
        <v>1</v>
      </c>
      <c r="H495" t="s">
        <v>2259</v>
      </c>
      <c r="I495" t="s">
        <v>211</v>
      </c>
      <c r="J495" t="s">
        <v>212</v>
      </c>
    </row>
    <row r="496" spans="1:10" x14ac:dyDescent="0.3">
      <c r="A496" t="s">
        <v>2346</v>
      </c>
      <c r="B496" t="s">
        <v>187</v>
      </c>
      <c r="C496" t="s">
        <v>2244</v>
      </c>
      <c r="D496" t="s">
        <v>324</v>
      </c>
      <c r="E496" t="s">
        <v>325</v>
      </c>
      <c r="F496">
        <v>1</v>
      </c>
      <c r="G496">
        <v>1</v>
      </c>
      <c r="H496" t="s">
        <v>2261</v>
      </c>
      <c r="I496" t="s">
        <v>211</v>
      </c>
      <c r="J496" t="s">
        <v>212</v>
      </c>
    </row>
    <row r="497" spans="1:10" x14ac:dyDescent="0.3">
      <c r="A497" t="s">
        <v>2347</v>
      </c>
      <c r="B497" t="s">
        <v>187</v>
      </c>
      <c r="C497" t="s">
        <v>2247</v>
      </c>
      <c r="D497" t="s">
        <v>324</v>
      </c>
      <c r="E497" t="s">
        <v>325</v>
      </c>
      <c r="F497">
        <v>1</v>
      </c>
      <c r="G497">
        <v>1</v>
      </c>
      <c r="H497" t="s">
        <v>2263</v>
      </c>
      <c r="I497" t="s">
        <v>211</v>
      </c>
      <c r="J497" t="s">
        <v>212</v>
      </c>
    </row>
    <row r="498" spans="1:10" x14ac:dyDescent="0.3">
      <c r="A498" t="s">
        <v>2348</v>
      </c>
      <c r="B498" t="s">
        <v>560</v>
      </c>
      <c r="C498" t="s">
        <v>2225</v>
      </c>
      <c r="D498" t="s">
        <v>324</v>
      </c>
      <c r="E498" t="s">
        <v>325</v>
      </c>
      <c r="F498">
        <v>1</v>
      </c>
      <c r="G498">
        <v>1</v>
      </c>
      <c r="H498" t="s">
        <v>2251</v>
      </c>
      <c r="I498" t="s">
        <v>211</v>
      </c>
      <c r="J498" t="s">
        <v>212</v>
      </c>
    </row>
    <row r="499" spans="1:10" x14ac:dyDescent="0.3">
      <c r="A499" t="s">
        <v>2349</v>
      </c>
      <c r="B499" t="s">
        <v>560</v>
      </c>
      <c r="C499" t="s">
        <v>2230</v>
      </c>
      <c r="D499" t="s">
        <v>324</v>
      </c>
      <c r="E499" t="s">
        <v>325</v>
      </c>
      <c r="F499">
        <v>1</v>
      </c>
      <c r="G499">
        <v>1</v>
      </c>
      <c r="H499" t="s">
        <v>2253</v>
      </c>
      <c r="I499" t="s">
        <v>211</v>
      </c>
      <c r="J499" t="s">
        <v>212</v>
      </c>
    </row>
    <row r="500" spans="1:10" x14ac:dyDescent="0.3">
      <c r="A500" t="s">
        <v>2350</v>
      </c>
      <c r="B500" t="s">
        <v>560</v>
      </c>
      <c r="C500" t="s">
        <v>2233</v>
      </c>
      <c r="D500" t="s">
        <v>324</v>
      </c>
      <c r="E500" t="s">
        <v>325</v>
      </c>
      <c r="F500">
        <v>1</v>
      </c>
      <c r="G500">
        <v>1</v>
      </c>
      <c r="H500" t="s">
        <v>2255</v>
      </c>
      <c r="I500" t="s">
        <v>211</v>
      </c>
      <c r="J500" t="s">
        <v>212</v>
      </c>
    </row>
    <row r="501" spans="1:10" x14ac:dyDescent="0.3">
      <c r="A501" t="s">
        <v>2351</v>
      </c>
      <c r="B501" t="s">
        <v>560</v>
      </c>
      <c r="C501" t="s">
        <v>2237</v>
      </c>
      <c r="D501" t="s">
        <v>324</v>
      </c>
      <c r="E501" t="s">
        <v>325</v>
      </c>
      <c r="F501">
        <v>1</v>
      </c>
      <c r="G501">
        <v>1</v>
      </c>
      <c r="H501" t="s">
        <v>2257</v>
      </c>
      <c r="I501" t="s">
        <v>211</v>
      </c>
      <c r="J501" t="s">
        <v>212</v>
      </c>
    </row>
    <row r="502" spans="1:10" x14ac:dyDescent="0.3">
      <c r="A502" t="s">
        <v>2352</v>
      </c>
      <c r="B502" t="s">
        <v>560</v>
      </c>
      <c r="C502" t="s">
        <v>2241</v>
      </c>
      <c r="D502" t="s">
        <v>324</v>
      </c>
      <c r="E502" t="s">
        <v>325</v>
      </c>
      <c r="F502">
        <v>1</v>
      </c>
      <c r="G502">
        <v>1</v>
      </c>
      <c r="H502" t="s">
        <v>2259</v>
      </c>
      <c r="I502" t="s">
        <v>211</v>
      </c>
      <c r="J502" t="s">
        <v>212</v>
      </c>
    </row>
    <row r="503" spans="1:10" x14ac:dyDescent="0.3">
      <c r="A503" t="s">
        <v>2353</v>
      </c>
      <c r="B503" t="s">
        <v>560</v>
      </c>
      <c r="C503" t="s">
        <v>2244</v>
      </c>
      <c r="D503" t="s">
        <v>324</v>
      </c>
      <c r="E503" t="s">
        <v>325</v>
      </c>
      <c r="F503">
        <v>1</v>
      </c>
      <c r="G503">
        <v>1</v>
      </c>
      <c r="H503" t="s">
        <v>2261</v>
      </c>
      <c r="I503" t="s">
        <v>211</v>
      </c>
      <c r="J503" t="s">
        <v>212</v>
      </c>
    </row>
    <row r="504" spans="1:10" x14ac:dyDescent="0.3">
      <c r="A504" t="s">
        <v>2354</v>
      </c>
      <c r="B504" t="s">
        <v>560</v>
      </c>
      <c r="C504" t="s">
        <v>2247</v>
      </c>
      <c r="D504" t="s">
        <v>324</v>
      </c>
      <c r="E504" t="s">
        <v>325</v>
      </c>
      <c r="F504">
        <v>1</v>
      </c>
      <c r="G504">
        <v>1</v>
      </c>
      <c r="H504" t="s">
        <v>2263</v>
      </c>
      <c r="I504" t="s">
        <v>211</v>
      </c>
      <c r="J504" t="s">
        <v>212</v>
      </c>
    </row>
    <row r="505" spans="1:10" x14ac:dyDescent="0.3">
      <c r="A505" t="s">
        <v>2355</v>
      </c>
      <c r="B505" t="s">
        <v>564</v>
      </c>
      <c r="C505" t="s">
        <v>2225</v>
      </c>
      <c r="D505" t="s">
        <v>324</v>
      </c>
      <c r="E505" t="s">
        <v>325</v>
      </c>
      <c r="F505">
        <v>1</v>
      </c>
      <c r="G505">
        <v>1</v>
      </c>
      <c r="H505" t="s">
        <v>2251</v>
      </c>
      <c r="I505" t="s">
        <v>211</v>
      </c>
      <c r="J505" t="s">
        <v>212</v>
      </c>
    </row>
    <row r="506" spans="1:10" x14ac:dyDescent="0.3">
      <c r="A506" t="s">
        <v>2356</v>
      </c>
      <c r="B506" t="s">
        <v>564</v>
      </c>
      <c r="C506" t="s">
        <v>2230</v>
      </c>
      <c r="D506" t="s">
        <v>324</v>
      </c>
      <c r="E506" t="s">
        <v>325</v>
      </c>
      <c r="F506">
        <v>1</v>
      </c>
      <c r="G506">
        <v>1</v>
      </c>
      <c r="H506" t="s">
        <v>2253</v>
      </c>
      <c r="I506" t="s">
        <v>211</v>
      </c>
      <c r="J506" t="s">
        <v>212</v>
      </c>
    </row>
    <row r="507" spans="1:10" x14ac:dyDescent="0.3">
      <c r="A507" t="s">
        <v>2357</v>
      </c>
      <c r="B507" t="s">
        <v>564</v>
      </c>
      <c r="C507" t="s">
        <v>2233</v>
      </c>
      <c r="D507" t="s">
        <v>324</v>
      </c>
      <c r="E507" t="s">
        <v>325</v>
      </c>
      <c r="F507">
        <v>1</v>
      </c>
      <c r="G507">
        <v>1</v>
      </c>
      <c r="H507" t="s">
        <v>2255</v>
      </c>
      <c r="I507" t="s">
        <v>211</v>
      </c>
      <c r="J507" t="s">
        <v>212</v>
      </c>
    </row>
    <row r="508" spans="1:10" x14ac:dyDescent="0.3">
      <c r="A508" t="s">
        <v>2358</v>
      </c>
      <c r="B508" t="s">
        <v>564</v>
      </c>
      <c r="C508" t="s">
        <v>2237</v>
      </c>
      <c r="D508" t="s">
        <v>324</v>
      </c>
      <c r="E508" t="s">
        <v>325</v>
      </c>
      <c r="F508">
        <v>1</v>
      </c>
      <c r="G508">
        <v>1</v>
      </c>
      <c r="H508" t="s">
        <v>2257</v>
      </c>
      <c r="I508" t="s">
        <v>211</v>
      </c>
      <c r="J508" t="s">
        <v>212</v>
      </c>
    </row>
    <row r="509" spans="1:10" x14ac:dyDescent="0.3">
      <c r="A509" t="s">
        <v>2359</v>
      </c>
      <c r="B509" t="s">
        <v>564</v>
      </c>
      <c r="C509" t="s">
        <v>2241</v>
      </c>
      <c r="D509" t="s">
        <v>324</v>
      </c>
      <c r="E509" t="s">
        <v>325</v>
      </c>
      <c r="F509">
        <v>1</v>
      </c>
      <c r="G509">
        <v>1</v>
      </c>
      <c r="H509" t="s">
        <v>2259</v>
      </c>
      <c r="I509" t="s">
        <v>211</v>
      </c>
      <c r="J509" t="s">
        <v>212</v>
      </c>
    </row>
    <row r="510" spans="1:10" x14ac:dyDescent="0.3">
      <c r="A510" t="s">
        <v>2360</v>
      </c>
      <c r="B510" t="s">
        <v>564</v>
      </c>
      <c r="C510" t="s">
        <v>2244</v>
      </c>
      <c r="D510" t="s">
        <v>324</v>
      </c>
      <c r="E510" t="s">
        <v>325</v>
      </c>
      <c r="F510">
        <v>1</v>
      </c>
      <c r="G510">
        <v>1</v>
      </c>
      <c r="H510" t="s">
        <v>2261</v>
      </c>
      <c r="I510" t="s">
        <v>211</v>
      </c>
      <c r="J510" t="s">
        <v>212</v>
      </c>
    </row>
    <row r="511" spans="1:10" x14ac:dyDescent="0.3">
      <c r="A511" t="s">
        <v>2361</v>
      </c>
      <c r="B511" t="s">
        <v>564</v>
      </c>
      <c r="C511" t="s">
        <v>2247</v>
      </c>
      <c r="D511" t="s">
        <v>324</v>
      </c>
      <c r="E511" t="s">
        <v>325</v>
      </c>
      <c r="F511">
        <v>1</v>
      </c>
      <c r="G511">
        <v>1</v>
      </c>
      <c r="H511" t="s">
        <v>2263</v>
      </c>
      <c r="I511" t="s">
        <v>211</v>
      </c>
      <c r="J511" t="s">
        <v>212</v>
      </c>
    </row>
    <row r="512" spans="1:10" x14ac:dyDescent="0.3">
      <c r="A512" t="s">
        <v>2362</v>
      </c>
      <c r="B512" t="s">
        <v>575</v>
      </c>
      <c r="C512" t="s">
        <v>2225</v>
      </c>
      <c r="D512" t="s">
        <v>324</v>
      </c>
      <c r="E512" t="s">
        <v>325</v>
      </c>
      <c r="F512">
        <v>1</v>
      </c>
      <c r="G512">
        <v>1</v>
      </c>
      <c r="H512" t="s">
        <v>2251</v>
      </c>
      <c r="I512" t="s">
        <v>211</v>
      </c>
      <c r="J512" t="s">
        <v>212</v>
      </c>
    </row>
    <row r="513" spans="1:10" x14ac:dyDescent="0.3">
      <c r="A513" t="s">
        <v>2363</v>
      </c>
      <c r="B513" t="s">
        <v>575</v>
      </c>
      <c r="C513" t="s">
        <v>2230</v>
      </c>
      <c r="D513" t="s">
        <v>324</v>
      </c>
      <c r="E513" t="s">
        <v>325</v>
      </c>
      <c r="F513">
        <v>1</v>
      </c>
      <c r="G513">
        <v>1</v>
      </c>
      <c r="H513" t="s">
        <v>2253</v>
      </c>
      <c r="I513" t="s">
        <v>211</v>
      </c>
      <c r="J513" t="s">
        <v>212</v>
      </c>
    </row>
    <row r="514" spans="1:10" x14ac:dyDescent="0.3">
      <c r="A514" t="s">
        <v>2364</v>
      </c>
      <c r="B514" t="s">
        <v>575</v>
      </c>
      <c r="C514" t="s">
        <v>2233</v>
      </c>
      <c r="D514" t="s">
        <v>324</v>
      </c>
      <c r="E514" t="s">
        <v>325</v>
      </c>
      <c r="F514">
        <v>1</v>
      </c>
      <c r="G514">
        <v>1</v>
      </c>
      <c r="H514" t="s">
        <v>2255</v>
      </c>
      <c r="I514" t="s">
        <v>211</v>
      </c>
      <c r="J514" t="s">
        <v>212</v>
      </c>
    </row>
    <row r="515" spans="1:10" x14ac:dyDescent="0.3">
      <c r="A515" t="s">
        <v>2365</v>
      </c>
      <c r="B515" t="s">
        <v>575</v>
      </c>
      <c r="C515" t="s">
        <v>2237</v>
      </c>
      <c r="D515" t="s">
        <v>324</v>
      </c>
      <c r="E515" t="s">
        <v>325</v>
      </c>
      <c r="F515">
        <v>1</v>
      </c>
      <c r="G515">
        <v>1</v>
      </c>
      <c r="H515" t="s">
        <v>2257</v>
      </c>
      <c r="I515" t="s">
        <v>211</v>
      </c>
      <c r="J515" t="s">
        <v>212</v>
      </c>
    </row>
    <row r="516" spans="1:10" x14ac:dyDescent="0.3">
      <c r="A516" t="s">
        <v>2366</v>
      </c>
      <c r="B516" t="s">
        <v>575</v>
      </c>
      <c r="C516" t="s">
        <v>2241</v>
      </c>
      <c r="D516" t="s">
        <v>324</v>
      </c>
      <c r="E516" t="s">
        <v>325</v>
      </c>
      <c r="F516">
        <v>1</v>
      </c>
      <c r="G516">
        <v>1</v>
      </c>
      <c r="H516" t="s">
        <v>2259</v>
      </c>
      <c r="I516" t="s">
        <v>211</v>
      </c>
      <c r="J516" t="s">
        <v>212</v>
      </c>
    </row>
    <row r="517" spans="1:10" x14ac:dyDescent="0.3">
      <c r="A517" t="s">
        <v>2367</v>
      </c>
      <c r="B517" t="s">
        <v>575</v>
      </c>
      <c r="C517" t="s">
        <v>2244</v>
      </c>
      <c r="D517" t="s">
        <v>324</v>
      </c>
      <c r="E517" t="s">
        <v>325</v>
      </c>
      <c r="F517">
        <v>1</v>
      </c>
      <c r="G517">
        <v>1</v>
      </c>
      <c r="H517" t="s">
        <v>2261</v>
      </c>
      <c r="I517" t="s">
        <v>211</v>
      </c>
      <c r="J517" t="s">
        <v>212</v>
      </c>
    </row>
    <row r="518" spans="1:10" x14ac:dyDescent="0.3">
      <c r="A518" t="s">
        <v>2368</v>
      </c>
      <c r="B518" t="s">
        <v>575</v>
      </c>
      <c r="C518" t="s">
        <v>2247</v>
      </c>
      <c r="D518" t="s">
        <v>324</v>
      </c>
      <c r="E518" t="s">
        <v>325</v>
      </c>
      <c r="F518">
        <v>1</v>
      </c>
      <c r="G518">
        <v>1</v>
      </c>
      <c r="H518" t="s">
        <v>2263</v>
      </c>
      <c r="I518" t="s">
        <v>211</v>
      </c>
      <c r="J518" t="s">
        <v>212</v>
      </c>
    </row>
    <row r="519" spans="1:10" x14ac:dyDescent="0.3">
      <c r="A519" t="s">
        <v>2369</v>
      </c>
      <c r="B519" t="s">
        <v>568</v>
      </c>
      <c r="C519" t="s">
        <v>2225</v>
      </c>
      <c r="D519" t="s">
        <v>324</v>
      </c>
      <c r="E519" t="s">
        <v>325</v>
      </c>
      <c r="F519">
        <v>1</v>
      </c>
      <c r="G519">
        <v>1</v>
      </c>
      <c r="H519" t="s">
        <v>2251</v>
      </c>
      <c r="I519" t="s">
        <v>211</v>
      </c>
      <c r="J519" t="s">
        <v>212</v>
      </c>
    </row>
    <row r="520" spans="1:10" x14ac:dyDescent="0.3">
      <c r="A520" t="s">
        <v>2370</v>
      </c>
      <c r="B520" t="s">
        <v>568</v>
      </c>
      <c r="C520" t="s">
        <v>2230</v>
      </c>
      <c r="D520" t="s">
        <v>324</v>
      </c>
      <c r="E520" t="s">
        <v>325</v>
      </c>
      <c r="F520">
        <v>1</v>
      </c>
      <c r="G520">
        <v>1</v>
      </c>
      <c r="H520" t="s">
        <v>2253</v>
      </c>
      <c r="I520" t="s">
        <v>211</v>
      </c>
      <c r="J520" t="s">
        <v>212</v>
      </c>
    </row>
    <row r="521" spans="1:10" x14ac:dyDescent="0.3">
      <c r="A521" t="s">
        <v>2371</v>
      </c>
      <c r="B521" t="s">
        <v>568</v>
      </c>
      <c r="C521" t="s">
        <v>2233</v>
      </c>
      <c r="D521" t="s">
        <v>324</v>
      </c>
      <c r="E521" t="s">
        <v>325</v>
      </c>
      <c r="F521">
        <v>1</v>
      </c>
      <c r="G521">
        <v>1</v>
      </c>
      <c r="H521" t="s">
        <v>2255</v>
      </c>
      <c r="I521" t="s">
        <v>211</v>
      </c>
      <c r="J521" t="s">
        <v>212</v>
      </c>
    </row>
    <row r="522" spans="1:10" x14ac:dyDescent="0.3">
      <c r="A522" t="s">
        <v>2372</v>
      </c>
      <c r="B522" t="s">
        <v>568</v>
      </c>
      <c r="C522" t="s">
        <v>2237</v>
      </c>
      <c r="D522" t="s">
        <v>324</v>
      </c>
      <c r="E522" t="s">
        <v>325</v>
      </c>
      <c r="F522">
        <v>1</v>
      </c>
      <c r="G522">
        <v>1</v>
      </c>
      <c r="H522" t="s">
        <v>2257</v>
      </c>
      <c r="I522" t="s">
        <v>211</v>
      </c>
      <c r="J522" t="s">
        <v>212</v>
      </c>
    </row>
    <row r="523" spans="1:10" x14ac:dyDescent="0.3">
      <c r="A523" t="s">
        <v>2373</v>
      </c>
      <c r="B523" t="s">
        <v>568</v>
      </c>
      <c r="C523" t="s">
        <v>2241</v>
      </c>
      <c r="D523" t="s">
        <v>324</v>
      </c>
      <c r="E523" t="s">
        <v>325</v>
      </c>
      <c r="F523">
        <v>1</v>
      </c>
      <c r="G523">
        <v>1</v>
      </c>
      <c r="H523" t="s">
        <v>2259</v>
      </c>
      <c r="I523" t="s">
        <v>211</v>
      </c>
      <c r="J523" t="s">
        <v>212</v>
      </c>
    </row>
    <row r="524" spans="1:10" x14ac:dyDescent="0.3">
      <c r="A524" t="s">
        <v>2374</v>
      </c>
      <c r="B524" t="s">
        <v>568</v>
      </c>
      <c r="C524" t="s">
        <v>2244</v>
      </c>
      <c r="D524" t="s">
        <v>324</v>
      </c>
      <c r="E524" t="s">
        <v>325</v>
      </c>
      <c r="F524">
        <v>1</v>
      </c>
      <c r="G524">
        <v>1</v>
      </c>
      <c r="H524" t="s">
        <v>2261</v>
      </c>
      <c r="I524" t="s">
        <v>211</v>
      </c>
      <c r="J524" t="s">
        <v>212</v>
      </c>
    </row>
    <row r="525" spans="1:10" x14ac:dyDescent="0.3">
      <c r="A525" t="s">
        <v>2375</v>
      </c>
      <c r="B525" t="s">
        <v>568</v>
      </c>
      <c r="C525" t="s">
        <v>2247</v>
      </c>
      <c r="D525" t="s">
        <v>324</v>
      </c>
      <c r="E525" t="s">
        <v>325</v>
      </c>
      <c r="F525">
        <v>1</v>
      </c>
      <c r="G525">
        <v>1</v>
      </c>
      <c r="H525" t="s">
        <v>2263</v>
      </c>
      <c r="I525" t="s">
        <v>211</v>
      </c>
      <c r="J525" t="s">
        <v>212</v>
      </c>
    </row>
    <row r="526" spans="1:10" x14ac:dyDescent="0.3">
      <c r="A526" t="s">
        <v>2376</v>
      </c>
      <c r="B526" t="s">
        <v>581</v>
      </c>
      <c r="C526" t="s">
        <v>2225</v>
      </c>
      <c r="D526" t="s">
        <v>324</v>
      </c>
      <c r="E526" t="s">
        <v>325</v>
      </c>
      <c r="F526">
        <v>1</v>
      </c>
      <c r="G526">
        <v>1</v>
      </c>
      <c r="H526" t="s">
        <v>2251</v>
      </c>
      <c r="I526" t="s">
        <v>211</v>
      </c>
      <c r="J526" t="s">
        <v>212</v>
      </c>
    </row>
    <row r="527" spans="1:10" x14ac:dyDescent="0.3">
      <c r="A527" t="s">
        <v>2377</v>
      </c>
      <c r="B527" t="s">
        <v>581</v>
      </c>
      <c r="C527" t="s">
        <v>2230</v>
      </c>
      <c r="D527" t="s">
        <v>324</v>
      </c>
      <c r="E527" t="s">
        <v>325</v>
      </c>
      <c r="F527">
        <v>1</v>
      </c>
      <c r="G527">
        <v>1</v>
      </c>
      <c r="H527" t="s">
        <v>2253</v>
      </c>
      <c r="I527" t="s">
        <v>211</v>
      </c>
      <c r="J527" t="s">
        <v>212</v>
      </c>
    </row>
    <row r="528" spans="1:10" x14ac:dyDescent="0.3">
      <c r="A528" t="s">
        <v>2378</v>
      </c>
      <c r="B528" t="s">
        <v>581</v>
      </c>
      <c r="C528" t="s">
        <v>2233</v>
      </c>
      <c r="D528" t="s">
        <v>324</v>
      </c>
      <c r="E528" t="s">
        <v>325</v>
      </c>
      <c r="F528">
        <v>1</v>
      </c>
      <c r="G528">
        <v>1</v>
      </c>
      <c r="H528" t="s">
        <v>2255</v>
      </c>
      <c r="I528" t="s">
        <v>211</v>
      </c>
      <c r="J528" t="s">
        <v>212</v>
      </c>
    </row>
    <row r="529" spans="1:10" x14ac:dyDescent="0.3">
      <c r="A529" t="s">
        <v>2379</v>
      </c>
      <c r="B529" t="s">
        <v>581</v>
      </c>
      <c r="C529" t="s">
        <v>2237</v>
      </c>
      <c r="D529" t="s">
        <v>324</v>
      </c>
      <c r="E529" t="s">
        <v>325</v>
      </c>
      <c r="F529">
        <v>1</v>
      </c>
      <c r="G529">
        <v>1</v>
      </c>
      <c r="H529" t="s">
        <v>2257</v>
      </c>
      <c r="I529" t="s">
        <v>211</v>
      </c>
      <c r="J529" t="s">
        <v>212</v>
      </c>
    </row>
    <row r="530" spans="1:10" x14ac:dyDescent="0.3">
      <c r="A530" t="s">
        <v>2380</v>
      </c>
      <c r="B530" t="s">
        <v>581</v>
      </c>
      <c r="C530" t="s">
        <v>2241</v>
      </c>
      <c r="D530" t="s">
        <v>324</v>
      </c>
      <c r="E530" t="s">
        <v>325</v>
      </c>
      <c r="F530">
        <v>1</v>
      </c>
      <c r="G530">
        <v>1</v>
      </c>
      <c r="H530" t="s">
        <v>2259</v>
      </c>
      <c r="I530" t="s">
        <v>211</v>
      </c>
      <c r="J530" t="s">
        <v>212</v>
      </c>
    </row>
    <row r="531" spans="1:10" x14ac:dyDescent="0.3">
      <c r="A531" t="s">
        <v>2381</v>
      </c>
      <c r="B531" t="s">
        <v>581</v>
      </c>
      <c r="C531" t="s">
        <v>2244</v>
      </c>
      <c r="D531" t="s">
        <v>324</v>
      </c>
      <c r="E531" t="s">
        <v>325</v>
      </c>
      <c r="F531">
        <v>1</v>
      </c>
      <c r="G531">
        <v>1</v>
      </c>
      <c r="H531" t="s">
        <v>2261</v>
      </c>
      <c r="I531" t="s">
        <v>211</v>
      </c>
      <c r="J531" t="s">
        <v>212</v>
      </c>
    </row>
    <row r="532" spans="1:10" x14ac:dyDescent="0.3">
      <c r="A532" t="s">
        <v>2382</v>
      </c>
      <c r="B532" t="s">
        <v>581</v>
      </c>
      <c r="C532" t="s">
        <v>2247</v>
      </c>
      <c r="D532" t="s">
        <v>324</v>
      </c>
      <c r="E532" t="s">
        <v>325</v>
      </c>
      <c r="F532">
        <v>1</v>
      </c>
      <c r="G532">
        <v>1</v>
      </c>
      <c r="H532" t="s">
        <v>2263</v>
      </c>
      <c r="I532" t="s">
        <v>211</v>
      </c>
      <c r="J532" t="s">
        <v>212</v>
      </c>
    </row>
    <row r="533" spans="1:10" x14ac:dyDescent="0.3">
      <c r="A533" t="s">
        <v>2383</v>
      </c>
      <c r="B533" t="s">
        <v>584</v>
      </c>
      <c r="C533" t="s">
        <v>2225</v>
      </c>
      <c r="D533" t="s">
        <v>324</v>
      </c>
      <c r="E533" t="s">
        <v>325</v>
      </c>
      <c r="F533">
        <v>1</v>
      </c>
      <c r="G533">
        <v>1</v>
      </c>
      <c r="H533" t="s">
        <v>2251</v>
      </c>
      <c r="I533" t="s">
        <v>211</v>
      </c>
      <c r="J533" t="s">
        <v>212</v>
      </c>
    </row>
    <row r="534" spans="1:10" x14ac:dyDescent="0.3">
      <c r="A534" t="s">
        <v>2384</v>
      </c>
      <c r="B534" t="s">
        <v>584</v>
      </c>
      <c r="C534" t="s">
        <v>2230</v>
      </c>
      <c r="D534" t="s">
        <v>324</v>
      </c>
      <c r="E534" t="s">
        <v>325</v>
      </c>
      <c r="F534">
        <v>1</v>
      </c>
      <c r="G534">
        <v>1</v>
      </c>
      <c r="H534" t="s">
        <v>2253</v>
      </c>
      <c r="I534" t="s">
        <v>211</v>
      </c>
      <c r="J534" t="s">
        <v>212</v>
      </c>
    </row>
    <row r="535" spans="1:10" x14ac:dyDescent="0.3">
      <c r="A535" t="s">
        <v>2385</v>
      </c>
      <c r="B535" t="s">
        <v>584</v>
      </c>
      <c r="C535" t="s">
        <v>2233</v>
      </c>
      <c r="D535" t="s">
        <v>324</v>
      </c>
      <c r="E535" t="s">
        <v>325</v>
      </c>
      <c r="F535">
        <v>1</v>
      </c>
      <c r="G535">
        <v>1</v>
      </c>
      <c r="H535" t="s">
        <v>2255</v>
      </c>
      <c r="I535" t="s">
        <v>211</v>
      </c>
      <c r="J535" t="s">
        <v>212</v>
      </c>
    </row>
    <row r="536" spans="1:10" x14ac:dyDescent="0.3">
      <c r="A536" t="s">
        <v>2386</v>
      </c>
      <c r="B536" t="s">
        <v>584</v>
      </c>
      <c r="C536" t="s">
        <v>2237</v>
      </c>
      <c r="D536" t="s">
        <v>324</v>
      </c>
      <c r="E536" t="s">
        <v>325</v>
      </c>
      <c r="F536">
        <v>1</v>
      </c>
      <c r="G536">
        <v>1</v>
      </c>
      <c r="H536" t="s">
        <v>2257</v>
      </c>
      <c r="I536" t="s">
        <v>211</v>
      </c>
      <c r="J536" t="s">
        <v>212</v>
      </c>
    </row>
    <row r="537" spans="1:10" x14ac:dyDescent="0.3">
      <c r="A537" t="s">
        <v>2387</v>
      </c>
      <c r="B537" t="s">
        <v>584</v>
      </c>
      <c r="C537" t="s">
        <v>2241</v>
      </c>
      <c r="D537" t="s">
        <v>324</v>
      </c>
      <c r="E537" t="s">
        <v>325</v>
      </c>
      <c r="F537">
        <v>1</v>
      </c>
      <c r="G537">
        <v>1</v>
      </c>
      <c r="H537" t="s">
        <v>2259</v>
      </c>
      <c r="I537" t="s">
        <v>211</v>
      </c>
      <c r="J537" t="s">
        <v>212</v>
      </c>
    </row>
    <row r="538" spans="1:10" x14ac:dyDescent="0.3">
      <c r="A538" t="s">
        <v>2388</v>
      </c>
      <c r="B538" t="s">
        <v>584</v>
      </c>
      <c r="C538" t="s">
        <v>2244</v>
      </c>
      <c r="D538" t="s">
        <v>324</v>
      </c>
      <c r="E538" t="s">
        <v>325</v>
      </c>
      <c r="F538">
        <v>1</v>
      </c>
      <c r="G538">
        <v>1</v>
      </c>
      <c r="H538" t="s">
        <v>2261</v>
      </c>
      <c r="I538" t="s">
        <v>211</v>
      </c>
      <c r="J538" t="s">
        <v>212</v>
      </c>
    </row>
    <row r="539" spans="1:10" x14ac:dyDescent="0.3">
      <c r="A539" t="s">
        <v>2389</v>
      </c>
      <c r="B539" t="s">
        <v>584</v>
      </c>
      <c r="C539" t="s">
        <v>2247</v>
      </c>
      <c r="D539" t="s">
        <v>324</v>
      </c>
      <c r="E539" t="s">
        <v>325</v>
      </c>
      <c r="F539">
        <v>1</v>
      </c>
      <c r="G539">
        <v>1</v>
      </c>
      <c r="H539" t="s">
        <v>2263</v>
      </c>
      <c r="I539" t="s">
        <v>211</v>
      </c>
      <c r="J539" t="s">
        <v>212</v>
      </c>
    </row>
    <row r="540" spans="1:10" x14ac:dyDescent="0.3">
      <c r="A540" t="s">
        <v>2390</v>
      </c>
      <c r="B540" t="s">
        <v>596</v>
      </c>
      <c r="C540" t="s">
        <v>2225</v>
      </c>
      <c r="D540" t="s">
        <v>324</v>
      </c>
      <c r="E540" t="s">
        <v>325</v>
      </c>
      <c r="F540">
        <v>1</v>
      </c>
      <c r="G540">
        <v>1</v>
      </c>
      <c r="H540" t="s">
        <v>2251</v>
      </c>
      <c r="I540" t="s">
        <v>211</v>
      </c>
      <c r="J540" t="s">
        <v>212</v>
      </c>
    </row>
    <row r="541" spans="1:10" x14ac:dyDescent="0.3">
      <c r="A541" t="s">
        <v>2391</v>
      </c>
      <c r="B541" t="s">
        <v>596</v>
      </c>
      <c r="C541" t="s">
        <v>2230</v>
      </c>
      <c r="D541" t="s">
        <v>324</v>
      </c>
      <c r="E541" t="s">
        <v>325</v>
      </c>
      <c r="F541">
        <v>1</v>
      </c>
      <c r="G541">
        <v>1</v>
      </c>
      <c r="H541" t="s">
        <v>2253</v>
      </c>
      <c r="I541" t="s">
        <v>211</v>
      </c>
      <c r="J541" t="s">
        <v>212</v>
      </c>
    </row>
    <row r="542" spans="1:10" x14ac:dyDescent="0.3">
      <c r="A542" t="s">
        <v>2392</v>
      </c>
      <c r="B542" t="s">
        <v>596</v>
      </c>
      <c r="C542" t="s">
        <v>2233</v>
      </c>
      <c r="D542" t="s">
        <v>324</v>
      </c>
      <c r="E542" t="s">
        <v>325</v>
      </c>
      <c r="F542">
        <v>1</v>
      </c>
      <c r="G542">
        <v>1</v>
      </c>
      <c r="H542" t="s">
        <v>2255</v>
      </c>
      <c r="I542" t="s">
        <v>211</v>
      </c>
      <c r="J542" t="s">
        <v>212</v>
      </c>
    </row>
    <row r="543" spans="1:10" x14ac:dyDescent="0.3">
      <c r="A543" t="s">
        <v>2393</v>
      </c>
      <c r="B543" t="s">
        <v>596</v>
      </c>
      <c r="C543" t="s">
        <v>2237</v>
      </c>
      <c r="D543" t="s">
        <v>324</v>
      </c>
      <c r="E543" t="s">
        <v>325</v>
      </c>
      <c r="F543">
        <v>1</v>
      </c>
      <c r="G543">
        <v>1</v>
      </c>
      <c r="H543" t="s">
        <v>2257</v>
      </c>
      <c r="I543" t="s">
        <v>211</v>
      </c>
      <c r="J543" t="s">
        <v>212</v>
      </c>
    </row>
    <row r="544" spans="1:10" x14ac:dyDescent="0.3">
      <c r="A544" t="s">
        <v>2394</v>
      </c>
      <c r="B544" t="s">
        <v>596</v>
      </c>
      <c r="C544" t="s">
        <v>2241</v>
      </c>
      <c r="D544" t="s">
        <v>324</v>
      </c>
      <c r="E544" t="s">
        <v>325</v>
      </c>
      <c r="F544">
        <v>1</v>
      </c>
      <c r="G544">
        <v>1</v>
      </c>
      <c r="H544" t="s">
        <v>2259</v>
      </c>
      <c r="I544" t="s">
        <v>211</v>
      </c>
      <c r="J544" t="s">
        <v>212</v>
      </c>
    </row>
    <row r="545" spans="1:10" x14ac:dyDescent="0.3">
      <c r="A545" t="s">
        <v>2395</v>
      </c>
      <c r="B545" t="s">
        <v>596</v>
      </c>
      <c r="C545" t="s">
        <v>2244</v>
      </c>
      <c r="D545" t="s">
        <v>324</v>
      </c>
      <c r="E545" t="s">
        <v>325</v>
      </c>
      <c r="F545">
        <v>1</v>
      </c>
      <c r="G545">
        <v>1</v>
      </c>
      <c r="H545" t="s">
        <v>2261</v>
      </c>
      <c r="I545" t="s">
        <v>211</v>
      </c>
      <c r="J545" t="s">
        <v>212</v>
      </c>
    </row>
    <row r="546" spans="1:10" x14ac:dyDescent="0.3">
      <c r="A546" t="s">
        <v>2396</v>
      </c>
      <c r="B546" t="s">
        <v>596</v>
      </c>
      <c r="C546" t="s">
        <v>2247</v>
      </c>
      <c r="D546" t="s">
        <v>324</v>
      </c>
      <c r="E546" t="s">
        <v>325</v>
      </c>
      <c r="F546">
        <v>1</v>
      </c>
      <c r="G546">
        <v>1</v>
      </c>
      <c r="H546" t="s">
        <v>2263</v>
      </c>
      <c r="I546" t="s">
        <v>211</v>
      </c>
      <c r="J546" t="s">
        <v>212</v>
      </c>
    </row>
    <row r="547" spans="1:10" x14ac:dyDescent="0.3">
      <c r="A547" t="s">
        <v>2397</v>
      </c>
      <c r="B547" t="s">
        <v>600</v>
      </c>
      <c r="C547" t="s">
        <v>2225</v>
      </c>
      <c r="D547" t="s">
        <v>324</v>
      </c>
      <c r="E547" t="s">
        <v>325</v>
      </c>
      <c r="F547">
        <v>1</v>
      </c>
      <c r="G547">
        <v>1</v>
      </c>
      <c r="H547" t="s">
        <v>2251</v>
      </c>
      <c r="I547" t="s">
        <v>211</v>
      </c>
      <c r="J547" t="s">
        <v>212</v>
      </c>
    </row>
    <row r="548" spans="1:10" x14ac:dyDescent="0.3">
      <c r="A548" t="s">
        <v>2398</v>
      </c>
      <c r="B548" t="s">
        <v>600</v>
      </c>
      <c r="C548" t="s">
        <v>2230</v>
      </c>
      <c r="D548" t="s">
        <v>324</v>
      </c>
      <c r="E548" t="s">
        <v>325</v>
      </c>
      <c r="F548">
        <v>1</v>
      </c>
      <c r="G548">
        <v>1</v>
      </c>
      <c r="H548" t="s">
        <v>2253</v>
      </c>
      <c r="I548" t="s">
        <v>211</v>
      </c>
      <c r="J548" t="s">
        <v>212</v>
      </c>
    </row>
    <row r="549" spans="1:10" x14ac:dyDescent="0.3">
      <c r="A549" t="s">
        <v>2399</v>
      </c>
      <c r="B549" t="s">
        <v>600</v>
      </c>
      <c r="C549" t="s">
        <v>2233</v>
      </c>
      <c r="D549" t="s">
        <v>324</v>
      </c>
      <c r="E549" t="s">
        <v>325</v>
      </c>
      <c r="F549">
        <v>1</v>
      </c>
      <c r="G549">
        <v>1</v>
      </c>
      <c r="H549" t="s">
        <v>2255</v>
      </c>
      <c r="I549" t="s">
        <v>211</v>
      </c>
      <c r="J549" t="s">
        <v>212</v>
      </c>
    </row>
    <row r="550" spans="1:10" x14ac:dyDescent="0.3">
      <c r="A550" t="s">
        <v>2400</v>
      </c>
      <c r="B550" t="s">
        <v>600</v>
      </c>
      <c r="C550" t="s">
        <v>2237</v>
      </c>
      <c r="D550" t="s">
        <v>324</v>
      </c>
      <c r="E550" t="s">
        <v>325</v>
      </c>
      <c r="F550">
        <v>1</v>
      </c>
      <c r="G550">
        <v>1</v>
      </c>
      <c r="H550" t="s">
        <v>2257</v>
      </c>
      <c r="I550" t="s">
        <v>211</v>
      </c>
      <c r="J550" t="s">
        <v>212</v>
      </c>
    </row>
    <row r="551" spans="1:10" x14ac:dyDescent="0.3">
      <c r="A551" t="s">
        <v>2401</v>
      </c>
      <c r="B551" t="s">
        <v>600</v>
      </c>
      <c r="C551" t="s">
        <v>2241</v>
      </c>
      <c r="D551" t="s">
        <v>324</v>
      </c>
      <c r="E551" t="s">
        <v>325</v>
      </c>
      <c r="F551">
        <v>1</v>
      </c>
      <c r="G551">
        <v>1</v>
      </c>
      <c r="H551" t="s">
        <v>2259</v>
      </c>
      <c r="I551" t="s">
        <v>211</v>
      </c>
      <c r="J551" t="s">
        <v>212</v>
      </c>
    </row>
    <row r="552" spans="1:10" x14ac:dyDescent="0.3">
      <c r="A552" t="s">
        <v>2402</v>
      </c>
      <c r="B552" t="s">
        <v>600</v>
      </c>
      <c r="C552" t="s">
        <v>2244</v>
      </c>
      <c r="D552" t="s">
        <v>324</v>
      </c>
      <c r="E552" t="s">
        <v>325</v>
      </c>
      <c r="F552">
        <v>1</v>
      </c>
      <c r="G552">
        <v>1</v>
      </c>
      <c r="H552" t="s">
        <v>2261</v>
      </c>
      <c r="I552" t="s">
        <v>211</v>
      </c>
      <c r="J552" t="s">
        <v>212</v>
      </c>
    </row>
    <row r="553" spans="1:10" x14ac:dyDescent="0.3">
      <c r="A553" t="s">
        <v>2403</v>
      </c>
      <c r="B553" t="s">
        <v>600</v>
      </c>
      <c r="C553" t="s">
        <v>2247</v>
      </c>
      <c r="D553" t="s">
        <v>324</v>
      </c>
      <c r="E553" t="s">
        <v>325</v>
      </c>
      <c r="F553">
        <v>1</v>
      </c>
      <c r="G553">
        <v>1</v>
      </c>
      <c r="H553" t="s">
        <v>2263</v>
      </c>
      <c r="I553" t="s">
        <v>211</v>
      </c>
      <c r="J553" t="s">
        <v>212</v>
      </c>
    </row>
    <row r="554" spans="1:10" x14ac:dyDescent="0.3">
      <c r="A554" t="s">
        <v>2404</v>
      </c>
      <c r="B554" t="s">
        <v>603</v>
      </c>
      <c r="C554" t="s">
        <v>2225</v>
      </c>
      <c r="D554" t="s">
        <v>324</v>
      </c>
      <c r="E554" t="s">
        <v>325</v>
      </c>
      <c r="F554">
        <v>1</v>
      </c>
      <c r="G554">
        <v>1</v>
      </c>
      <c r="H554" t="s">
        <v>2251</v>
      </c>
      <c r="I554" t="s">
        <v>211</v>
      </c>
      <c r="J554" t="s">
        <v>212</v>
      </c>
    </row>
    <row r="555" spans="1:10" x14ac:dyDescent="0.3">
      <c r="A555" t="s">
        <v>2405</v>
      </c>
      <c r="B555" t="s">
        <v>603</v>
      </c>
      <c r="C555" t="s">
        <v>2230</v>
      </c>
      <c r="D555" t="s">
        <v>324</v>
      </c>
      <c r="E555" t="s">
        <v>325</v>
      </c>
      <c r="F555">
        <v>1</v>
      </c>
      <c r="G555">
        <v>1</v>
      </c>
      <c r="H555" t="s">
        <v>2253</v>
      </c>
      <c r="I555" t="s">
        <v>211</v>
      </c>
      <c r="J555" t="s">
        <v>212</v>
      </c>
    </row>
    <row r="556" spans="1:10" x14ac:dyDescent="0.3">
      <c r="A556" t="s">
        <v>2406</v>
      </c>
      <c r="B556" t="s">
        <v>603</v>
      </c>
      <c r="C556" t="s">
        <v>2233</v>
      </c>
      <c r="D556" t="s">
        <v>324</v>
      </c>
      <c r="E556" t="s">
        <v>325</v>
      </c>
      <c r="F556">
        <v>1</v>
      </c>
      <c r="G556">
        <v>1</v>
      </c>
      <c r="H556" t="s">
        <v>2255</v>
      </c>
      <c r="I556" t="s">
        <v>211</v>
      </c>
      <c r="J556" t="s">
        <v>212</v>
      </c>
    </row>
    <row r="557" spans="1:10" x14ac:dyDescent="0.3">
      <c r="A557" t="s">
        <v>2407</v>
      </c>
      <c r="B557" t="s">
        <v>603</v>
      </c>
      <c r="C557" t="s">
        <v>2237</v>
      </c>
      <c r="D557" t="s">
        <v>324</v>
      </c>
      <c r="E557" t="s">
        <v>325</v>
      </c>
      <c r="F557">
        <v>1</v>
      </c>
      <c r="G557">
        <v>1</v>
      </c>
      <c r="H557" t="s">
        <v>2257</v>
      </c>
      <c r="I557" t="s">
        <v>211</v>
      </c>
      <c r="J557" t="s">
        <v>212</v>
      </c>
    </row>
    <row r="558" spans="1:10" x14ac:dyDescent="0.3">
      <c r="A558" t="s">
        <v>2408</v>
      </c>
      <c r="B558" t="s">
        <v>603</v>
      </c>
      <c r="C558" t="s">
        <v>2241</v>
      </c>
      <c r="D558" t="s">
        <v>324</v>
      </c>
      <c r="E558" t="s">
        <v>325</v>
      </c>
      <c r="F558">
        <v>1</v>
      </c>
      <c r="G558">
        <v>1</v>
      </c>
      <c r="H558" t="s">
        <v>2259</v>
      </c>
      <c r="I558" t="s">
        <v>211</v>
      </c>
      <c r="J558" t="s">
        <v>212</v>
      </c>
    </row>
    <row r="559" spans="1:10" x14ac:dyDescent="0.3">
      <c r="A559" t="s">
        <v>2409</v>
      </c>
      <c r="B559" t="s">
        <v>603</v>
      </c>
      <c r="C559" t="s">
        <v>2244</v>
      </c>
      <c r="D559" t="s">
        <v>324</v>
      </c>
      <c r="E559" t="s">
        <v>325</v>
      </c>
      <c r="F559">
        <v>1</v>
      </c>
      <c r="G559">
        <v>1</v>
      </c>
      <c r="H559" t="s">
        <v>2261</v>
      </c>
      <c r="I559" t="s">
        <v>211</v>
      </c>
      <c r="J559" t="s">
        <v>212</v>
      </c>
    </row>
    <row r="560" spans="1:10" x14ac:dyDescent="0.3">
      <c r="A560" t="s">
        <v>2410</v>
      </c>
      <c r="B560" t="s">
        <v>603</v>
      </c>
      <c r="C560" t="s">
        <v>2247</v>
      </c>
      <c r="D560" t="s">
        <v>324</v>
      </c>
      <c r="E560" t="s">
        <v>325</v>
      </c>
      <c r="F560">
        <v>1</v>
      </c>
      <c r="G560">
        <v>1</v>
      </c>
      <c r="H560" t="s">
        <v>2263</v>
      </c>
      <c r="I560" t="s">
        <v>211</v>
      </c>
      <c r="J560" t="s">
        <v>212</v>
      </c>
    </row>
    <row r="561" spans="1:10" x14ac:dyDescent="0.3">
      <c r="A561" t="s">
        <v>2411</v>
      </c>
      <c r="B561" t="s">
        <v>609</v>
      </c>
      <c r="C561" t="s">
        <v>2225</v>
      </c>
      <c r="D561" t="s">
        <v>324</v>
      </c>
      <c r="E561" t="s">
        <v>325</v>
      </c>
      <c r="F561">
        <v>1</v>
      </c>
      <c r="G561">
        <v>1</v>
      </c>
      <c r="H561" t="s">
        <v>2251</v>
      </c>
      <c r="I561" t="s">
        <v>211</v>
      </c>
      <c r="J561" t="s">
        <v>212</v>
      </c>
    </row>
    <row r="562" spans="1:10" x14ac:dyDescent="0.3">
      <c r="A562" t="s">
        <v>2412</v>
      </c>
      <c r="B562" t="s">
        <v>609</v>
      </c>
      <c r="C562" t="s">
        <v>2230</v>
      </c>
      <c r="D562" t="s">
        <v>324</v>
      </c>
      <c r="E562" t="s">
        <v>325</v>
      </c>
      <c r="F562">
        <v>1</v>
      </c>
      <c r="G562">
        <v>1</v>
      </c>
      <c r="H562" t="s">
        <v>2253</v>
      </c>
      <c r="I562" t="s">
        <v>211</v>
      </c>
      <c r="J562" t="s">
        <v>212</v>
      </c>
    </row>
    <row r="563" spans="1:10" x14ac:dyDescent="0.3">
      <c r="A563" t="s">
        <v>2413</v>
      </c>
      <c r="B563" t="s">
        <v>609</v>
      </c>
      <c r="C563" t="s">
        <v>2233</v>
      </c>
      <c r="D563" t="s">
        <v>324</v>
      </c>
      <c r="E563" t="s">
        <v>325</v>
      </c>
      <c r="F563">
        <v>1</v>
      </c>
      <c r="G563">
        <v>1</v>
      </c>
      <c r="H563" t="s">
        <v>2255</v>
      </c>
      <c r="I563" t="s">
        <v>211</v>
      </c>
      <c r="J563" t="s">
        <v>212</v>
      </c>
    </row>
    <row r="564" spans="1:10" x14ac:dyDescent="0.3">
      <c r="A564" t="s">
        <v>2414</v>
      </c>
      <c r="B564" t="s">
        <v>609</v>
      </c>
      <c r="C564" t="s">
        <v>2237</v>
      </c>
      <c r="D564" t="s">
        <v>324</v>
      </c>
      <c r="E564" t="s">
        <v>325</v>
      </c>
      <c r="F564">
        <v>1</v>
      </c>
      <c r="G564">
        <v>1</v>
      </c>
      <c r="H564" t="s">
        <v>2257</v>
      </c>
      <c r="I564" t="s">
        <v>211</v>
      </c>
      <c r="J564" t="s">
        <v>212</v>
      </c>
    </row>
    <row r="565" spans="1:10" x14ac:dyDescent="0.3">
      <c r="A565" t="s">
        <v>2415</v>
      </c>
      <c r="B565" t="s">
        <v>609</v>
      </c>
      <c r="C565" t="s">
        <v>2241</v>
      </c>
      <c r="D565" t="s">
        <v>324</v>
      </c>
      <c r="E565" t="s">
        <v>325</v>
      </c>
      <c r="F565">
        <v>1</v>
      </c>
      <c r="G565">
        <v>1</v>
      </c>
      <c r="H565" t="s">
        <v>2259</v>
      </c>
      <c r="I565" t="s">
        <v>211</v>
      </c>
      <c r="J565" t="s">
        <v>212</v>
      </c>
    </row>
    <row r="566" spans="1:10" x14ac:dyDescent="0.3">
      <c r="A566" t="s">
        <v>2416</v>
      </c>
      <c r="B566" t="s">
        <v>609</v>
      </c>
      <c r="C566" t="s">
        <v>2244</v>
      </c>
      <c r="D566" t="s">
        <v>324</v>
      </c>
      <c r="E566" t="s">
        <v>325</v>
      </c>
      <c r="F566">
        <v>1</v>
      </c>
      <c r="G566">
        <v>1</v>
      </c>
      <c r="H566" t="s">
        <v>2261</v>
      </c>
      <c r="I566" t="s">
        <v>211</v>
      </c>
      <c r="J566" t="s">
        <v>212</v>
      </c>
    </row>
    <row r="567" spans="1:10" x14ac:dyDescent="0.3">
      <c r="A567" t="s">
        <v>2417</v>
      </c>
      <c r="B567" t="s">
        <v>609</v>
      </c>
      <c r="C567" t="s">
        <v>2247</v>
      </c>
      <c r="D567" t="s">
        <v>324</v>
      </c>
      <c r="E567" t="s">
        <v>325</v>
      </c>
      <c r="F567">
        <v>1</v>
      </c>
      <c r="G567">
        <v>1</v>
      </c>
      <c r="H567" t="s">
        <v>2263</v>
      </c>
      <c r="I567" t="s">
        <v>211</v>
      </c>
      <c r="J567" t="s">
        <v>212</v>
      </c>
    </row>
    <row r="568" spans="1:10" x14ac:dyDescent="0.3">
      <c r="A568" t="s">
        <v>2418</v>
      </c>
      <c r="B568" t="s">
        <v>606</v>
      </c>
      <c r="C568" t="s">
        <v>2225</v>
      </c>
      <c r="D568" t="s">
        <v>324</v>
      </c>
      <c r="E568" t="s">
        <v>325</v>
      </c>
      <c r="F568">
        <v>1</v>
      </c>
      <c r="G568">
        <v>1</v>
      </c>
      <c r="H568" t="s">
        <v>2251</v>
      </c>
      <c r="I568" t="s">
        <v>211</v>
      </c>
      <c r="J568" t="s">
        <v>212</v>
      </c>
    </row>
    <row r="569" spans="1:10" x14ac:dyDescent="0.3">
      <c r="A569" t="s">
        <v>2419</v>
      </c>
      <c r="B569" t="s">
        <v>606</v>
      </c>
      <c r="C569" t="s">
        <v>2230</v>
      </c>
      <c r="D569" t="s">
        <v>324</v>
      </c>
      <c r="E569" t="s">
        <v>325</v>
      </c>
      <c r="F569">
        <v>1</v>
      </c>
      <c r="G569">
        <v>1</v>
      </c>
      <c r="H569" t="s">
        <v>2253</v>
      </c>
      <c r="I569" t="s">
        <v>211</v>
      </c>
      <c r="J569" t="s">
        <v>212</v>
      </c>
    </row>
    <row r="570" spans="1:10" x14ac:dyDescent="0.3">
      <c r="A570" t="s">
        <v>2420</v>
      </c>
      <c r="B570" t="s">
        <v>606</v>
      </c>
      <c r="C570" t="s">
        <v>2233</v>
      </c>
      <c r="D570" t="s">
        <v>324</v>
      </c>
      <c r="E570" t="s">
        <v>325</v>
      </c>
      <c r="F570">
        <v>1</v>
      </c>
      <c r="G570">
        <v>1</v>
      </c>
      <c r="H570" t="s">
        <v>2255</v>
      </c>
      <c r="I570" t="s">
        <v>211</v>
      </c>
      <c r="J570" t="s">
        <v>212</v>
      </c>
    </row>
    <row r="571" spans="1:10" x14ac:dyDescent="0.3">
      <c r="A571" t="s">
        <v>2421</v>
      </c>
      <c r="B571" t="s">
        <v>606</v>
      </c>
      <c r="C571" t="s">
        <v>2237</v>
      </c>
      <c r="D571" t="s">
        <v>324</v>
      </c>
      <c r="E571" t="s">
        <v>325</v>
      </c>
      <c r="F571">
        <v>1</v>
      </c>
      <c r="G571">
        <v>1</v>
      </c>
      <c r="H571" t="s">
        <v>2257</v>
      </c>
      <c r="I571" t="s">
        <v>211</v>
      </c>
      <c r="J571" t="s">
        <v>212</v>
      </c>
    </row>
    <row r="572" spans="1:10" x14ac:dyDescent="0.3">
      <c r="A572" t="s">
        <v>2422</v>
      </c>
      <c r="B572" t="s">
        <v>606</v>
      </c>
      <c r="C572" t="s">
        <v>2241</v>
      </c>
      <c r="D572" t="s">
        <v>324</v>
      </c>
      <c r="E572" t="s">
        <v>325</v>
      </c>
      <c r="F572">
        <v>1</v>
      </c>
      <c r="G572">
        <v>1</v>
      </c>
      <c r="H572" t="s">
        <v>2259</v>
      </c>
      <c r="I572" t="s">
        <v>211</v>
      </c>
      <c r="J572" t="s">
        <v>212</v>
      </c>
    </row>
    <row r="573" spans="1:10" x14ac:dyDescent="0.3">
      <c r="A573" t="s">
        <v>2423</v>
      </c>
      <c r="B573" t="s">
        <v>606</v>
      </c>
      <c r="C573" t="s">
        <v>2244</v>
      </c>
      <c r="D573" t="s">
        <v>324</v>
      </c>
      <c r="E573" t="s">
        <v>325</v>
      </c>
      <c r="F573">
        <v>1</v>
      </c>
      <c r="G573">
        <v>1</v>
      </c>
      <c r="H573" t="s">
        <v>2261</v>
      </c>
      <c r="I573" t="s">
        <v>211</v>
      </c>
      <c r="J573" t="s">
        <v>212</v>
      </c>
    </row>
    <row r="574" spans="1:10" x14ac:dyDescent="0.3">
      <c r="A574" t="s">
        <v>2424</v>
      </c>
      <c r="B574" t="s">
        <v>606</v>
      </c>
      <c r="C574" t="s">
        <v>2247</v>
      </c>
      <c r="D574" t="s">
        <v>324</v>
      </c>
      <c r="E574" t="s">
        <v>325</v>
      </c>
      <c r="F574">
        <v>1</v>
      </c>
      <c r="G574">
        <v>1</v>
      </c>
      <c r="H574" t="s">
        <v>2263</v>
      </c>
      <c r="I574" t="s">
        <v>211</v>
      </c>
      <c r="J574" t="s">
        <v>212</v>
      </c>
    </row>
    <row r="575" spans="1:10" x14ac:dyDescent="0.3">
      <c r="A575" t="s">
        <v>2425</v>
      </c>
      <c r="B575" t="s">
        <v>190</v>
      </c>
      <c r="C575" t="s">
        <v>2225</v>
      </c>
      <c r="D575" t="s">
        <v>324</v>
      </c>
      <c r="E575" t="s">
        <v>325</v>
      </c>
      <c r="F575">
        <v>1</v>
      </c>
      <c r="G575">
        <v>1</v>
      </c>
      <c r="H575" t="s">
        <v>2251</v>
      </c>
      <c r="I575" t="s">
        <v>211</v>
      </c>
      <c r="J575" t="s">
        <v>212</v>
      </c>
    </row>
    <row r="576" spans="1:10" x14ac:dyDescent="0.3">
      <c r="A576" t="s">
        <v>2426</v>
      </c>
      <c r="B576" t="s">
        <v>190</v>
      </c>
      <c r="C576" t="s">
        <v>2230</v>
      </c>
      <c r="D576" t="s">
        <v>324</v>
      </c>
      <c r="E576" t="s">
        <v>325</v>
      </c>
      <c r="F576">
        <v>1</v>
      </c>
      <c r="G576">
        <v>1</v>
      </c>
      <c r="H576" t="s">
        <v>2253</v>
      </c>
      <c r="I576" t="s">
        <v>211</v>
      </c>
      <c r="J576" t="s">
        <v>212</v>
      </c>
    </row>
    <row r="577" spans="1:10" x14ac:dyDescent="0.3">
      <c r="A577" t="s">
        <v>2427</v>
      </c>
      <c r="B577" t="s">
        <v>190</v>
      </c>
      <c r="C577" t="s">
        <v>2233</v>
      </c>
      <c r="D577" t="s">
        <v>324</v>
      </c>
      <c r="E577" t="s">
        <v>325</v>
      </c>
      <c r="F577">
        <v>1</v>
      </c>
      <c r="G577">
        <v>1</v>
      </c>
      <c r="H577" t="s">
        <v>2255</v>
      </c>
      <c r="I577" t="s">
        <v>211</v>
      </c>
      <c r="J577" t="s">
        <v>212</v>
      </c>
    </row>
    <row r="578" spans="1:10" x14ac:dyDescent="0.3">
      <c r="A578" t="s">
        <v>2428</v>
      </c>
      <c r="B578" t="s">
        <v>190</v>
      </c>
      <c r="C578" t="s">
        <v>2237</v>
      </c>
      <c r="D578" t="s">
        <v>324</v>
      </c>
      <c r="E578" t="s">
        <v>325</v>
      </c>
      <c r="F578">
        <v>1</v>
      </c>
      <c r="G578">
        <v>1</v>
      </c>
      <c r="H578" t="s">
        <v>2257</v>
      </c>
      <c r="I578" t="s">
        <v>211</v>
      </c>
      <c r="J578" t="s">
        <v>212</v>
      </c>
    </row>
    <row r="579" spans="1:10" x14ac:dyDescent="0.3">
      <c r="A579" t="s">
        <v>2429</v>
      </c>
      <c r="B579" t="s">
        <v>190</v>
      </c>
      <c r="C579" t="s">
        <v>2241</v>
      </c>
      <c r="D579" t="s">
        <v>324</v>
      </c>
      <c r="E579" t="s">
        <v>325</v>
      </c>
      <c r="F579">
        <v>1</v>
      </c>
      <c r="G579">
        <v>1</v>
      </c>
      <c r="H579" t="s">
        <v>2259</v>
      </c>
      <c r="I579" t="s">
        <v>211</v>
      </c>
      <c r="J579" t="s">
        <v>212</v>
      </c>
    </row>
    <row r="580" spans="1:10" x14ac:dyDescent="0.3">
      <c r="A580" t="s">
        <v>2430</v>
      </c>
      <c r="B580" t="s">
        <v>190</v>
      </c>
      <c r="C580" t="s">
        <v>2244</v>
      </c>
      <c r="D580" t="s">
        <v>324</v>
      </c>
      <c r="E580" t="s">
        <v>325</v>
      </c>
      <c r="F580">
        <v>1</v>
      </c>
      <c r="G580">
        <v>1</v>
      </c>
      <c r="H580" t="s">
        <v>2261</v>
      </c>
      <c r="I580" t="s">
        <v>211</v>
      </c>
      <c r="J580" t="s">
        <v>212</v>
      </c>
    </row>
    <row r="581" spans="1:10" x14ac:dyDescent="0.3">
      <c r="A581" t="s">
        <v>2431</v>
      </c>
      <c r="B581" t="s">
        <v>190</v>
      </c>
      <c r="C581" t="s">
        <v>2247</v>
      </c>
      <c r="D581" t="s">
        <v>324</v>
      </c>
      <c r="E581" t="s">
        <v>325</v>
      </c>
      <c r="F581">
        <v>1</v>
      </c>
      <c r="G581">
        <v>1</v>
      </c>
      <c r="H581" t="s">
        <v>2263</v>
      </c>
      <c r="I581" t="s">
        <v>211</v>
      </c>
      <c r="J581" t="s">
        <v>212</v>
      </c>
    </row>
    <row r="582" spans="1:10" x14ac:dyDescent="0.3">
      <c r="A582" t="s">
        <v>2432</v>
      </c>
      <c r="B582" t="s">
        <v>621</v>
      </c>
      <c r="C582" t="s">
        <v>2225</v>
      </c>
      <c r="D582" t="s">
        <v>324</v>
      </c>
      <c r="E582" t="s">
        <v>325</v>
      </c>
      <c r="F582">
        <v>1</v>
      </c>
      <c r="G582">
        <v>1</v>
      </c>
      <c r="H582" t="s">
        <v>2251</v>
      </c>
      <c r="I582" t="s">
        <v>211</v>
      </c>
      <c r="J582" t="s">
        <v>212</v>
      </c>
    </row>
    <row r="583" spans="1:10" x14ac:dyDescent="0.3">
      <c r="A583" t="s">
        <v>2433</v>
      </c>
      <c r="B583" t="s">
        <v>621</v>
      </c>
      <c r="C583" t="s">
        <v>2230</v>
      </c>
      <c r="D583" t="s">
        <v>324</v>
      </c>
      <c r="E583" t="s">
        <v>325</v>
      </c>
      <c r="F583">
        <v>1</v>
      </c>
      <c r="G583">
        <v>1</v>
      </c>
      <c r="H583" t="s">
        <v>2253</v>
      </c>
      <c r="I583" t="s">
        <v>211</v>
      </c>
      <c r="J583" t="s">
        <v>212</v>
      </c>
    </row>
    <row r="584" spans="1:10" x14ac:dyDescent="0.3">
      <c r="A584" t="s">
        <v>2434</v>
      </c>
      <c r="B584" t="s">
        <v>621</v>
      </c>
      <c r="C584" t="s">
        <v>2233</v>
      </c>
      <c r="D584" t="s">
        <v>324</v>
      </c>
      <c r="E584" t="s">
        <v>325</v>
      </c>
      <c r="F584">
        <v>1</v>
      </c>
      <c r="G584">
        <v>1</v>
      </c>
      <c r="H584" t="s">
        <v>2255</v>
      </c>
      <c r="I584" t="s">
        <v>211</v>
      </c>
      <c r="J584" t="s">
        <v>212</v>
      </c>
    </row>
    <row r="585" spans="1:10" x14ac:dyDescent="0.3">
      <c r="A585" t="s">
        <v>2435</v>
      </c>
      <c r="B585" t="s">
        <v>621</v>
      </c>
      <c r="C585" t="s">
        <v>2237</v>
      </c>
      <c r="D585" t="s">
        <v>324</v>
      </c>
      <c r="E585" t="s">
        <v>325</v>
      </c>
      <c r="F585">
        <v>1</v>
      </c>
      <c r="G585">
        <v>1</v>
      </c>
      <c r="H585" t="s">
        <v>2257</v>
      </c>
      <c r="I585" t="s">
        <v>211</v>
      </c>
      <c r="J585" t="s">
        <v>212</v>
      </c>
    </row>
    <row r="586" spans="1:10" x14ac:dyDescent="0.3">
      <c r="A586" t="s">
        <v>2436</v>
      </c>
      <c r="B586" t="s">
        <v>621</v>
      </c>
      <c r="C586" t="s">
        <v>2241</v>
      </c>
      <c r="D586" t="s">
        <v>324</v>
      </c>
      <c r="E586" t="s">
        <v>325</v>
      </c>
      <c r="F586">
        <v>1</v>
      </c>
      <c r="G586">
        <v>1</v>
      </c>
      <c r="H586" t="s">
        <v>2259</v>
      </c>
      <c r="I586" t="s">
        <v>211</v>
      </c>
      <c r="J586" t="s">
        <v>212</v>
      </c>
    </row>
    <row r="587" spans="1:10" x14ac:dyDescent="0.3">
      <c r="A587" t="s">
        <v>2437</v>
      </c>
      <c r="B587" t="s">
        <v>621</v>
      </c>
      <c r="C587" t="s">
        <v>2244</v>
      </c>
      <c r="D587" t="s">
        <v>324</v>
      </c>
      <c r="E587" t="s">
        <v>325</v>
      </c>
      <c r="F587">
        <v>1</v>
      </c>
      <c r="G587">
        <v>1</v>
      </c>
      <c r="H587" t="s">
        <v>2261</v>
      </c>
      <c r="I587" t="s">
        <v>211</v>
      </c>
      <c r="J587" t="s">
        <v>212</v>
      </c>
    </row>
    <row r="588" spans="1:10" x14ac:dyDescent="0.3">
      <c r="A588" t="s">
        <v>2438</v>
      </c>
      <c r="B588" t="s">
        <v>621</v>
      </c>
      <c r="C588" t="s">
        <v>2247</v>
      </c>
      <c r="D588" t="s">
        <v>324</v>
      </c>
      <c r="E588" t="s">
        <v>325</v>
      </c>
      <c r="F588">
        <v>1</v>
      </c>
      <c r="G588">
        <v>1</v>
      </c>
      <c r="H588" t="s">
        <v>2263</v>
      </c>
      <c r="I588" t="s">
        <v>211</v>
      </c>
      <c r="J588" t="s">
        <v>212</v>
      </c>
    </row>
    <row r="589" spans="1:10" x14ac:dyDescent="0.3">
      <c r="A589" t="s">
        <v>2439</v>
      </c>
      <c r="B589" t="s">
        <v>626</v>
      </c>
      <c r="C589" t="s">
        <v>2225</v>
      </c>
      <c r="D589" t="s">
        <v>324</v>
      </c>
      <c r="E589" t="s">
        <v>325</v>
      </c>
      <c r="F589">
        <v>1</v>
      </c>
      <c r="G589">
        <v>1</v>
      </c>
      <c r="H589" t="s">
        <v>2251</v>
      </c>
      <c r="I589" t="s">
        <v>211</v>
      </c>
      <c r="J589" t="s">
        <v>212</v>
      </c>
    </row>
    <row r="590" spans="1:10" x14ac:dyDescent="0.3">
      <c r="A590" t="s">
        <v>2440</v>
      </c>
      <c r="B590" t="s">
        <v>626</v>
      </c>
      <c r="C590" t="s">
        <v>2230</v>
      </c>
      <c r="D590" t="s">
        <v>324</v>
      </c>
      <c r="E590" t="s">
        <v>325</v>
      </c>
      <c r="F590">
        <v>1</v>
      </c>
      <c r="G590">
        <v>1</v>
      </c>
      <c r="H590" t="s">
        <v>2253</v>
      </c>
      <c r="I590" t="s">
        <v>211</v>
      </c>
      <c r="J590" t="s">
        <v>212</v>
      </c>
    </row>
    <row r="591" spans="1:10" x14ac:dyDescent="0.3">
      <c r="A591" t="s">
        <v>2441</v>
      </c>
      <c r="B591" t="s">
        <v>626</v>
      </c>
      <c r="C591" t="s">
        <v>2233</v>
      </c>
      <c r="D591" t="s">
        <v>324</v>
      </c>
      <c r="E591" t="s">
        <v>325</v>
      </c>
      <c r="F591">
        <v>1</v>
      </c>
      <c r="G591">
        <v>1</v>
      </c>
      <c r="H591" t="s">
        <v>2255</v>
      </c>
      <c r="I591" t="s">
        <v>211</v>
      </c>
      <c r="J591" t="s">
        <v>212</v>
      </c>
    </row>
    <row r="592" spans="1:10" x14ac:dyDescent="0.3">
      <c r="A592" t="s">
        <v>2442</v>
      </c>
      <c r="B592" t="s">
        <v>626</v>
      </c>
      <c r="C592" t="s">
        <v>2237</v>
      </c>
      <c r="D592" t="s">
        <v>324</v>
      </c>
      <c r="E592" t="s">
        <v>325</v>
      </c>
      <c r="F592">
        <v>1</v>
      </c>
      <c r="G592">
        <v>1</v>
      </c>
      <c r="H592" t="s">
        <v>2257</v>
      </c>
      <c r="I592" t="s">
        <v>211</v>
      </c>
      <c r="J592" t="s">
        <v>212</v>
      </c>
    </row>
    <row r="593" spans="1:10" x14ac:dyDescent="0.3">
      <c r="A593" t="s">
        <v>2443</v>
      </c>
      <c r="B593" t="s">
        <v>626</v>
      </c>
      <c r="C593" t="s">
        <v>2241</v>
      </c>
      <c r="D593" t="s">
        <v>324</v>
      </c>
      <c r="E593" t="s">
        <v>325</v>
      </c>
      <c r="F593">
        <v>1</v>
      </c>
      <c r="G593">
        <v>1</v>
      </c>
      <c r="H593" t="s">
        <v>2259</v>
      </c>
      <c r="I593" t="s">
        <v>211</v>
      </c>
      <c r="J593" t="s">
        <v>212</v>
      </c>
    </row>
    <row r="594" spans="1:10" x14ac:dyDescent="0.3">
      <c r="A594" t="s">
        <v>2444</v>
      </c>
      <c r="B594" t="s">
        <v>626</v>
      </c>
      <c r="C594" t="s">
        <v>2244</v>
      </c>
      <c r="D594" t="s">
        <v>324</v>
      </c>
      <c r="E594" t="s">
        <v>325</v>
      </c>
      <c r="F594">
        <v>1</v>
      </c>
      <c r="G594">
        <v>1</v>
      </c>
      <c r="H594" t="s">
        <v>2261</v>
      </c>
      <c r="I594" t="s">
        <v>211</v>
      </c>
      <c r="J594" t="s">
        <v>212</v>
      </c>
    </row>
    <row r="595" spans="1:10" x14ac:dyDescent="0.3">
      <c r="A595" t="s">
        <v>2445</v>
      </c>
      <c r="B595" t="s">
        <v>626</v>
      </c>
      <c r="C595" t="s">
        <v>2247</v>
      </c>
      <c r="D595" t="s">
        <v>324</v>
      </c>
      <c r="E595" t="s">
        <v>325</v>
      </c>
      <c r="F595">
        <v>1</v>
      </c>
      <c r="G595">
        <v>1</v>
      </c>
      <c r="H595" t="s">
        <v>2263</v>
      </c>
      <c r="I595" t="s">
        <v>211</v>
      </c>
      <c r="J595" t="s">
        <v>212</v>
      </c>
    </row>
    <row r="596" spans="1:10" x14ac:dyDescent="0.3">
      <c r="A596" t="s">
        <v>2446</v>
      </c>
      <c r="B596" t="s">
        <v>2447</v>
      </c>
      <c r="C596" t="s">
        <v>2225</v>
      </c>
      <c r="D596" t="s">
        <v>324</v>
      </c>
      <c r="E596" t="s">
        <v>325</v>
      </c>
      <c r="F596">
        <v>1</v>
      </c>
      <c r="G596">
        <v>1</v>
      </c>
      <c r="H596" t="s">
        <v>2251</v>
      </c>
      <c r="I596" t="s">
        <v>211</v>
      </c>
      <c r="J596" t="s">
        <v>212</v>
      </c>
    </row>
    <row r="597" spans="1:10" x14ac:dyDescent="0.3">
      <c r="A597" t="s">
        <v>2448</v>
      </c>
      <c r="B597" t="s">
        <v>2447</v>
      </c>
      <c r="C597" t="s">
        <v>2230</v>
      </c>
      <c r="D597" t="s">
        <v>324</v>
      </c>
      <c r="E597" t="s">
        <v>325</v>
      </c>
      <c r="F597">
        <v>1</v>
      </c>
      <c r="G597">
        <v>1</v>
      </c>
      <c r="H597" t="s">
        <v>2253</v>
      </c>
      <c r="I597" t="s">
        <v>211</v>
      </c>
      <c r="J597" t="s">
        <v>212</v>
      </c>
    </row>
    <row r="598" spans="1:10" x14ac:dyDescent="0.3">
      <c r="A598" t="s">
        <v>2449</v>
      </c>
      <c r="B598" t="s">
        <v>2447</v>
      </c>
      <c r="C598" t="s">
        <v>2233</v>
      </c>
      <c r="D598" t="s">
        <v>324</v>
      </c>
      <c r="E598" t="s">
        <v>325</v>
      </c>
      <c r="F598">
        <v>1</v>
      </c>
      <c r="G598">
        <v>1</v>
      </c>
      <c r="H598" t="s">
        <v>2255</v>
      </c>
      <c r="I598" t="s">
        <v>211</v>
      </c>
      <c r="J598" t="s">
        <v>212</v>
      </c>
    </row>
    <row r="599" spans="1:10" x14ac:dyDescent="0.3">
      <c r="A599" t="s">
        <v>2450</v>
      </c>
      <c r="B599" t="s">
        <v>2447</v>
      </c>
      <c r="C599" t="s">
        <v>2237</v>
      </c>
      <c r="D599" t="s">
        <v>324</v>
      </c>
      <c r="E599" t="s">
        <v>325</v>
      </c>
      <c r="F599">
        <v>1</v>
      </c>
      <c r="G599">
        <v>1</v>
      </c>
      <c r="H599" t="s">
        <v>2257</v>
      </c>
      <c r="I599" t="s">
        <v>211</v>
      </c>
      <c r="J599" t="s">
        <v>212</v>
      </c>
    </row>
    <row r="600" spans="1:10" x14ac:dyDescent="0.3">
      <c r="A600" t="s">
        <v>2451</v>
      </c>
      <c r="B600" t="s">
        <v>2447</v>
      </c>
      <c r="C600" t="s">
        <v>2241</v>
      </c>
      <c r="D600" t="s">
        <v>324</v>
      </c>
      <c r="E600" t="s">
        <v>325</v>
      </c>
      <c r="F600">
        <v>1</v>
      </c>
      <c r="G600">
        <v>1</v>
      </c>
      <c r="H600" t="s">
        <v>2259</v>
      </c>
      <c r="I600" t="s">
        <v>211</v>
      </c>
      <c r="J600" t="s">
        <v>212</v>
      </c>
    </row>
    <row r="601" spans="1:10" x14ac:dyDescent="0.3">
      <c r="A601" t="s">
        <v>2452</v>
      </c>
      <c r="B601" t="s">
        <v>2447</v>
      </c>
      <c r="C601" t="s">
        <v>2244</v>
      </c>
      <c r="D601" t="s">
        <v>324</v>
      </c>
      <c r="E601" t="s">
        <v>325</v>
      </c>
      <c r="F601">
        <v>1</v>
      </c>
      <c r="G601">
        <v>1</v>
      </c>
      <c r="H601" t="s">
        <v>2261</v>
      </c>
      <c r="I601" t="s">
        <v>211</v>
      </c>
      <c r="J601" t="s">
        <v>212</v>
      </c>
    </row>
    <row r="602" spans="1:10" x14ac:dyDescent="0.3">
      <c r="A602" t="s">
        <v>2453</v>
      </c>
      <c r="B602" t="s">
        <v>2447</v>
      </c>
      <c r="C602" t="s">
        <v>2247</v>
      </c>
      <c r="D602" t="s">
        <v>324</v>
      </c>
      <c r="E602" t="s">
        <v>325</v>
      </c>
      <c r="F602">
        <v>1</v>
      </c>
      <c r="G602">
        <v>1</v>
      </c>
      <c r="H602" t="s">
        <v>2263</v>
      </c>
      <c r="I602" t="s">
        <v>211</v>
      </c>
      <c r="J602" t="s">
        <v>212</v>
      </c>
    </row>
    <row r="603" spans="1:10" x14ac:dyDescent="0.3">
      <c r="A603" t="s">
        <v>2454</v>
      </c>
      <c r="B603" t="s">
        <v>630</v>
      </c>
      <c r="C603" t="s">
        <v>2225</v>
      </c>
      <c r="D603" t="s">
        <v>324</v>
      </c>
      <c r="E603" t="s">
        <v>325</v>
      </c>
      <c r="F603">
        <v>1</v>
      </c>
      <c r="G603">
        <v>1</v>
      </c>
      <c r="H603" t="s">
        <v>2251</v>
      </c>
      <c r="I603" t="s">
        <v>211</v>
      </c>
      <c r="J603" t="s">
        <v>212</v>
      </c>
    </row>
    <row r="604" spans="1:10" x14ac:dyDescent="0.3">
      <c r="A604" t="s">
        <v>2455</v>
      </c>
      <c r="B604" t="s">
        <v>630</v>
      </c>
      <c r="C604" t="s">
        <v>2230</v>
      </c>
      <c r="D604" t="s">
        <v>324</v>
      </c>
      <c r="E604" t="s">
        <v>325</v>
      </c>
      <c r="F604">
        <v>1</v>
      </c>
      <c r="G604">
        <v>1</v>
      </c>
      <c r="H604" t="s">
        <v>2253</v>
      </c>
      <c r="I604" t="s">
        <v>211</v>
      </c>
      <c r="J604" t="s">
        <v>212</v>
      </c>
    </row>
    <row r="605" spans="1:10" x14ac:dyDescent="0.3">
      <c r="A605" t="s">
        <v>2456</v>
      </c>
      <c r="B605" t="s">
        <v>630</v>
      </c>
      <c r="C605" t="s">
        <v>2233</v>
      </c>
      <c r="D605" t="s">
        <v>324</v>
      </c>
      <c r="E605" t="s">
        <v>325</v>
      </c>
      <c r="F605">
        <v>1</v>
      </c>
      <c r="G605">
        <v>1</v>
      </c>
      <c r="H605" t="s">
        <v>2255</v>
      </c>
      <c r="I605" t="s">
        <v>211</v>
      </c>
      <c r="J605" t="s">
        <v>212</v>
      </c>
    </row>
    <row r="606" spans="1:10" x14ac:dyDescent="0.3">
      <c r="A606" t="s">
        <v>2457</v>
      </c>
      <c r="B606" t="s">
        <v>630</v>
      </c>
      <c r="C606" t="s">
        <v>2237</v>
      </c>
      <c r="D606" t="s">
        <v>324</v>
      </c>
      <c r="E606" t="s">
        <v>325</v>
      </c>
      <c r="F606">
        <v>1</v>
      </c>
      <c r="G606">
        <v>1</v>
      </c>
      <c r="H606" t="s">
        <v>2257</v>
      </c>
      <c r="I606" t="s">
        <v>211</v>
      </c>
      <c r="J606" t="s">
        <v>212</v>
      </c>
    </row>
    <row r="607" spans="1:10" x14ac:dyDescent="0.3">
      <c r="A607" t="s">
        <v>2458</v>
      </c>
      <c r="B607" t="s">
        <v>630</v>
      </c>
      <c r="C607" t="s">
        <v>2241</v>
      </c>
      <c r="D607" t="s">
        <v>324</v>
      </c>
      <c r="E607" t="s">
        <v>325</v>
      </c>
      <c r="F607">
        <v>1</v>
      </c>
      <c r="G607">
        <v>1</v>
      </c>
      <c r="H607" t="s">
        <v>2259</v>
      </c>
      <c r="I607" t="s">
        <v>211</v>
      </c>
      <c r="J607" t="s">
        <v>212</v>
      </c>
    </row>
    <row r="608" spans="1:10" x14ac:dyDescent="0.3">
      <c r="A608" t="s">
        <v>2459</v>
      </c>
      <c r="B608" t="s">
        <v>630</v>
      </c>
      <c r="C608" t="s">
        <v>2244</v>
      </c>
      <c r="D608" t="s">
        <v>324</v>
      </c>
      <c r="E608" t="s">
        <v>325</v>
      </c>
      <c r="F608">
        <v>1</v>
      </c>
      <c r="G608">
        <v>1</v>
      </c>
      <c r="H608" t="s">
        <v>2261</v>
      </c>
      <c r="I608" t="s">
        <v>211</v>
      </c>
      <c r="J608" t="s">
        <v>212</v>
      </c>
    </row>
    <row r="609" spans="1:10" x14ac:dyDescent="0.3">
      <c r="A609" t="s">
        <v>2460</v>
      </c>
      <c r="B609" t="s">
        <v>630</v>
      </c>
      <c r="C609" t="s">
        <v>2247</v>
      </c>
      <c r="D609" t="s">
        <v>324</v>
      </c>
      <c r="E609" t="s">
        <v>325</v>
      </c>
      <c r="F609">
        <v>1</v>
      </c>
      <c r="G609">
        <v>1</v>
      </c>
      <c r="H609" t="s">
        <v>2263</v>
      </c>
      <c r="I609" t="s">
        <v>211</v>
      </c>
      <c r="J609" t="s">
        <v>212</v>
      </c>
    </row>
    <row r="610" spans="1:10" x14ac:dyDescent="0.3">
      <c r="A610" t="s">
        <v>2461</v>
      </c>
      <c r="B610" t="s">
        <v>637</v>
      </c>
      <c r="C610" t="s">
        <v>2225</v>
      </c>
      <c r="D610" t="s">
        <v>324</v>
      </c>
      <c r="E610" t="s">
        <v>325</v>
      </c>
      <c r="F610">
        <v>1</v>
      </c>
      <c r="G610">
        <v>1</v>
      </c>
      <c r="H610" t="s">
        <v>2251</v>
      </c>
      <c r="I610" t="s">
        <v>211</v>
      </c>
      <c r="J610" t="s">
        <v>212</v>
      </c>
    </row>
    <row r="611" spans="1:10" x14ac:dyDescent="0.3">
      <c r="A611" t="s">
        <v>2462</v>
      </c>
      <c r="B611" t="s">
        <v>637</v>
      </c>
      <c r="C611" t="s">
        <v>2230</v>
      </c>
      <c r="D611" t="s">
        <v>324</v>
      </c>
      <c r="E611" t="s">
        <v>325</v>
      </c>
      <c r="F611">
        <v>1</v>
      </c>
      <c r="G611">
        <v>1</v>
      </c>
      <c r="H611" t="s">
        <v>2253</v>
      </c>
      <c r="I611" t="s">
        <v>211</v>
      </c>
      <c r="J611" t="s">
        <v>212</v>
      </c>
    </row>
    <row r="612" spans="1:10" x14ac:dyDescent="0.3">
      <c r="A612" t="s">
        <v>2463</v>
      </c>
      <c r="B612" t="s">
        <v>637</v>
      </c>
      <c r="C612" t="s">
        <v>2233</v>
      </c>
      <c r="D612" t="s">
        <v>324</v>
      </c>
      <c r="E612" t="s">
        <v>325</v>
      </c>
      <c r="F612">
        <v>1</v>
      </c>
      <c r="G612">
        <v>1</v>
      </c>
      <c r="H612" t="s">
        <v>2255</v>
      </c>
      <c r="I612" t="s">
        <v>211</v>
      </c>
      <c r="J612" t="s">
        <v>212</v>
      </c>
    </row>
    <row r="613" spans="1:10" x14ac:dyDescent="0.3">
      <c r="A613" t="s">
        <v>2464</v>
      </c>
      <c r="B613" t="s">
        <v>637</v>
      </c>
      <c r="C613" t="s">
        <v>2237</v>
      </c>
      <c r="D613" t="s">
        <v>324</v>
      </c>
      <c r="E613" t="s">
        <v>325</v>
      </c>
      <c r="F613">
        <v>1</v>
      </c>
      <c r="G613">
        <v>1</v>
      </c>
      <c r="H613" t="s">
        <v>2257</v>
      </c>
      <c r="I613" t="s">
        <v>211</v>
      </c>
      <c r="J613" t="s">
        <v>212</v>
      </c>
    </row>
    <row r="614" spans="1:10" x14ac:dyDescent="0.3">
      <c r="A614" t="s">
        <v>2465</v>
      </c>
      <c r="B614" t="s">
        <v>637</v>
      </c>
      <c r="C614" t="s">
        <v>2241</v>
      </c>
      <c r="D614" t="s">
        <v>324</v>
      </c>
      <c r="E614" t="s">
        <v>325</v>
      </c>
      <c r="F614">
        <v>1</v>
      </c>
      <c r="G614">
        <v>1</v>
      </c>
      <c r="H614" t="s">
        <v>2259</v>
      </c>
      <c r="I614" t="s">
        <v>211</v>
      </c>
      <c r="J614" t="s">
        <v>212</v>
      </c>
    </row>
    <row r="615" spans="1:10" x14ac:dyDescent="0.3">
      <c r="A615" t="s">
        <v>2466</v>
      </c>
      <c r="B615" t="s">
        <v>637</v>
      </c>
      <c r="C615" t="s">
        <v>2244</v>
      </c>
      <c r="D615" t="s">
        <v>324</v>
      </c>
      <c r="E615" t="s">
        <v>325</v>
      </c>
      <c r="F615">
        <v>1</v>
      </c>
      <c r="G615">
        <v>1</v>
      </c>
      <c r="H615" t="s">
        <v>2261</v>
      </c>
      <c r="I615" t="s">
        <v>211</v>
      </c>
      <c r="J615" t="s">
        <v>212</v>
      </c>
    </row>
    <row r="616" spans="1:10" x14ac:dyDescent="0.3">
      <c r="A616" t="s">
        <v>2467</v>
      </c>
      <c r="B616" t="s">
        <v>637</v>
      </c>
      <c r="C616" t="s">
        <v>2247</v>
      </c>
      <c r="D616" t="s">
        <v>324</v>
      </c>
      <c r="E616" t="s">
        <v>325</v>
      </c>
      <c r="F616">
        <v>1</v>
      </c>
      <c r="G616">
        <v>1</v>
      </c>
      <c r="H616" t="s">
        <v>2263</v>
      </c>
      <c r="I616" t="s">
        <v>211</v>
      </c>
      <c r="J616" t="s">
        <v>212</v>
      </c>
    </row>
    <row r="617" spans="1:10" x14ac:dyDescent="0.3">
      <c r="A617" t="s">
        <v>2468</v>
      </c>
      <c r="B617" t="s">
        <v>640</v>
      </c>
      <c r="C617" t="s">
        <v>2225</v>
      </c>
      <c r="D617" t="s">
        <v>324</v>
      </c>
      <c r="E617" t="s">
        <v>325</v>
      </c>
      <c r="F617">
        <v>1</v>
      </c>
      <c r="G617">
        <v>1</v>
      </c>
      <c r="H617" t="s">
        <v>2251</v>
      </c>
      <c r="I617" t="s">
        <v>211</v>
      </c>
      <c r="J617" t="s">
        <v>212</v>
      </c>
    </row>
    <row r="618" spans="1:10" x14ac:dyDescent="0.3">
      <c r="A618" t="s">
        <v>2469</v>
      </c>
      <c r="B618" t="s">
        <v>640</v>
      </c>
      <c r="C618" t="s">
        <v>2230</v>
      </c>
      <c r="D618" t="s">
        <v>324</v>
      </c>
      <c r="E618" t="s">
        <v>325</v>
      </c>
      <c r="F618">
        <v>1</v>
      </c>
      <c r="G618">
        <v>1</v>
      </c>
      <c r="H618" t="s">
        <v>2253</v>
      </c>
      <c r="I618" t="s">
        <v>211</v>
      </c>
      <c r="J618" t="s">
        <v>212</v>
      </c>
    </row>
    <row r="619" spans="1:10" x14ac:dyDescent="0.3">
      <c r="A619" t="s">
        <v>2470</v>
      </c>
      <c r="B619" t="s">
        <v>640</v>
      </c>
      <c r="C619" t="s">
        <v>2233</v>
      </c>
      <c r="D619" t="s">
        <v>324</v>
      </c>
      <c r="E619" t="s">
        <v>325</v>
      </c>
      <c r="F619">
        <v>1</v>
      </c>
      <c r="G619">
        <v>1</v>
      </c>
      <c r="H619" t="s">
        <v>2255</v>
      </c>
      <c r="I619" t="s">
        <v>211</v>
      </c>
      <c r="J619" t="s">
        <v>212</v>
      </c>
    </row>
    <row r="620" spans="1:10" x14ac:dyDescent="0.3">
      <c r="A620" t="s">
        <v>2471</v>
      </c>
      <c r="B620" t="s">
        <v>640</v>
      </c>
      <c r="C620" t="s">
        <v>2237</v>
      </c>
      <c r="D620" t="s">
        <v>324</v>
      </c>
      <c r="E620" t="s">
        <v>325</v>
      </c>
      <c r="F620">
        <v>1</v>
      </c>
      <c r="G620">
        <v>1</v>
      </c>
      <c r="H620" t="s">
        <v>2257</v>
      </c>
      <c r="I620" t="s">
        <v>211</v>
      </c>
      <c r="J620" t="s">
        <v>212</v>
      </c>
    </row>
    <row r="621" spans="1:10" x14ac:dyDescent="0.3">
      <c r="A621" t="s">
        <v>2472</v>
      </c>
      <c r="B621" t="s">
        <v>640</v>
      </c>
      <c r="C621" t="s">
        <v>2241</v>
      </c>
      <c r="D621" t="s">
        <v>324</v>
      </c>
      <c r="E621" t="s">
        <v>325</v>
      </c>
      <c r="F621">
        <v>1</v>
      </c>
      <c r="G621">
        <v>1</v>
      </c>
      <c r="H621" t="s">
        <v>2259</v>
      </c>
      <c r="I621" t="s">
        <v>211</v>
      </c>
      <c r="J621" t="s">
        <v>212</v>
      </c>
    </row>
    <row r="622" spans="1:10" x14ac:dyDescent="0.3">
      <c r="A622" t="s">
        <v>2473</v>
      </c>
      <c r="B622" t="s">
        <v>640</v>
      </c>
      <c r="C622" t="s">
        <v>2244</v>
      </c>
      <c r="D622" t="s">
        <v>324</v>
      </c>
      <c r="E622" t="s">
        <v>325</v>
      </c>
      <c r="F622">
        <v>1</v>
      </c>
      <c r="G622">
        <v>1</v>
      </c>
      <c r="H622" t="s">
        <v>2261</v>
      </c>
      <c r="I622" t="s">
        <v>211</v>
      </c>
      <c r="J622" t="s">
        <v>212</v>
      </c>
    </row>
    <row r="623" spans="1:10" x14ac:dyDescent="0.3">
      <c r="A623" t="s">
        <v>2474</v>
      </c>
      <c r="B623" t="s">
        <v>640</v>
      </c>
      <c r="C623" t="s">
        <v>2247</v>
      </c>
      <c r="D623" t="s">
        <v>324</v>
      </c>
      <c r="E623" t="s">
        <v>325</v>
      </c>
      <c r="F623">
        <v>1</v>
      </c>
      <c r="G623">
        <v>1</v>
      </c>
      <c r="H623" t="s">
        <v>2263</v>
      </c>
      <c r="I623" t="s">
        <v>211</v>
      </c>
      <c r="J623" t="s">
        <v>212</v>
      </c>
    </row>
    <row r="624" spans="1:10" x14ac:dyDescent="0.3">
      <c r="A624" t="s">
        <v>2475</v>
      </c>
      <c r="B624" t="s">
        <v>654</v>
      </c>
      <c r="C624" t="s">
        <v>2225</v>
      </c>
      <c r="D624" t="s">
        <v>324</v>
      </c>
      <c r="E624" t="s">
        <v>325</v>
      </c>
      <c r="F624">
        <v>1</v>
      </c>
      <c r="G624">
        <v>1</v>
      </c>
      <c r="H624" t="s">
        <v>2251</v>
      </c>
      <c r="I624" t="s">
        <v>211</v>
      </c>
      <c r="J624" t="s">
        <v>212</v>
      </c>
    </row>
    <row r="625" spans="1:10" x14ac:dyDescent="0.3">
      <c r="A625" t="s">
        <v>2476</v>
      </c>
      <c r="B625" t="s">
        <v>654</v>
      </c>
      <c r="C625" t="s">
        <v>2230</v>
      </c>
      <c r="D625" t="s">
        <v>324</v>
      </c>
      <c r="E625" t="s">
        <v>325</v>
      </c>
      <c r="F625">
        <v>1</v>
      </c>
      <c r="G625">
        <v>1</v>
      </c>
      <c r="H625" t="s">
        <v>2253</v>
      </c>
      <c r="I625" t="s">
        <v>211</v>
      </c>
      <c r="J625" t="s">
        <v>212</v>
      </c>
    </row>
    <row r="626" spans="1:10" x14ac:dyDescent="0.3">
      <c r="A626" t="s">
        <v>2477</v>
      </c>
      <c r="B626" t="s">
        <v>654</v>
      </c>
      <c r="C626" t="s">
        <v>2233</v>
      </c>
      <c r="D626" t="s">
        <v>324</v>
      </c>
      <c r="E626" t="s">
        <v>325</v>
      </c>
      <c r="F626">
        <v>1</v>
      </c>
      <c r="G626">
        <v>1</v>
      </c>
      <c r="H626" t="s">
        <v>2255</v>
      </c>
      <c r="I626" t="s">
        <v>211</v>
      </c>
      <c r="J626" t="s">
        <v>212</v>
      </c>
    </row>
    <row r="627" spans="1:10" x14ac:dyDescent="0.3">
      <c r="A627" t="s">
        <v>2478</v>
      </c>
      <c r="B627" t="s">
        <v>654</v>
      </c>
      <c r="C627" t="s">
        <v>2237</v>
      </c>
      <c r="D627" t="s">
        <v>324</v>
      </c>
      <c r="E627" t="s">
        <v>325</v>
      </c>
      <c r="F627">
        <v>1</v>
      </c>
      <c r="G627">
        <v>1</v>
      </c>
      <c r="H627" t="s">
        <v>2257</v>
      </c>
      <c r="I627" t="s">
        <v>211</v>
      </c>
      <c r="J627" t="s">
        <v>212</v>
      </c>
    </row>
    <row r="628" spans="1:10" x14ac:dyDescent="0.3">
      <c r="A628" t="s">
        <v>2479</v>
      </c>
      <c r="B628" t="s">
        <v>654</v>
      </c>
      <c r="C628" t="s">
        <v>2241</v>
      </c>
      <c r="D628" t="s">
        <v>324</v>
      </c>
      <c r="E628" t="s">
        <v>325</v>
      </c>
      <c r="F628">
        <v>1</v>
      </c>
      <c r="G628">
        <v>1</v>
      </c>
      <c r="H628" t="s">
        <v>2259</v>
      </c>
      <c r="I628" t="s">
        <v>211</v>
      </c>
      <c r="J628" t="s">
        <v>212</v>
      </c>
    </row>
    <row r="629" spans="1:10" x14ac:dyDescent="0.3">
      <c r="A629" t="s">
        <v>2480</v>
      </c>
      <c r="B629" t="s">
        <v>654</v>
      </c>
      <c r="C629" t="s">
        <v>2244</v>
      </c>
      <c r="D629" t="s">
        <v>324</v>
      </c>
      <c r="E629" t="s">
        <v>325</v>
      </c>
      <c r="F629">
        <v>1</v>
      </c>
      <c r="G629">
        <v>1</v>
      </c>
      <c r="H629" t="s">
        <v>2261</v>
      </c>
      <c r="I629" t="s">
        <v>211</v>
      </c>
      <c r="J629" t="s">
        <v>212</v>
      </c>
    </row>
    <row r="630" spans="1:10" x14ac:dyDescent="0.3">
      <c r="A630" t="s">
        <v>2481</v>
      </c>
      <c r="B630" t="s">
        <v>654</v>
      </c>
      <c r="C630" t="s">
        <v>2247</v>
      </c>
      <c r="D630" t="s">
        <v>324</v>
      </c>
      <c r="E630" t="s">
        <v>325</v>
      </c>
      <c r="F630">
        <v>1</v>
      </c>
      <c r="G630">
        <v>1</v>
      </c>
      <c r="H630" t="s">
        <v>2263</v>
      </c>
      <c r="I630" t="s">
        <v>211</v>
      </c>
      <c r="J630" t="s">
        <v>212</v>
      </c>
    </row>
    <row r="631" spans="1:10" x14ac:dyDescent="0.3">
      <c r="A631" t="s">
        <v>2482</v>
      </c>
      <c r="B631" t="s">
        <v>658</v>
      </c>
      <c r="C631" t="s">
        <v>2225</v>
      </c>
      <c r="D631" t="s">
        <v>324</v>
      </c>
      <c r="E631" t="s">
        <v>325</v>
      </c>
      <c r="F631">
        <v>1</v>
      </c>
      <c r="G631">
        <v>1</v>
      </c>
      <c r="H631" t="s">
        <v>2251</v>
      </c>
      <c r="I631" t="s">
        <v>211</v>
      </c>
      <c r="J631" t="s">
        <v>212</v>
      </c>
    </row>
    <row r="632" spans="1:10" x14ac:dyDescent="0.3">
      <c r="A632" t="s">
        <v>2483</v>
      </c>
      <c r="B632" t="s">
        <v>658</v>
      </c>
      <c r="C632" t="s">
        <v>2230</v>
      </c>
      <c r="D632" t="s">
        <v>324</v>
      </c>
      <c r="E632" t="s">
        <v>325</v>
      </c>
      <c r="F632">
        <v>1</v>
      </c>
      <c r="G632">
        <v>1</v>
      </c>
      <c r="H632" t="s">
        <v>2253</v>
      </c>
      <c r="I632" t="s">
        <v>211</v>
      </c>
      <c r="J632" t="s">
        <v>212</v>
      </c>
    </row>
    <row r="633" spans="1:10" x14ac:dyDescent="0.3">
      <c r="A633" t="s">
        <v>2484</v>
      </c>
      <c r="B633" t="s">
        <v>658</v>
      </c>
      <c r="C633" t="s">
        <v>2233</v>
      </c>
      <c r="D633" t="s">
        <v>324</v>
      </c>
      <c r="E633" t="s">
        <v>325</v>
      </c>
      <c r="F633">
        <v>1</v>
      </c>
      <c r="G633">
        <v>1</v>
      </c>
      <c r="H633" t="s">
        <v>2255</v>
      </c>
      <c r="I633" t="s">
        <v>211</v>
      </c>
      <c r="J633" t="s">
        <v>212</v>
      </c>
    </row>
    <row r="634" spans="1:10" x14ac:dyDescent="0.3">
      <c r="A634" t="s">
        <v>2485</v>
      </c>
      <c r="B634" t="s">
        <v>658</v>
      </c>
      <c r="C634" t="s">
        <v>2237</v>
      </c>
      <c r="D634" t="s">
        <v>324</v>
      </c>
      <c r="E634" t="s">
        <v>325</v>
      </c>
      <c r="F634">
        <v>1</v>
      </c>
      <c r="G634">
        <v>1</v>
      </c>
      <c r="H634" t="s">
        <v>2257</v>
      </c>
      <c r="I634" t="s">
        <v>211</v>
      </c>
      <c r="J634" t="s">
        <v>212</v>
      </c>
    </row>
    <row r="635" spans="1:10" x14ac:dyDescent="0.3">
      <c r="A635" t="s">
        <v>2486</v>
      </c>
      <c r="B635" t="s">
        <v>658</v>
      </c>
      <c r="C635" t="s">
        <v>2241</v>
      </c>
      <c r="D635" t="s">
        <v>324</v>
      </c>
      <c r="E635" t="s">
        <v>325</v>
      </c>
      <c r="F635">
        <v>1</v>
      </c>
      <c r="G635">
        <v>1</v>
      </c>
      <c r="H635" t="s">
        <v>2259</v>
      </c>
      <c r="I635" t="s">
        <v>211</v>
      </c>
      <c r="J635" t="s">
        <v>212</v>
      </c>
    </row>
    <row r="636" spans="1:10" x14ac:dyDescent="0.3">
      <c r="A636" t="s">
        <v>2487</v>
      </c>
      <c r="B636" t="s">
        <v>658</v>
      </c>
      <c r="C636" t="s">
        <v>2244</v>
      </c>
      <c r="D636" t="s">
        <v>324</v>
      </c>
      <c r="E636" t="s">
        <v>325</v>
      </c>
      <c r="F636">
        <v>1</v>
      </c>
      <c r="G636">
        <v>1</v>
      </c>
      <c r="H636" t="s">
        <v>2261</v>
      </c>
      <c r="I636" t="s">
        <v>211</v>
      </c>
      <c r="J636" t="s">
        <v>212</v>
      </c>
    </row>
    <row r="637" spans="1:10" x14ac:dyDescent="0.3">
      <c r="A637" t="s">
        <v>2488</v>
      </c>
      <c r="B637" t="s">
        <v>658</v>
      </c>
      <c r="C637" t="s">
        <v>2247</v>
      </c>
      <c r="D637" t="s">
        <v>324</v>
      </c>
      <c r="E637" t="s">
        <v>325</v>
      </c>
      <c r="F637">
        <v>1</v>
      </c>
      <c r="G637">
        <v>1</v>
      </c>
      <c r="H637" t="s">
        <v>2263</v>
      </c>
      <c r="I637" t="s">
        <v>211</v>
      </c>
      <c r="J637" t="s">
        <v>212</v>
      </c>
    </row>
    <row r="638" spans="1:10" x14ac:dyDescent="0.3">
      <c r="A638" t="s">
        <v>2489</v>
      </c>
      <c r="B638" t="s">
        <v>664</v>
      </c>
      <c r="C638" t="s">
        <v>2225</v>
      </c>
      <c r="D638" t="s">
        <v>324</v>
      </c>
      <c r="E638" t="s">
        <v>325</v>
      </c>
      <c r="F638">
        <v>1</v>
      </c>
      <c r="G638">
        <v>1</v>
      </c>
      <c r="H638" t="s">
        <v>2251</v>
      </c>
      <c r="I638" t="s">
        <v>211</v>
      </c>
      <c r="J638" t="s">
        <v>212</v>
      </c>
    </row>
    <row r="639" spans="1:10" x14ac:dyDescent="0.3">
      <c r="A639" t="s">
        <v>2490</v>
      </c>
      <c r="B639" t="s">
        <v>664</v>
      </c>
      <c r="C639" t="s">
        <v>2230</v>
      </c>
      <c r="D639" t="s">
        <v>324</v>
      </c>
      <c r="E639" t="s">
        <v>325</v>
      </c>
      <c r="F639">
        <v>1</v>
      </c>
      <c r="G639">
        <v>1</v>
      </c>
      <c r="H639" t="s">
        <v>2253</v>
      </c>
      <c r="I639" t="s">
        <v>211</v>
      </c>
      <c r="J639" t="s">
        <v>212</v>
      </c>
    </row>
    <row r="640" spans="1:10" x14ac:dyDescent="0.3">
      <c r="A640" t="s">
        <v>2491</v>
      </c>
      <c r="B640" t="s">
        <v>664</v>
      </c>
      <c r="C640" t="s">
        <v>2233</v>
      </c>
      <c r="D640" t="s">
        <v>324</v>
      </c>
      <c r="E640" t="s">
        <v>325</v>
      </c>
      <c r="F640">
        <v>1</v>
      </c>
      <c r="G640">
        <v>1</v>
      </c>
      <c r="H640" t="s">
        <v>2255</v>
      </c>
      <c r="I640" t="s">
        <v>211</v>
      </c>
      <c r="J640" t="s">
        <v>212</v>
      </c>
    </row>
    <row r="641" spans="1:10" x14ac:dyDescent="0.3">
      <c r="A641" t="s">
        <v>2492</v>
      </c>
      <c r="B641" t="s">
        <v>664</v>
      </c>
      <c r="C641" t="s">
        <v>2237</v>
      </c>
      <c r="D641" t="s">
        <v>324</v>
      </c>
      <c r="E641" t="s">
        <v>325</v>
      </c>
      <c r="F641">
        <v>1</v>
      </c>
      <c r="G641">
        <v>1</v>
      </c>
      <c r="H641" t="s">
        <v>2257</v>
      </c>
      <c r="I641" t="s">
        <v>211</v>
      </c>
      <c r="J641" t="s">
        <v>212</v>
      </c>
    </row>
    <row r="642" spans="1:10" x14ac:dyDescent="0.3">
      <c r="A642" t="s">
        <v>2493</v>
      </c>
      <c r="B642" t="s">
        <v>664</v>
      </c>
      <c r="C642" t="s">
        <v>2241</v>
      </c>
      <c r="D642" t="s">
        <v>324</v>
      </c>
      <c r="E642" t="s">
        <v>325</v>
      </c>
      <c r="F642">
        <v>1</v>
      </c>
      <c r="G642">
        <v>1</v>
      </c>
      <c r="H642" t="s">
        <v>2259</v>
      </c>
      <c r="I642" t="s">
        <v>211</v>
      </c>
      <c r="J642" t="s">
        <v>212</v>
      </c>
    </row>
    <row r="643" spans="1:10" x14ac:dyDescent="0.3">
      <c r="A643" t="s">
        <v>2494</v>
      </c>
      <c r="B643" t="s">
        <v>664</v>
      </c>
      <c r="C643" t="s">
        <v>2244</v>
      </c>
      <c r="D643" t="s">
        <v>324</v>
      </c>
      <c r="E643" t="s">
        <v>325</v>
      </c>
      <c r="F643">
        <v>1</v>
      </c>
      <c r="G643">
        <v>1</v>
      </c>
      <c r="H643" t="s">
        <v>2261</v>
      </c>
      <c r="I643" t="s">
        <v>211</v>
      </c>
      <c r="J643" t="s">
        <v>212</v>
      </c>
    </row>
    <row r="644" spans="1:10" x14ac:dyDescent="0.3">
      <c r="A644" t="s">
        <v>2495</v>
      </c>
      <c r="B644" t="s">
        <v>664</v>
      </c>
      <c r="C644" t="s">
        <v>2247</v>
      </c>
      <c r="D644" t="s">
        <v>324</v>
      </c>
      <c r="E644" t="s">
        <v>325</v>
      </c>
      <c r="F644">
        <v>1</v>
      </c>
      <c r="G644">
        <v>1</v>
      </c>
      <c r="H644" t="s">
        <v>2263</v>
      </c>
      <c r="I644" t="s">
        <v>211</v>
      </c>
      <c r="J644" t="s">
        <v>212</v>
      </c>
    </row>
    <row r="645" spans="1:10" x14ac:dyDescent="0.3">
      <c r="A645" t="s">
        <v>2496</v>
      </c>
      <c r="B645" t="s">
        <v>670</v>
      </c>
      <c r="C645" t="s">
        <v>2225</v>
      </c>
      <c r="D645" t="s">
        <v>324</v>
      </c>
      <c r="E645" t="s">
        <v>325</v>
      </c>
      <c r="F645">
        <v>1</v>
      </c>
      <c r="G645">
        <v>1</v>
      </c>
      <c r="H645" t="s">
        <v>2251</v>
      </c>
      <c r="I645" t="s">
        <v>211</v>
      </c>
      <c r="J645" t="s">
        <v>212</v>
      </c>
    </row>
    <row r="646" spans="1:10" x14ac:dyDescent="0.3">
      <c r="A646" t="s">
        <v>2497</v>
      </c>
      <c r="B646" t="s">
        <v>670</v>
      </c>
      <c r="C646" t="s">
        <v>2230</v>
      </c>
      <c r="D646" t="s">
        <v>324</v>
      </c>
      <c r="E646" t="s">
        <v>325</v>
      </c>
      <c r="F646">
        <v>1</v>
      </c>
      <c r="G646">
        <v>1</v>
      </c>
      <c r="H646" t="s">
        <v>2253</v>
      </c>
      <c r="I646" t="s">
        <v>211</v>
      </c>
      <c r="J646" t="s">
        <v>212</v>
      </c>
    </row>
    <row r="647" spans="1:10" x14ac:dyDescent="0.3">
      <c r="A647" t="s">
        <v>2498</v>
      </c>
      <c r="B647" t="s">
        <v>670</v>
      </c>
      <c r="C647" t="s">
        <v>2233</v>
      </c>
      <c r="D647" t="s">
        <v>324</v>
      </c>
      <c r="E647" t="s">
        <v>325</v>
      </c>
      <c r="F647">
        <v>1</v>
      </c>
      <c r="G647">
        <v>1</v>
      </c>
      <c r="H647" t="s">
        <v>2255</v>
      </c>
      <c r="I647" t="s">
        <v>211</v>
      </c>
      <c r="J647" t="s">
        <v>212</v>
      </c>
    </row>
    <row r="648" spans="1:10" x14ac:dyDescent="0.3">
      <c r="A648" t="s">
        <v>2499</v>
      </c>
      <c r="B648" t="s">
        <v>670</v>
      </c>
      <c r="C648" t="s">
        <v>2237</v>
      </c>
      <c r="D648" t="s">
        <v>324</v>
      </c>
      <c r="E648" t="s">
        <v>325</v>
      </c>
      <c r="F648">
        <v>1</v>
      </c>
      <c r="G648">
        <v>1</v>
      </c>
      <c r="H648" t="s">
        <v>2257</v>
      </c>
      <c r="I648" t="s">
        <v>211</v>
      </c>
      <c r="J648" t="s">
        <v>212</v>
      </c>
    </row>
    <row r="649" spans="1:10" x14ac:dyDescent="0.3">
      <c r="A649" t="s">
        <v>2500</v>
      </c>
      <c r="B649" t="s">
        <v>670</v>
      </c>
      <c r="C649" t="s">
        <v>2241</v>
      </c>
      <c r="D649" t="s">
        <v>324</v>
      </c>
      <c r="E649" t="s">
        <v>325</v>
      </c>
      <c r="F649">
        <v>1</v>
      </c>
      <c r="G649">
        <v>1</v>
      </c>
      <c r="H649" t="s">
        <v>2259</v>
      </c>
      <c r="I649" t="s">
        <v>211</v>
      </c>
      <c r="J649" t="s">
        <v>212</v>
      </c>
    </row>
    <row r="650" spans="1:10" x14ac:dyDescent="0.3">
      <c r="A650" t="s">
        <v>2501</v>
      </c>
      <c r="B650" t="s">
        <v>670</v>
      </c>
      <c r="C650" t="s">
        <v>2244</v>
      </c>
      <c r="D650" t="s">
        <v>324</v>
      </c>
      <c r="E650" t="s">
        <v>325</v>
      </c>
      <c r="F650">
        <v>1</v>
      </c>
      <c r="G650">
        <v>1</v>
      </c>
      <c r="H650" t="s">
        <v>2261</v>
      </c>
      <c r="I650" t="s">
        <v>211</v>
      </c>
      <c r="J650" t="s">
        <v>212</v>
      </c>
    </row>
    <row r="651" spans="1:10" x14ac:dyDescent="0.3">
      <c r="A651" t="s">
        <v>2502</v>
      </c>
      <c r="B651" t="s">
        <v>670</v>
      </c>
      <c r="C651" t="s">
        <v>2247</v>
      </c>
      <c r="D651" t="s">
        <v>324</v>
      </c>
      <c r="E651" t="s">
        <v>325</v>
      </c>
      <c r="F651">
        <v>1</v>
      </c>
      <c r="G651">
        <v>1</v>
      </c>
      <c r="H651" t="s">
        <v>2263</v>
      </c>
      <c r="I651" t="s">
        <v>211</v>
      </c>
      <c r="J651" t="s">
        <v>212</v>
      </c>
    </row>
    <row r="652" spans="1:10" x14ac:dyDescent="0.3">
      <c r="A652" t="s">
        <v>2503</v>
      </c>
      <c r="B652" t="s">
        <v>667</v>
      </c>
      <c r="C652" t="s">
        <v>2225</v>
      </c>
      <c r="D652" t="s">
        <v>324</v>
      </c>
      <c r="E652" t="s">
        <v>325</v>
      </c>
      <c r="F652">
        <v>1</v>
      </c>
      <c r="G652">
        <v>1</v>
      </c>
      <c r="H652" t="s">
        <v>2251</v>
      </c>
      <c r="I652" t="s">
        <v>211</v>
      </c>
      <c r="J652" t="s">
        <v>212</v>
      </c>
    </row>
    <row r="653" spans="1:10" x14ac:dyDescent="0.3">
      <c r="A653" t="s">
        <v>2504</v>
      </c>
      <c r="B653" t="s">
        <v>667</v>
      </c>
      <c r="C653" t="s">
        <v>2230</v>
      </c>
      <c r="D653" t="s">
        <v>324</v>
      </c>
      <c r="E653" t="s">
        <v>325</v>
      </c>
      <c r="F653">
        <v>1</v>
      </c>
      <c r="G653">
        <v>1</v>
      </c>
      <c r="H653" t="s">
        <v>2253</v>
      </c>
      <c r="I653" t="s">
        <v>211</v>
      </c>
      <c r="J653" t="s">
        <v>212</v>
      </c>
    </row>
    <row r="654" spans="1:10" x14ac:dyDescent="0.3">
      <c r="A654" t="s">
        <v>2505</v>
      </c>
      <c r="B654" t="s">
        <v>667</v>
      </c>
      <c r="C654" t="s">
        <v>2233</v>
      </c>
      <c r="D654" t="s">
        <v>324</v>
      </c>
      <c r="E654" t="s">
        <v>325</v>
      </c>
      <c r="F654">
        <v>1</v>
      </c>
      <c r="G654">
        <v>1</v>
      </c>
      <c r="H654" t="s">
        <v>2255</v>
      </c>
      <c r="I654" t="s">
        <v>211</v>
      </c>
      <c r="J654" t="s">
        <v>212</v>
      </c>
    </row>
    <row r="655" spans="1:10" x14ac:dyDescent="0.3">
      <c r="A655" t="s">
        <v>2506</v>
      </c>
      <c r="B655" t="s">
        <v>667</v>
      </c>
      <c r="C655" t="s">
        <v>2237</v>
      </c>
      <c r="D655" t="s">
        <v>324</v>
      </c>
      <c r="E655" t="s">
        <v>325</v>
      </c>
      <c r="F655">
        <v>1</v>
      </c>
      <c r="G655">
        <v>1</v>
      </c>
      <c r="H655" t="s">
        <v>2257</v>
      </c>
      <c r="I655" t="s">
        <v>211</v>
      </c>
      <c r="J655" t="s">
        <v>212</v>
      </c>
    </row>
    <row r="656" spans="1:10" x14ac:dyDescent="0.3">
      <c r="A656" t="s">
        <v>2507</v>
      </c>
      <c r="B656" t="s">
        <v>667</v>
      </c>
      <c r="C656" t="s">
        <v>2241</v>
      </c>
      <c r="D656" t="s">
        <v>324</v>
      </c>
      <c r="E656" t="s">
        <v>325</v>
      </c>
      <c r="F656">
        <v>1</v>
      </c>
      <c r="G656">
        <v>1</v>
      </c>
      <c r="H656" t="s">
        <v>2259</v>
      </c>
      <c r="I656" t="s">
        <v>211</v>
      </c>
      <c r="J656" t="s">
        <v>212</v>
      </c>
    </row>
    <row r="657" spans="1:10" x14ac:dyDescent="0.3">
      <c r="A657" t="s">
        <v>2508</v>
      </c>
      <c r="B657" t="s">
        <v>667</v>
      </c>
      <c r="C657" t="s">
        <v>2244</v>
      </c>
      <c r="D657" t="s">
        <v>324</v>
      </c>
      <c r="E657" t="s">
        <v>325</v>
      </c>
      <c r="F657">
        <v>1</v>
      </c>
      <c r="G657">
        <v>1</v>
      </c>
      <c r="H657" t="s">
        <v>2261</v>
      </c>
      <c r="I657" t="s">
        <v>211</v>
      </c>
      <c r="J657" t="s">
        <v>212</v>
      </c>
    </row>
    <row r="658" spans="1:10" x14ac:dyDescent="0.3">
      <c r="A658" t="s">
        <v>2509</v>
      </c>
      <c r="B658" t="s">
        <v>667</v>
      </c>
      <c r="C658" t="s">
        <v>2247</v>
      </c>
      <c r="D658" t="s">
        <v>324</v>
      </c>
      <c r="E658" t="s">
        <v>325</v>
      </c>
      <c r="F658">
        <v>1</v>
      </c>
      <c r="G658">
        <v>1</v>
      </c>
      <c r="H658" t="s">
        <v>2263</v>
      </c>
      <c r="I658" t="s">
        <v>211</v>
      </c>
      <c r="J658" t="s">
        <v>212</v>
      </c>
    </row>
    <row r="659" spans="1:10" x14ac:dyDescent="0.3">
      <c r="A659" t="s">
        <v>2510</v>
      </c>
      <c r="B659" t="s">
        <v>676</v>
      </c>
      <c r="C659" t="s">
        <v>2225</v>
      </c>
      <c r="D659" t="s">
        <v>324</v>
      </c>
      <c r="E659" t="s">
        <v>325</v>
      </c>
      <c r="F659">
        <v>1</v>
      </c>
      <c r="G659">
        <v>1</v>
      </c>
      <c r="H659" t="s">
        <v>2251</v>
      </c>
      <c r="I659" t="s">
        <v>211</v>
      </c>
      <c r="J659" t="s">
        <v>212</v>
      </c>
    </row>
    <row r="660" spans="1:10" x14ac:dyDescent="0.3">
      <c r="A660" t="s">
        <v>2511</v>
      </c>
      <c r="B660" t="s">
        <v>676</v>
      </c>
      <c r="C660" t="s">
        <v>2230</v>
      </c>
      <c r="D660" t="s">
        <v>324</v>
      </c>
      <c r="E660" t="s">
        <v>325</v>
      </c>
      <c r="F660">
        <v>1</v>
      </c>
      <c r="G660">
        <v>1</v>
      </c>
      <c r="H660" t="s">
        <v>2253</v>
      </c>
      <c r="I660" t="s">
        <v>211</v>
      </c>
      <c r="J660" t="s">
        <v>212</v>
      </c>
    </row>
    <row r="661" spans="1:10" x14ac:dyDescent="0.3">
      <c r="A661" t="s">
        <v>2512</v>
      </c>
      <c r="B661" t="s">
        <v>676</v>
      </c>
      <c r="C661" t="s">
        <v>2233</v>
      </c>
      <c r="D661" t="s">
        <v>324</v>
      </c>
      <c r="E661" t="s">
        <v>325</v>
      </c>
      <c r="F661">
        <v>1</v>
      </c>
      <c r="G661">
        <v>1</v>
      </c>
      <c r="H661" t="s">
        <v>2255</v>
      </c>
      <c r="I661" t="s">
        <v>211</v>
      </c>
      <c r="J661" t="s">
        <v>212</v>
      </c>
    </row>
    <row r="662" spans="1:10" x14ac:dyDescent="0.3">
      <c r="A662" t="s">
        <v>2513</v>
      </c>
      <c r="B662" t="s">
        <v>676</v>
      </c>
      <c r="C662" t="s">
        <v>2237</v>
      </c>
      <c r="D662" t="s">
        <v>324</v>
      </c>
      <c r="E662" t="s">
        <v>325</v>
      </c>
      <c r="F662">
        <v>1</v>
      </c>
      <c r="G662">
        <v>1</v>
      </c>
      <c r="H662" t="s">
        <v>2257</v>
      </c>
      <c r="I662" t="s">
        <v>211</v>
      </c>
      <c r="J662" t="s">
        <v>212</v>
      </c>
    </row>
    <row r="663" spans="1:10" x14ac:dyDescent="0.3">
      <c r="A663" t="s">
        <v>2514</v>
      </c>
      <c r="B663" t="s">
        <v>676</v>
      </c>
      <c r="C663" t="s">
        <v>2241</v>
      </c>
      <c r="D663" t="s">
        <v>324</v>
      </c>
      <c r="E663" t="s">
        <v>325</v>
      </c>
      <c r="F663">
        <v>1</v>
      </c>
      <c r="G663">
        <v>1</v>
      </c>
      <c r="H663" t="s">
        <v>2259</v>
      </c>
      <c r="I663" t="s">
        <v>211</v>
      </c>
      <c r="J663" t="s">
        <v>212</v>
      </c>
    </row>
    <row r="664" spans="1:10" x14ac:dyDescent="0.3">
      <c r="A664" t="s">
        <v>2515</v>
      </c>
      <c r="B664" t="s">
        <v>676</v>
      </c>
      <c r="C664" t="s">
        <v>2244</v>
      </c>
      <c r="D664" t="s">
        <v>324</v>
      </c>
      <c r="E664" t="s">
        <v>325</v>
      </c>
      <c r="F664">
        <v>1</v>
      </c>
      <c r="G664">
        <v>1</v>
      </c>
      <c r="H664" t="s">
        <v>2261</v>
      </c>
      <c r="I664" t="s">
        <v>211</v>
      </c>
      <c r="J664" t="s">
        <v>212</v>
      </c>
    </row>
    <row r="665" spans="1:10" x14ac:dyDescent="0.3">
      <c r="A665" t="s">
        <v>2516</v>
      </c>
      <c r="B665" t="s">
        <v>676</v>
      </c>
      <c r="C665" t="s">
        <v>2247</v>
      </c>
      <c r="D665" t="s">
        <v>324</v>
      </c>
      <c r="E665" t="s">
        <v>325</v>
      </c>
      <c r="F665">
        <v>1</v>
      </c>
      <c r="G665">
        <v>1</v>
      </c>
      <c r="H665" t="s">
        <v>2263</v>
      </c>
      <c r="I665" t="s">
        <v>211</v>
      </c>
      <c r="J665" t="s">
        <v>212</v>
      </c>
    </row>
    <row r="666" spans="1:10" x14ac:dyDescent="0.3">
      <c r="A666" t="s">
        <v>2517</v>
      </c>
      <c r="B666" t="s">
        <v>679</v>
      </c>
      <c r="C666" t="s">
        <v>2225</v>
      </c>
      <c r="D666" t="s">
        <v>324</v>
      </c>
      <c r="E666" t="s">
        <v>325</v>
      </c>
      <c r="F666">
        <v>1</v>
      </c>
      <c r="G666">
        <v>1</v>
      </c>
      <c r="H666" t="s">
        <v>2251</v>
      </c>
      <c r="I666" t="s">
        <v>211</v>
      </c>
      <c r="J666" t="s">
        <v>212</v>
      </c>
    </row>
    <row r="667" spans="1:10" x14ac:dyDescent="0.3">
      <c r="A667" t="s">
        <v>2518</v>
      </c>
      <c r="B667" t="s">
        <v>679</v>
      </c>
      <c r="C667" t="s">
        <v>2230</v>
      </c>
      <c r="D667" t="s">
        <v>324</v>
      </c>
      <c r="E667" t="s">
        <v>325</v>
      </c>
      <c r="F667">
        <v>1</v>
      </c>
      <c r="G667">
        <v>1</v>
      </c>
      <c r="H667" t="s">
        <v>2253</v>
      </c>
      <c r="I667" t="s">
        <v>211</v>
      </c>
      <c r="J667" t="s">
        <v>212</v>
      </c>
    </row>
    <row r="668" spans="1:10" x14ac:dyDescent="0.3">
      <c r="A668" t="s">
        <v>2519</v>
      </c>
      <c r="B668" t="s">
        <v>679</v>
      </c>
      <c r="C668" t="s">
        <v>2233</v>
      </c>
      <c r="D668" t="s">
        <v>324</v>
      </c>
      <c r="E668" t="s">
        <v>325</v>
      </c>
      <c r="F668">
        <v>1</v>
      </c>
      <c r="G668">
        <v>1</v>
      </c>
      <c r="H668" t="s">
        <v>2255</v>
      </c>
      <c r="I668" t="s">
        <v>211</v>
      </c>
      <c r="J668" t="s">
        <v>212</v>
      </c>
    </row>
    <row r="669" spans="1:10" x14ac:dyDescent="0.3">
      <c r="A669" t="s">
        <v>2520</v>
      </c>
      <c r="B669" t="s">
        <v>679</v>
      </c>
      <c r="C669" t="s">
        <v>2237</v>
      </c>
      <c r="D669" t="s">
        <v>324</v>
      </c>
      <c r="E669" t="s">
        <v>325</v>
      </c>
      <c r="F669">
        <v>1</v>
      </c>
      <c r="G669">
        <v>1</v>
      </c>
      <c r="H669" t="s">
        <v>2257</v>
      </c>
      <c r="I669" t="s">
        <v>211</v>
      </c>
      <c r="J669" t="s">
        <v>212</v>
      </c>
    </row>
    <row r="670" spans="1:10" x14ac:dyDescent="0.3">
      <c r="A670" t="s">
        <v>2521</v>
      </c>
      <c r="B670" t="s">
        <v>679</v>
      </c>
      <c r="C670" t="s">
        <v>2241</v>
      </c>
      <c r="D670" t="s">
        <v>324</v>
      </c>
      <c r="E670" t="s">
        <v>325</v>
      </c>
      <c r="F670">
        <v>1</v>
      </c>
      <c r="G670">
        <v>1</v>
      </c>
      <c r="H670" t="s">
        <v>2259</v>
      </c>
      <c r="I670" t="s">
        <v>211</v>
      </c>
      <c r="J670" t="s">
        <v>212</v>
      </c>
    </row>
    <row r="671" spans="1:10" x14ac:dyDescent="0.3">
      <c r="A671" t="s">
        <v>2522</v>
      </c>
      <c r="B671" t="s">
        <v>679</v>
      </c>
      <c r="C671" t="s">
        <v>2244</v>
      </c>
      <c r="D671" t="s">
        <v>324</v>
      </c>
      <c r="E671" t="s">
        <v>325</v>
      </c>
      <c r="F671">
        <v>1</v>
      </c>
      <c r="G671">
        <v>1</v>
      </c>
      <c r="H671" t="s">
        <v>2261</v>
      </c>
      <c r="I671" t="s">
        <v>211</v>
      </c>
      <c r="J671" t="s">
        <v>212</v>
      </c>
    </row>
    <row r="672" spans="1:10" x14ac:dyDescent="0.3">
      <c r="A672" t="s">
        <v>2523</v>
      </c>
      <c r="B672" t="s">
        <v>679</v>
      </c>
      <c r="C672" t="s">
        <v>2247</v>
      </c>
      <c r="D672" t="s">
        <v>324</v>
      </c>
      <c r="E672" t="s">
        <v>325</v>
      </c>
      <c r="F672">
        <v>1</v>
      </c>
      <c r="G672">
        <v>1</v>
      </c>
      <c r="H672" t="s">
        <v>2263</v>
      </c>
      <c r="I672" t="s">
        <v>211</v>
      </c>
      <c r="J672" t="s">
        <v>212</v>
      </c>
    </row>
    <row r="673" spans="1:10" x14ac:dyDescent="0.3">
      <c r="A673" t="s">
        <v>2524</v>
      </c>
      <c r="B673" t="s">
        <v>689</v>
      </c>
      <c r="C673" t="s">
        <v>2225</v>
      </c>
      <c r="D673" t="s">
        <v>324</v>
      </c>
      <c r="E673" t="s">
        <v>325</v>
      </c>
      <c r="F673">
        <v>1</v>
      </c>
      <c r="G673">
        <v>1</v>
      </c>
      <c r="H673" t="s">
        <v>2251</v>
      </c>
      <c r="I673" t="s">
        <v>211</v>
      </c>
      <c r="J673" t="s">
        <v>212</v>
      </c>
    </row>
    <row r="674" spans="1:10" x14ac:dyDescent="0.3">
      <c r="A674" t="s">
        <v>2525</v>
      </c>
      <c r="B674" t="s">
        <v>689</v>
      </c>
      <c r="C674" t="s">
        <v>2230</v>
      </c>
      <c r="D674" t="s">
        <v>324</v>
      </c>
      <c r="E674" t="s">
        <v>325</v>
      </c>
      <c r="F674">
        <v>1</v>
      </c>
      <c r="G674">
        <v>1</v>
      </c>
      <c r="H674" t="s">
        <v>2253</v>
      </c>
      <c r="I674" t="s">
        <v>211</v>
      </c>
      <c r="J674" t="s">
        <v>212</v>
      </c>
    </row>
    <row r="675" spans="1:10" x14ac:dyDescent="0.3">
      <c r="A675" t="s">
        <v>2526</v>
      </c>
      <c r="B675" t="s">
        <v>689</v>
      </c>
      <c r="C675" t="s">
        <v>2233</v>
      </c>
      <c r="D675" t="s">
        <v>324</v>
      </c>
      <c r="E675" t="s">
        <v>325</v>
      </c>
      <c r="F675">
        <v>1</v>
      </c>
      <c r="G675">
        <v>1</v>
      </c>
      <c r="H675" t="s">
        <v>2255</v>
      </c>
      <c r="I675" t="s">
        <v>211</v>
      </c>
      <c r="J675" t="s">
        <v>212</v>
      </c>
    </row>
    <row r="676" spans="1:10" x14ac:dyDescent="0.3">
      <c r="A676" t="s">
        <v>2527</v>
      </c>
      <c r="B676" t="s">
        <v>689</v>
      </c>
      <c r="C676" t="s">
        <v>2237</v>
      </c>
      <c r="D676" t="s">
        <v>324</v>
      </c>
      <c r="E676" t="s">
        <v>325</v>
      </c>
      <c r="F676">
        <v>1</v>
      </c>
      <c r="G676">
        <v>1</v>
      </c>
      <c r="H676" t="s">
        <v>2257</v>
      </c>
      <c r="I676" t="s">
        <v>211</v>
      </c>
      <c r="J676" t="s">
        <v>212</v>
      </c>
    </row>
    <row r="677" spans="1:10" x14ac:dyDescent="0.3">
      <c r="A677" t="s">
        <v>2528</v>
      </c>
      <c r="B677" t="s">
        <v>689</v>
      </c>
      <c r="C677" t="s">
        <v>2241</v>
      </c>
      <c r="D677" t="s">
        <v>324</v>
      </c>
      <c r="E677" t="s">
        <v>325</v>
      </c>
      <c r="F677">
        <v>1</v>
      </c>
      <c r="G677">
        <v>1</v>
      </c>
      <c r="H677" t="s">
        <v>2259</v>
      </c>
      <c r="I677" t="s">
        <v>211</v>
      </c>
      <c r="J677" t="s">
        <v>212</v>
      </c>
    </row>
    <row r="678" spans="1:10" x14ac:dyDescent="0.3">
      <c r="A678" t="s">
        <v>2529</v>
      </c>
      <c r="B678" t="s">
        <v>689</v>
      </c>
      <c r="C678" t="s">
        <v>2244</v>
      </c>
      <c r="D678" t="s">
        <v>324</v>
      </c>
      <c r="E678" t="s">
        <v>325</v>
      </c>
      <c r="F678">
        <v>1</v>
      </c>
      <c r="G678">
        <v>1</v>
      </c>
      <c r="H678" t="s">
        <v>2261</v>
      </c>
      <c r="I678" t="s">
        <v>211</v>
      </c>
      <c r="J678" t="s">
        <v>212</v>
      </c>
    </row>
    <row r="679" spans="1:10" x14ac:dyDescent="0.3">
      <c r="A679" t="s">
        <v>2530</v>
      </c>
      <c r="B679" t="s">
        <v>689</v>
      </c>
      <c r="C679" t="s">
        <v>2247</v>
      </c>
      <c r="D679" t="s">
        <v>324</v>
      </c>
      <c r="E679" t="s">
        <v>325</v>
      </c>
      <c r="F679">
        <v>1</v>
      </c>
      <c r="G679">
        <v>1</v>
      </c>
      <c r="H679" t="s">
        <v>2263</v>
      </c>
      <c r="I679" t="s">
        <v>211</v>
      </c>
      <c r="J679" t="s">
        <v>212</v>
      </c>
    </row>
    <row r="680" spans="1:10" x14ac:dyDescent="0.3">
      <c r="A680" t="s">
        <v>2531</v>
      </c>
      <c r="B680" t="s">
        <v>692</v>
      </c>
      <c r="C680" t="s">
        <v>2225</v>
      </c>
      <c r="D680" t="s">
        <v>324</v>
      </c>
      <c r="E680" t="s">
        <v>325</v>
      </c>
      <c r="F680">
        <v>1</v>
      </c>
      <c r="G680">
        <v>1</v>
      </c>
      <c r="H680" t="s">
        <v>2251</v>
      </c>
      <c r="I680" t="s">
        <v>211</v>
      </c>
      <c r="J680" t="s">
        <v>212</v>
      </c>
    </row>
    <row r="681" spans="1:10" x14ac:dyDescent="0.3">
      <c r="A681" t="s">
        <v>2532</v>
      </c>
      <c r="B681" t="s">
        <v>692</v>
      </c>
      <c r="C681" t="s">
        <v>2230</v>
      </c>
      <c r="D681" t="s">
        <v>324</v>
      </c>
      <c r="E681" t="s">
        <v>325</v>
      </c>
      <c r="F681">
        <v>1</v>
      </c>
      <c r="G681">
        <v>1</v>
      </c>
      <c r="H681" t="s">
        <v>2253</v>
      </c>
      <c r="I681" t="s">
        <v>211</v>
      </c>
      <c r="J681" t="s">
        <v>212</v>
      </c>
    </row>
    <row r="682" spans="1:10" x14ac:dyDescent="0.3">
      <c r="A682" t="s">
        <v>2533</v>
      </c>
      <c r="B682" t="s">
        <v>692</v>
      </c>
      <c r="C682" t="s">
        <v>2233</v>
      </c>
      <c r="D682" t="s">
        <v>324</v>
      </c>
      <c r="E682" t="s">
        <v>325</v>
      </c>
      <c r="F682">
        <v>1</v>
      </c>
      <c r="G682">
        <v>1</v>
      </c>
      <c r="H682" t="s">
        <v>2255</v>
      </c>
      <c r="I682" t="s">
        <v>211</v>
      </c>
      <c r="J682" t="s">
        <v>212</v>
      </c>
    </row>
    <row r="683" spans="1:10" x14ac:dyDescent="0.3">
      <c r="A683" t="s">
        <v>2534</v>
      </c>
      <c r="B683" t="s">
        <v>692</v>
      </c>
      <c r="C683" t="s">
        <v>2237</v>
      </c>
      <c r="D683" t="s">
        <v>324</v>
      </c>
      <c r="E683" t="s">
        <v>325</v>
      </c>
      <c r="F683">
        <v>1</v>
      </c>
      <c r="G683">
        <v>1</v>
      </c>
      <c r="H683" t="s">
        <v>2257</v>
      </c>
      <c r="I683" t="s">
        <v>211</v>
      </c>
      <c r="J683" t="s">
        <v>212</v>
      </c>
    </row>
    <row r="684" spans="1:10" x14ac:dyDescent="0.3">
      <c r="A684" t="s">
        <v>2535</v>
      </c>
      <c r="B684" t="s">
        <v>692</v>
      </c>
      <c r="C684" t="s">
        <v>2241</v>
      </c>
      <c r="D684" t="s">
        <v>324</v>
      </c>
      <c r="E684" t="s">
        <v>325</v>
      </c>
      <c r="F684">
        <v>1</v>
      </c>
      <c r="G684">
        <v>1</v>
      </c>
      <c r="H684" t="s">
        <v>2259</v>
      </c>
      <c r="I684" t="s">
        <v>211</v>
      </c>
      <c r="J684" t="s">
        <v>212</v>
      </c>
    </row>
    <row r="685" spans="1:10" x14ac:dyDescent="0.3">
      <c r="A685" t="s">
        <v>2536</v>
      </c>
      <c r="B685" t="s">
        <v>692</v>
      </c>
      <c r="C685" t="s">
        <v>2244</v>
      </c>
      <c r="D685" t="s">
        <v>324</v>
      </c>
      <c r="E685" t="s">
        <v>325</v>
      </c>
      <c r="F685">
        <v>1</v>
      </c>
      <c r="G685">
        <v>1</v>
      </c>
      <c r="H685" t="s">
        <v>2261</v>
      </c>
      <c r="I685" t="s">
        <v>211</v>
      </c>
      <c r="J685" t="s">
        <v>212</v>
      </c>
    </row>
    <row r="686" spans="1:10" x14ac:dyDescent="0.3">
      <c r="A686" t="s">
        <v>2537</v>
      </c>
      <c r="B686" t="s">
        <v>692</v>
      </c>
      <c r="C686" t="s">
        <v>2247</v>
      </c>
      <c r="D686" t="s">
        <v>324</v>
      </c>
      <c r="E686" t="s">
        <v>325</v>
      </c>
      <c r="F686">
        <v>1</v>
      </c>
      <c r="G686">
        <v>1</v>
      </c>
      <c r="H686" t="s">
        <v>2263</v>
      </c>
      <c r="I686" t="s">
        <v>211</v>
      </c>
      <c r="J686" t="s">
        <v>212</v>
      </c>
    </row>
    <row r="687" spans="1:10" x14ac:dyDescent="0.3">
      <c r="A687" t="s">
        <v>2538</v>
      </c>
      <c r="B687" t="s">
        <v>2539</v>
      </c>
      <c r="C687" t="s">
        <v>2225</v>
      </c>
      <c r="D687" t="s">
        <v>324</v>
      </c>
      <c r="E687" t="s">
        <v>325</v>
      </c>
      <c r="F687">
        <v>1</v>
      </c>
      <c r="G687">
        <v>1</v>
      </c>
      <c r="H687" t="s">
        <v>2251</v>
      </c>
      <c r="I687" t="s">
        <v>211</v>
      </c>
      <c r="J687" t="s">
        <v>212</v>
      </c>
    </row>
    <row r="688" spans="1:10" x14ac:dyDescent="0.3">
      <c r="A688" t="s">
        <v>2540</v>
      </c>
      <c r="B688" t="s">
        <v>2539</v>
      </c>
      <c r="C688" t="s">
        <v>2230</v>
      </c>
      <c r="D688" t="s">
        <v>324</v>
      </c>
      <c r="E688" t="s">
        <v>325</v>
      </c>
      <c r="F688">
        <v>1</v>
      </c>
      <c r="G688">
        <v>1</v>
      </c>
      <c r="H688" t="s">
        <v>2253</v>
      </c>
      <c r="I688" t="s">
        <v>211</v>
      </c>
      <c r="J688" t="s">
        <v>212</v>
      </c>
    </row>
    <row r="689" spans="1:10" x14ac:dyDescent="0.3">
      <c r="A689" t="s">
        <v>2541</v>
      </c>
      <c r="B689" t="s">
        <v>2539</v>
      </c>
      <c r="C689" t="s">
        <v>2233</v>
      </c>
      <c r="D689" t="s">
        <v>324</v>
      </c>
      <c r="E689" t="s">
        <v>325</v>
      </c>
      <c r="F689">
        <v>1</v>
      </c>
      <c r="G689">
        <v>1</v>
      </c>
      <c r="H689" t="s">
        <v>2255</v>
      </c>
      <c r="I689" t="s">
        <v>211</v>
      </c>
      <c r="J689" t="s">
        <v>212</v>
      </c>
    </row>
    <row r="690" spans="1:10" x14ac:dyDescent="0.3">
      <c r="A690" t="s">
        <v>2542</v>
      </c>
      <c r="B690" t="s">
        <v>2539</v>
      </c>
      <c r="C690" t="s">
        <v>2237</v>
      </c>
      <c r="D690" t="s">
        <v>324</v>
      </c>
      <c r="E690" t="s">
        <v>325</v>
      </c>
      <c r="F690">
        <v>1</v>
      </c>
      <c r="G690">
        <v>1</v>
      </c>
      <c r="H690" t="s">
        <v>2257</v>
      </c>
      <c r="I690" t="s">
        <v>211</v>
      </c>
      <c r="J690" t="s">
        <v>212</v>
      </c>
    </row>
    <row r="691" spans="1:10" x14ac:dyDescent="0.3">
      <c r="A691" t="s">
        <v>2543</v>
      </c>
      <c r="B691" t="s">
        <v>2539</v>
      </c>
      <c r="C691" t="s">
        <v>2241</v>
      </c>
      <c r="D691" t="s">
        <v>324</v>
      </c>
      <c r="E691" t="s">
        <v>325</v>
      </c>
      <c r="F691">
        <v>1</v>
      </c>
      <c r="G691">
        <v>1</v>
      </c>
      <c r="H691" t="s">
        <v>2259</v>
      </c>
      <c r="I691" t="s">
        <v>211</v>
      </c>
      <c r="J691" t="s">
        <v>212</v>
      </c>
    </row>
    <row r="692" spans="1:10" x14ac:dyDescent="0.3">
      <c r="A692" t="s">
        <v>2544</v>
      </c>
      <c r="B692" t="s">
        <v>2539</v>
      </c>
      <c r="C692" t="s">
        <v>2244</v>
      </c>
      <c r="D692" t="s">
        <v>324</v>
      </c>
      <c r="E692" t="s">
        <v>325</v>
      </c>
      <c r="F692">
        <v>1</v>
      </c>
      <c r="G692">
        <v>1</v>
      </c>
      <c r="H692" t="s">
        <v>2261</v>
      </c>
      <c r="I692" t="s">
        <v>211</v>
      </c>
      <c r="J692" t="s">
        <v>212</v>
      </c>
    </row>
    <row r="693" spans="1:10" x14ac:dyDescent="0.3">
      <c r="A693" t="s">
        <v>2545</v>
      </c>
      <c r="B693" t="s">
        <v>2539</v>
      </c>
      <c r="C693" t="s">
        <v>2247</v>
      </c>
      <c r="D693" t="s">
        <v>324</v>
      </c>
      <c r="E693" t="s">
        <v>325</v>
      </c>
      <c r="F693">
        <v>1</v>
      </c>
      <c r="G693">
        <v>1</v>
      </c>
      <c r="H693" t="s">
        <v>2263</v>
      </c>
      <c r="I693" t="s">
        <v>211</v>
      </c>
      <c r="J693" t="s">
        <v>212</v>
      </c>
    </row>
    <row r="694" spans="1:10" x14ac:dyDescent="0.3">
      <c r="A694" t="s">
        <v>2546</v>
      </c>
      <c r="B694" t="s">
        <v>2547</v>
      </c>
      <c r="C694" t="s">
        <v>2225</v>
      </c>
      <c r="D694" t="s">
        <v>324</v>
      </c>
      <c r="E694" t="s">
        <v>325</v>
      </c>
      <c r="F694">
        <v>1</v>
      </c>
      <c r="G694">
        <v>1</v>
      </c>
      <c r="H694" t="s">
        <v>2251</v>
      </c>
      <c r="I694" t="s">
        <v>211</v>
      </c>
      <c r="J694" t="s">
        <v>212</v>
      </c>
    </row>
    <row r="695" spans="1:10" x14ac:dyDescent="0.3">
      <c r="A695" t="s">
        <v>2548</v>
      </c>
      <c r="B695" t="s">
        <v>2547</v>
      </c>
      <c r="C695" t="s">
        <v>2230</v>
      </c>
      <c r="D695" t="s">
        <v>324</v>
      </c>
      <c r="E695" t="s">
        <v>325</v>
      </c>
      <c r="F695">
        <v>1</v>
      </c>
      <c r="G695">
        <v>1</v>
      </c>
      <c r="H695" t="s">
        <v>2253</v>
      </c>
      <c r="I695" t="s">
        <v>211</v>
      </c>
      <c r="J695" t="s">
        <v>212</v>
      </c>
    </row>
    <row r="696" spans="1:10" x14ac:dyDescent="0.3">
      <c r="A696" t="s">
        <v>2549</v>
      </c>
      <c r="B696" t="s">
        <v>2547</v>
      </c>
      <c r="C696" t="s">
        <v>2233</v>
      </c>
      <c r="D696" t="s">
        <v>324</v>
      </c>
      <c r="E696" t="s">
        <v>325</v>
      </c>
      <c r="F696">
        <v>1</v>
      </c>
      <c r="G696">
        <v>1</v>
      </c>
      <c r="H696" t="s">
        <v>2255</v>
      </c>
      <c r="I696" t="s">
        <v>211</v>
      </c>
      <c r="J696" t="s">
        <v>212</v>
      </c>
    </row>
    <row r="697" spans="1:10" x14ac:dyDescent="0.3">
      <c r="A697" t="s">
        <v>2550</v>
      </c>
      <c r="B697" t="s">
        <v>2547</v>
      </c>
      <c r="C697" t="s">
        <v>2237</v>
      </c>
      <c r="D697" t="s">
        <v>324</v>
      </c>
      <c r="E697" t="s">
        <v>325</v>
      </c>
      <c r="F697">
        <v>1</v>
      </c>
      <c r="G697">
        <v>1</v>
      </c>
      <c r="H697" t="s">
        <v>2257</v>
      </c>
      <c r="I697" t="s">
        <v>211</v>
      </c>
      <c r="J697" t="s">
        <v>212</v>
      </c>
    </row>
    <row r="698" spans="1:10" x14ac:dyDescent="0.3">
      <c r="A698" t="s">
        <v>2551</v>
      </c>
      <c r="B698" t="s">
        <v>2547</v>
      </c>
      <c r="C698" t="s">
        <v>2241</v>
      </c>
      <c r="D698" t="s">
        <v>324</v>
      </c>
      <c r="E698" t="s">
        <v>325</v>
      </c>
      <c r="F698">
        <v>1</v>
      </c>
      <c r="G698">
        <v>1</v>
      </c>
      <c r="H698" t="s">
        <v>2259</v>
      </c>
      <c r="I698" t="s">
        <v>211</v>
      </c>
      <c r="J698" t="s">
        <v>212</v>
      </c>
    </row>
    <row r="699" spans="1:10" x14ac:dyDescent="0.3">
      <c r="A699" t="s">
        <v>2552</v>
      </c>
      <c r="B699" t="s">
        <v>2547</v>
      </c>
      <c r="C699" t="s">
        <v>2244</v>
      </c>
      <c r="D699" t="s">
        <v>324</v>
      </c>
      <c r="E699" t="s">
        <v>325</v>
      </c>
      <c r="F699">
        <v>1</v>
      </c>
      <c r="G699">
        <v>1</v>
      </c>
      <c r="H699" t="s">
        <v>2261</v>
      </c>
      <c r="I699" t="s">
        <v>211</v>
      </c>
      <c r="J699" t="s">
        <v>212</v>
      </c>
    </row>
    <row r="700" spans="1:10" x14ac:dyDescent="0.3">
      <c r="A700" t="s">
        <v>2553</v>
      </c>
      <c r="B700" t="s">
        <v>2547</v>
      </c>
      <c r="C700" t="s">
        <v>2247</v>
      </c>
      <c r="D700" t="s">
        <v>324</v>
      </c>
      <c r="E700" t="s">
        <v>325</v>
      </c>
      <c r="F700">
        <v>1</v>
      </c>
      <c r="G700">
        <v>1</v>
      </c>
      <c r="H700" t="s">
        <v>2263</v>
      </c>
      <c r="I700" t="s">
        <v>211</v>
      </c>
      <c r="J700" t="s">
        <v>212</v>
      </c>
    </row>
    <row r="701" spans="1:10" x14ac:dyDescent="0.3">
      <c r="A701" t="s">
        <v>2554</v>
      </c>
      <c r="B701" t="s">
        <v>732</v>
      </c>
      <c r="C701" t="s">
        <v>2225</v>
      </c>
      <c r="D701" t="s">
        <v>324</v>
      </c>
      <c r="E701" t="s">
        <v>325</v>
      </c>
      <c r="F701">
        <v>1</v>
      </c>
      <c r="G701">
        <v>1</v>
      </c>
      <c r="H701" t="s">
        <v>2251</v>
      </c>
      <c r="I701" t="s">
        <v>211</v>
      </c>
      <c r="J701" t="s">
        <v>212</v>
      </c>
    </row>
    <row r="702" spans="1:10" x14ac:dyDescent="0.3">
      <c r="A702" t="s">
        <v>2555</v>
      </c>
      <c r="B702" t="s">
        <v>732</v>
      </c>
      <c r="C702" t="s">
        <v>2230</v>
      </c>
      <c r="D702" t="s">
        <v>324</v>
      </c>
      <c r="E702" t="s">
        <v>325</v>
      </c>
      <c r="F702">
        <v>1</v>
      </c>
      <c r="G702">
        <v>1</v>
      </c>
      <c r="H702" t="s">
        <v>2253</v>
      </c>
      <c r="I702" t="s">
        <v>211</v>
      </c>
      <c r="J702" t="s">
        <v>212</v>
      </c>
    </row>
    <row r="703" spans="1:10" x14ac:dyDescent="0.3">
      <c r="A703" t="s">
        <v>2556</v>
      </c>
      <c r="B703" t="s">
        <v>732</v>
      </c>
      <c r="C703" t="s">
        <v>2233</v>
      </c>
      <c r="D703" t="s">
        <v>324</v>
      </c>
      <c r="E703" t="s">
        <v>325</v>
      </c>
      <c r="F703">
        <v>1</v>
      </c>
      <c r="G703">
        <v>1</v>
      </c>
      <c r="H703" t="s">
        <v>2255</v>
      </c>
      <c r="I703" t="s">
        <v>211</v>
      </c>
      <c r="J703" t="s">
        <v>212</v>
      </c>
    </row>
    <row r="704" spans="1:10" x14ac:dyDescent="0.3">
      <c r="A704" t="s">
        <v>2557</v>
      </c>
      <c r="B704" t="s">
        <v>732</v>
      </c>
      <c r="C704" t="s">
        <v>2237</v>
      </c>
      <c r="D704" t="s">
        <v>324</v>
      </c>
      <c r="E704" t="s">
        <v>325</v>
      </c>
      <c r="F704">
        <v>1</v>
      </c>
      <c r="G704">
        <v>1</v>
      </c>
      <c r="H704" t="s">
        <v>2257</v>
      </c>
      <c r="I704" t="s">
        <v>211</v>
      </c>
      <c r="J704" t="s">
        <v>212</v>
      </c>
    </row>
    <row r="705" spans="1:10" x14ac:dyDescent="0.3">
      <c r="A705" t="s">
        <v>2558</v>
      </c>
      <c r="B705" t="s">
        <v>732</v>
      </c>
      <c r="C705" t="s">
        <v>2241</v>
      </c>
      <c r="D705" t="s">
        <v>324</v>
      </c>
      <c r="E705" t="s">
        <v>325</v>
      </c>
      <c r="F705">
        <v>1</v>
      </c>
      <c r="G705">
        <v>1</v>
      </c>
      <c r="H705" t="s">
        <v>2259</v>
      </c>
      <c r="I705" t="s">
        <v>211</v>
      </c>
      <c r="J705" t="s">
        <v>212</v>
      </c>
    </row>
    <row r="706" spans="1:10" x14ac:dyDescent="0.3">
      <c r="A706" t="s">
        <v>2559</v>
      </c>
      <c r="B706" t="s">
        <v>732</v>
      </c>
      <c r="C706" t="s">
        <v>2244</v>
      </c>
      <c r="D706" t="s">
        <v>324</v>
      </c>
      <c r="E706" t="s">
        <v>325</v>
      </c>
      <c r="F706">
        <v>1</v>
      </c>
      <c r="G706">
        <v>1</v>
      </c>
      <c r="H706" t="s">
        <v>2261</v>
      </c>
      <c r="I706" t="s">
        <v>211</v>
      </c>
      <c r="J706" t="s">
        <v>212</v>
      </c>
    </row>
    <row r="707" spans="1:10" x14ac:dyDescent="0.3">
      <c r="A707" t="s">
        <v>2560</v>
      </c>
      <c r="B707" t="s">
        <v>732</v>
      </c>
      <c r="C707" t="s">
        <v>2247</v>
      </c>
      <c r="D707" t="s">
        <v>324</v>
      </c>
      <c r="E707" t="s">
        <v>325</v>
      </c>
      <c r="F707">
        <v>1</v>
      </c>
      <c r="G707">
        <v>1</v>
      </c>
      <c r="H707" t="s">
        <v>2263</v>
      </c>
      <c r="I707" t="s">
        <v>211</v>
      </c>
      <c r="J707" t="s">
        <v>212</v>
      </c>
    </row>
    <row r="708" spans="1:10" x14ac:dyDescent="0.3">
      <c r="A708" t="s">
        <v>2561</v>
      </c>
      <c r="B708" t="s">
        <v>736</v>
      </c>
      <c r="C708" t="s">
        <v>2225</v>
      </c>
      <c r="D708" t="s">
        <v>324</v>
      </c>
      <c r="E708" t="s">
        <v>325</v>
      </c>
      <c r="F708">
        <v>1</v>
      </c>
      <c r="G708">
        <v>1</v>
      </c>
      <c r="H708" t="s">
        <v>2251</v>
      </c>
      <c r="I708" t="s">
        <v>211</v>
      </c>
      <c r="J708" t="s">
        <v>212</v>
      </c>
    </row>
    <row r="709" spans="1:10" x14ac:dyDescent="0.3">
      <c r="A709" t="s">
        <v>2562</v>
      </c>
      <c r="B709" t="s">
        <v>736</v>
      </c>
      <c r="C709" t="s">
        <v>2230</v>
      </c>
      <c r="D709" t="s">
        <v>324</v>
      </c>
      <c r="E709" t="s">
        <v>325</v>
      </c>
      <c r="F709">
        <v>1</v>
      </c>
      <c r="G709">
        <v>1</v>
      </c>
      <c r="H709" t="s">
        <v>2253</v>
      </c>
      <c r="I709" t="s">
        <v>211</v>
      </c>
      <c r="J709" t="s">
        <v>212</v>
      </c>
    </row>
    <row r="710" spans="1:10" x14ac:dyDescent="0.3">
      <c r="A710" t="s">
        <v>2563</v>
      </c>
      <c r="B710" t="s">
        <v>736</v>
      </c>
      <c r="C710" t="s">
        <v>2233</v>
      </c>
      <c r="D710" t="s">
        <v>324</v>
      </c>
      <c r="E710" t="s">
        <v>325</v>
      </c>
      <c r="F710">
        <v>1</v>
      </c>
      <c r="G710">
        <v>1</v>
      </c>
      <c r="H710" t="s">
        <v>2255</v>
      </c>
      <c r="I710" t="s">
        <v>211</v>
      </c>
      <c r="J710" t="s">
        <v>212</v>
      </c>
    </row>
    <row r="711" spans="1:10" x14ac:dyDescent="0.3">
      <c r="A711" t="s">
        <v>2564</v>
      </c>
      <c r="B711" t="s">
        <v>736</v>
      </c>
      <c r="C711" t="s">
        <v>2237</v>
      </c>
      <c r="D711" t="s">
        <v>324</v>
      </c>
      <c r="E711" t="s">
        <v>325</v>
      </c>
      <c r="F711">
        <v>1</v>
      </c>
      <c r="G711">
        <v>1</v>
      </c>
      <c r="H711" t="s">
        <v>2257</v>
      </c>
      <c r="I711" t="s">
        <v>211</v>
      </c>
      <c r="J711" t="s">
        <v>212</v>
      </c>
    </row>
    <row r="712" spans="1:10" x14ac:dyDescent="0.3">
      <c r="A712" t="s">
        <v>2565</v>
      </c>
      <c r="B712" t="s">
        <v>736</v>
      </c>
      <c r="C712" t="s">
        <v>2241</v>
      </c>
      <c r="D712" t="s">
        <v>324</v>
      </c>
      <c r="E712" t="s">
        <v>325</v>
      </c>
      <c r="F712">
        <v>1</v>
      </c>
      <c r="G712">
        <v>1</v>
      </c>
      <c r="H712" t="s">
        <v>2259</v>
      </c>
      <c r="I712" t="s">
        <v>211</v>
      </c>
      <c r="J712" t="s">
        <v>212</v>
      </c>
    </row>
    <row r="713" spans="1:10" x14ac:dyDescent="0.3">
      <c r="A713" t="s">
        <v>2566</v>
      </c>
      <c r="B713" t="s">
        <v>736</v>
      </c>
      <c r="C713" t="s">
        <v>2244</v>
      </c>
      <c r="D713" t="s">
        <v>324</v>
      </c>
      <c r="E713" t="s">
        <v>325</v>
      </c>
      <c r="F713">
        <v>1</v>
      </c>
      <c r="G713">
        <v>1</v>
      </c>
      <c r="H713" t="s">
        <v>2261</v>
      </c>
      <c r="I713" t="s">
        <v>211</v>
      </c>
      <c r="J713" t="s">
        <v>212</v>
      </c>
    </row>
    <row r="714" spans="1:10" x14ac:dyDescent="0.3">
      <c r="A714" t="s">
        <v>2567</v>
      </c>
      <c r="B714" t="s">
        <v>736</v>
      </c>
      <c r="C714" t="s">
        <v>2247</v>
      </c>
      <c r="D714" t="s">
        <v>324</v>
      </c>
      <c r="E714" t="s">
        <v>325</v>
      </c>
      <c r="F714">
        <v>1</v>
      </c>
      <c r="G714">
        <v>1</v>
      </c>
      <c r="H714" t="s">
        <v>2263</v>
      </c>
      <c r="I714" t="s">
        <v>211</v>
      </c>
      <c r="J714" t="s">
        <v>212</v>
      </c>
    </row>
    <row r="715" spans="1:10" x14ac:dyDescent="0.3">
      <c r="A715" t="s">
        <v>2568</v>
      </c>
      <c r="B715" t="s">
        <v>740</v>
      </c>
      <c r="C715" t="s">
        <v>2225</v>
      </c>
      <c r="D715" t="s">
        <v>324</v>
      </c>
      <c r="E715" t="s">
        <v>325</v>
      </c>
      <c r="F715">
        <v>1</v>
      </c>
      <c r="G715">
        <v>1</v>
      </c>
      <c r="H715" t="s">
        <v>2251</v>
      </c>
      <c r="I715" t="s">
        <v>211</v>
      </c>
      <c r="J715" t="s">
        <v>212</v>
      </c>
    </row>
    <row r="716" spans="1:10" x14ac:dyDescent="0.3">
      <c r="A716" t="s">
        <v>2569</v>
      </c>
      <c r="B716" t="s">
        <v>740</v>
      </c>
      <c r="C716" t="s">
        <v>2230</v>
      </c>
      <c r="D716" t="s">
        <v>324</v>
      </c>
      <c r="E716" t="s">
        <v>325</v>
      </c>
      <c r="F716">
        <v>1</v>
      </c>
      <c r="G716">
        <v>1</v>
      </c>
      <c r="H716" t="s">
        <v>2253</v>
      </c>
      <c r="I716" t="s">
        <v>211</v>
      </c>
      <c r="J716" t="s">
        <v>212</v>
      </c>
    </row>
    <row r="717" spans="1:10" x14ac:dyDescent="0.3">
      <c r="A717" t="s">
        <v>2570</v>
      </c>
      <c r="B717" t="s">
        <v>740</v>
      </c>
      <c r="C717" t="s">
        <v>2233</v>
      </c>
      <c r="D717" t="s">
        <v>324</v>
      </c>
      <c r="E717" t="s">
        <v>325</v>
      </c>
      <c r="F717">
        <v>1</v>
      </c>
      <c r="G717">
        <v>1</v>
      </c>
      <c r="H717" t="s">
        <v>2255</v>
      </c>
      <c r="I717" t="s">
        <v>211</v>
      </c>
      <c r="J717" t="s">
        <v>212</v>
      </c>
    </row>
    <row r="718" spans="1:10" x14ac:dyDescent="0.3">
      <c r="A718" t="s">
        <v>2571</v>
      </c>
      <c r="B718" t="s">
        <v>740</v>
      </c>
      <c r="C718" t="s">
        <v>2237</v>
      </c>
      <c r="D718" t="s">
        <v>324</v>
      </c>
      <c r="E718" t="s">
        <v>325</v>
      </c>
      <c r="F718">
        <v>1</v>
      </c>
      <c r="G718">
        <v>1</v>
      </c>
      <c r="H718" t="s">
        <v>2257</v>
      </c>
      <c r="I718" t="s">
        <v>211</v>
      </c>
      <c r="J718" t="s">
        <v>212</v>
      </c>
    </row>
    <row r="719" spans="1:10" x14ac:dyDescent="0.3">
      <c r="A719" t="s">
        <v>2572</v>
      </c>
      <c r="B719" t="s">
        <v>740</v>
      </c>
      <c r="C719" t="s">
        <v>2241</v>
      </c>
      <c r="D719" t="s">
        <v>324</v>
      </c>
      <c r="E719" t="s">
        <v>325</v>
      </c>
      <c r="F719">
        <v>1</v>
      </c>
      <c r="G719">
        <v>1</v>
      </c>
      <c r="H719" t="s">
        <v>2259</v>
      </c>
      <c r="I719" t="s">
        <v>211</v>
      </c>
      <c r="J719" t="s">
        <v>212</v>
      </c>
    </row>
    <row r="720" spans="1:10" x14ac:dyDescent="0.3">
      <c r="A720" t="s">
        <v>2573</v>
      </c>
      <c r="B720" t="s">
        <v>740</v>
      </c>
      <c r="C720" t="s">
        <v>2244</v>
      </c>
      <c r="D720" t="s">
        <v>324</v>
      </c>
      <c r="E720" t="s">
        <v>325</v>
      </c>
      <c r="F720">
        <v>1</v>
      </c>
      <c r="G720">
        <v>1</v>
      </c>
      <c r="H720" t="s">
        <v>2261</v>
      </c>
      <c r="I720" t="s">
        <v>211</v>
      </c>
      <c r="J720" t="s">
        <v>212</v>
      </c>
    </row>
    <row r="721" spans="1:10" x14ac:dyDescent="0.3">
      <c r="A721" t="s">
        <v>2574</v>
      </c>
      <c r="B721" t="s">
        <v>740</v>
      </c>
      <c r="C721" t="s">
        <v>2247</v>
      </c>
      <c r="D721" t="s">
        <v>324</v>
      </c>
      <c r="E721" t="s">
        <v>325</v>
      </c>
      <c r="F721">
        <v>1</v>
      </c>
      <c r="G721">
        <v>1</v>
      </c>
      <c r="H721" t="s">
        <v>2263</v>
      </c>
      <c r="I721" t="s">
        <v>211</v>
      </c>
      <c r="J721" t="s">
        <v>212</v>
      </c>
    </row>
    <row r="722" spans="1:10" x14ac:dyDescent="0.3">
      <c r="A722" t="s">
        <v>2575</v>
      </c>
      <c r="B722" t="s">
        <v>2576</v>
      </c>
      <c r="C722" t="s">
        <v>2225</v>
      </c>
      <c r="D722" t="s">
        <v>324</v>
      </c>
      <c r="E722" t="s">
        <v>325</v>
      </c>
      <c r="F722">
        <v>1</v>
      </c>
      <c r="G722">
        <v>1</v>
      </c>
      <c r="H722" t="s">
        <v>2251</v>
      </c>
      <c r="I722" t="s">
        <v>211</v>
      </c>
      <c r="J722" t="s">
        <v>212</v>
      </c>
    </row>
    <row r="723" spans="1:10" x14ac:dyDescent="0.3">
      <c r="A723" t="s">
        <v>2577</v>
      </c>
      <c r="B723" t="s">
        <v>2576</v>
      </c>
      <c r="C723" t="s">
        <v>2230</v>
      </c>
      <c r="D723" t="s">
        <v>324</v>
      </c>
      <c r="E723" t="s">
        <v>325</v>
      </c>
      <c r="F723">
        <v>1</v>
      </c>
      <c r="G723">
        <v>1</v>
      </c>
      <c r="H723" t="s">
        <v>2253</v>
      </c>
      <c r="I723" t="s">
        <v>211</v>
      </c>
      <c r="J723" t="s">
        <v>212</v>
      </c>
    </row>
    <row r="724" spans="1:10" x14ac:dyDescent="0.3">
      <c r="A724" t="s">
        <v>2578</v>
      </c>
      <c r="B724" t="s">
        <v>2576</v>
      </c>
      <c r="C724" t="s">
        <v>2233</v>
      </c>
      <c r="D724" t="s">
        <v>324</v>
      </c>
      <c r="E724" t="s">
        <v>325</v>
      </c>
      <c r="F724">
        <v>1</v>
      </c>
      <c r="G724">
        <v>1</v>
      </c>
      <c r="H724" t="s">
        <v>2255</v>
      </c>
      <c r="I724" t="s">
        <v>211</v>
      </c>
      <c r="J724" t="s">
        <v>212</v>
      </c>
    </row>
    <row r="725" spans="1:10" x14ac:dyDescent="0.3">
      <c r="A725" t="s">
        <v>2579</v>
      </c>
      <c r="B725" t="s">
        <v>2576</v>
      </c>
      <c r="C725" t="s">
        <v>2237</v>
      </c>
      <c r="D725" t="s">
        <v>324</v>
      </c>
      <c r="E725" t="s">
        <v>325</v>
      </c>
      <c r="F725">
        <v>1</v>
      </c>
      <c r="G725">
        <v>1</v>
      </c>
      <c r="H725" t="s">
        <v>2257</v>
      </c>
      <c r="I725" t="s">
        <v>211</v>
      </c>
      <c r="J725" t="s">
        <v>212</v>
      </c>
    </row>
    <row r="726" spans="1:10" x14ac:dyDescent="0.3">
      <c r="A726" t="s">
        <v>2580</v>
      </c>
      <c r="B726" t="s">
        <v>2576</v>
      </c>
      <c r="C726" t="s">
        <v>2241</v>
      </c>
      <c r="D726" t="s">
        <v>324</v>
      </c>
      <c r="E726" t="s">
        <v>325</v>
      </c>
      <c r="F726">
        <v>1</v>
      </c>
      <c r="G726">
        <v>1</v>
      </c>
      <c r="H726" t="s">
        <v>2259</v>
      </c>
      <c r="I726" t="s">
        <v>211</v>
      </c>
      <c r="J726" t="s">
        <v>212</v>
      </c>
    </row>
    <row r="727" spans="1:10" x14ac:dyDescent="0.3">
      <c r="A727" t="s">
        <v>2581</v>
      </c>
      <c r="B727" t="s">
        <v>2576</v>
      </c>
      <c r="C727" t="s">
        <v>2244</v>
      </c>
      <c r="D727" t="s">
        <v>324</v>
      </c>
      <c r="E727" t="s">
        <v>325</v>
      </c>
      <c r="F727">
        <v>1</v>
      </c>
      <c r="G727">
        <v>1</v>
      </c>
      <c r="H727" t="s">
        <v>2261</v>
      </c>
      <c r="I727" t="s">
        <v>211</v>
      </c>
      <c r="J727" t="s">
        <v>212</v>
      </c>
    </row>
    <row r="728" spans="1:10" x14ac:dyDescent="0.3">
      <c r="A728" t="s">
        <v>2582</v>
      </c>
      <c r="B728" t="s">
        <v>2576</v>
      </c>
      <c r="C728" t="s">
        <v>2247</v>
      </c>
      <c r="D728" t="s">
        <v>324</v>
      </c>
      <c r="E728" t="s">
        <v>325</v>
      </c>
      <c r="F728">
        <v>1</v>
      </c>
      <c r="G728">
        <v>1</v>
      </c>
      <c r="H728" t="s">
        <v>2263</v>
      </c>
      <c r="I728" t="s">
        <v>211</v>
      </c>
      <c r="J728" t="s">
        <v>212</v>
      </c>
    </row>
    <row r="729" spans="1:10" x14ac:dyDescent="0.3">
      <c r="A729" t="s">
        <v>2583</v>
      </c>
      <c r="B729" t="s">
        <v>2584</v>
      </c>
      <c r="C729" t="s">
        <v>2225</v>
      </c>
      <c r="D729" t="s">
        <v>324</v>
      </c>
      <c r="E729" t="s">
        <v>325</v>
      </c>
      <c r="F729">
        <v>1</v>
      </c>
      <c r="G729">
        <v>1</v>
      </c>
      <c r="H729" t="s">
        <v>2251</v>
      </c>
      <c r="I729" t="s">
        <v>211</v>
      </c>
      <c r="J729" t="s">
        <v>212</v>
      </c>
    </row>
    <row r="730" spans="1:10" x14ac:dyDescent="0.3">
      <c r="A730" t="s">
        <v>2585</v>
      </c>
      <c r="B730" t="s">
        <v>2584</v>
      </c>
      <c r="C730" t="s">
        <v>2230</v>
      </c>
      <c r="D730" t="s">
        <v>324</v>
      </c>
      <c r="E730" t="s">
        <v>325</v>
      </c>
      <c r="F730">
        <v>1</v>
      </c>
      <c r="G730">
        <v>1</v>
      </c>
      <c r="H730" t="s">
        <v>2253</v>
      </c>
      <c r="I730" t="s">
        <v>211</v>
      </c>
      <c r="J730" t="s">
        <v>212</v>
      </c>
    </row>
    <row r="731" spans="1:10" x14ac:dyDescent="0.3">
      <c r="A731" t="s">
        <v>2586</v>
      </c>
      <c r="B731" t="s">
        <v>2584</v>
      </c>
      <c r="C731" t="s">
        <v>2233</v>
      </c>
      <c r="D731" t="s">
        <v>324</v>
      </c>
      <c r="E731" t="s">
        <v>325</v>
      </c>
      <c r="F731">
        <v>1</v>
      </c>
      <c r="G731">
        <v>1</v>
      </c>
      <c r="H731" t="s">
        <v>2255</v>
      </c>
      <c r="I731" t="s">
        <v>211</v>
      </c>
      <c r="J731" t="s">
        <v>212</v>
      </c>
    </row>
    <row r="732" spans="1:10" x14ac:dyDescent="0.3">
      <c r="A732" t="s">
        <v>2587</v>
      </c>
      <c r="B732" t="s">
        <v>2584</v>
      </c>
      <c r="C732" t="s">
        <v>2237</v>
      </c>
      <c r="D732" t="s">
        <v>324</v>
      </c>
      <c r="E732" t="s">
        <v>325</v>
      </c>
      <c r="F732">
        <v>1</v>
      </c>
      <c r="G732">
        <v>1</v>
      </c>
      <c r="H732" t="s">
        <v>2257</v>
      </c>
      <c r="I732" t="s">
        <v>211</v>
      </c>
      <c r="J732" t="s">
        <v>212</v>
      </c>
    </row>
    <row r="733" spans="1:10" x14ac:dyDescent="0.3">
      <c r="A733" t="s">
        <v>2588</v>
      </c>
      <c r="B733" t="s">
        <v>2584</v>
      </c>
      <c r="C733" t="s">
        <v>2241</v>
      </c>
      <c r="D733" t="s">
        <v>324</v>
      </c>
      <c r="E733" t="s">
        <v>325</v>
      </c>
      <c r="F733">
        <v>1</v>
      </c>
      <c r="G733">
        <v>1</v>
      </c>
      <c r="H733" t="s">
        <v>2259</v>
      </c>
      <c r="I733" t="s">
        <v>211</v>
      </c>
      <c r="J733" t="s">
        <v>212</v>
      </c>
    </row>
    <row r="734" spans="1:10" x14ac:dyDescent="0.3">
      <c r="A734" t="s">
        <v>2589</v>
      </c>
      <c r="B734" t="s">
        <v>2584</v>
      </c>
      <c r="C734" t="s">
        <v>2244</v>
      </c>
      <c r="D734" t="s">
        <v>324</v>
      </c>
      <c r="E734" t="s">
        <v>325</v>
      </c>
      <c r="F734">
        <v>1</v>
      </c>
      <c r="G734">
        <v>1</v>
      </c>
      <c r="H734" t="s">
        <v>2261</v>
      </c>
      <c r="I734" t="s">
        <v>211</v>
      </c>
      <c r="J734" t="s">
        <v>212</v>
      </c>
    </row>
    <row r="735" spans="1:10" x14ac:dyDescent="0.3">
      <c r="A735" t="s">
        <v>2590</v>
      </c>
      <c r="B735" t="s">
        <v>2584</v>
      </c>
      <c r="C735" t="s">
        <v>2247</v>
      </c>
      <c r="D735" t="s">
        <v>324</v>
      </c>
      <c r="E735" t="s">
        <v>325</v>
      </c>
      <c r="F735">
        <v>1</v>
      </c>
      <c r="G735">
        <v>1</v>
      </c>
      <c r="H735" t="s">
        <v>2263</v>
      </c>
      <c r="I735" t="s">
        <v>211</v>
      </c>
      <c r="J735" t="s">
        <v>212</v>
      </c>
    </row>
    <row r="736" spans="1:10" x14ac:dyDescent="0.3">
      <c r="A736" t="s">
        <v>2591</v>
      </c>
      <c r="B736" t="s">
        <v>754</v>
      </c>
      <c r="C736" t="s">
        <v>2225</v>
      </c>
      <c r="D736" t="s">
        <v>324</v>
      </c>
      <c r="E736" t="s">
        <v>325</v>
      </c>
      <c r="F736">
        <v>1</v>
      </c>
      <c r="G736">
        <v>1</v>
      </c>
      <c r="H736" t="s">
        <v>2251</v>
      </c>
      <c r="I736" t="s">
        <v>211</v>
      </c>
      <c r="J736" t="s">
        <v>212</v>
      </c>
    </row>
    <row r="737" spans="1:10" x14ac:dyDescent="0.3">
      <c r="A737" t="s">
        <v>2592</v>
      </c>
      <c r="B737" t="s">
        <v>754</v>
      </c>
      <c r="C737" t="s">
        <v>2230</v>
      </c>
      <c r="D737" t="s">
        <v>324</v>
      </c>
      <c r="E737" t="s">
        <v>325</v>
      </c>
      <c r="F737">
        <v>1</v>
      </c>
      <c r="G737">
        <v>1</v>
      </c>
      <c r="H737" t="s">
        <v>2253</v>
      </c>
      <c r="I737" t="s">
        <v>211</v>
      </c>
      <c r="J737" t="s">
        <v>212</v>
      </c>
    </row>
    <row r="738" spans="1:10" x14ac:dyDescent="0.3">
      <c r="A738" t="s">
        <v>2593</v>
      </c>
      <c r="B738" t="s">
        <v>754</v>
      </c>
      <c r="C738" t="s">
        <v>2233</v>
      </c>
      <c r="D738" t="s">
        <v>324</v>
      </c>
      <c r="E738" t="s">
        <v>325</v>
      </c>
      <c r="F738">
        <v>1</v>
      </c>
      <c r="G738">
        <v>1</v>
      </c>
      <c r="H738" t="s">
        <v>2255</v>
      </c>
      <c r="I738" t="s">
        <v>211</v>
      </c>
      <c r="J738" t="s">
        <v>212</v>
      </c>
    </row>
    <row r="739" spans="1:10" x14ac:dyDescent="0.3">
      <c r="A739" t="s">
        <v>2594</v>
      </c>
      <c r="B739" t="s">
        <v>754</v>
      </c>
      <c r="C739" t="s">
        <v>2237</v>
      </c>
      <c r="D739" t="s">
        <v>324</v>
      </c>
      <c r="E739" t="s">
        <v>325</v>
      </c>
      <c r="F739">
        <v>1</v>
      </c>
      <c r="G739">
        <v>1</v>
      </c>
      <c r="H739" t="s">
        <v>2257</v>
      </c>
      <c r="I739" t="s">
        <v>211</v>
      </c>
      <c r="J739" t="s">
        <v>212</v>
      </c>
    </row>
    <row r="740" spans="1:10" x14ac:dyDescent="0.3">
      <c r="A740" t="s">
        <v>2595</v>
      </c>
      <c r="B740" t="s">
        <v>754</v>
      </c>
      <c r="C740" t="s">
        <v>2241</v>
      </c>
      <c r="D740" t="s">
        <v>324</v>
      </c>
      <c r="E740" t="s">
        <v>325</v>
      </c>
      <c r="F740">
        <v>1</v>
      </c>
      <c r="G740">
        <v>1</v>
      </c>
      <c r="H740" t="s">
        <v>2259</v>
      </c>
      <c r="I740" t="s">
        <v>211</v>
      </c>
      <c r="J740" t="s">
        <v>212</v>
      </c>
    </row>
    <row r="741" spans="1:10" x14ac:dyDescent="0.3">
      <c r="A741" t="s">
        <v>2596</v>
      </c>
      <c r="B741" t="s">
        <v>754</v>
      </c>
      <c r="C741" t="s">
        <v>2244</v>
      </c>
      <c r="D741" t="s">
        <v>324</v>
      </c>
      <c r="E741" t="s">
        <v>325</v>
      </c>
      <c r="F741">
        <v>1</v>
      </c>
      <c r="G741">
        <v>1</v>
      </c>
      <c r="H741" t="s">
        <v>2261</v>
      </c>
      <c r="I741" t="s">
        <v>211</v>
      </c>
      <c r="J741" t="s">
        <v>212</v>
      </c>
    </row>
    <row r="742" spans="1:10" x14ac:dyDescent="0.3">
      <c r="A742" t="s">
        <v>2597</v>
      </c>
      <c r="B742" t="s">
        <v>754</v>
      </c>
      <c r="C742" t="s">
        <v>2247</v>
      </c>
      <c r="D742" t="s">
        <v>324</v>
      </c>
      <c r="E742" t="s">
        <v>325</v>
      </c>
      <c r="F742">
        <v>1</v>
      </c>
      <c r="G742">
        <v>1</v>
      </c>
      <c r="H742" t="s">
        <v>2263</v>
      </c>
      <c r="I742" t="s">
        <v>211</v>
      </c>
      <c r="J742" t="s">
        <v>212</v>
      </c>
    </row>
    <row r="743" spans="1:10" x14ac:dyDescent="0.3">
      <c r="A743" t="s">
        <v>2598</v>
      </c>
      <c r="B743" t="s">
        <v>757</v>
      </c>
      <c r="C743" t="s">
        <v>2225</v>
      </c>
      <c r="D743" t="s">
        <v>324</v>
      </c>
      <c r="E743" t="s">
        <v>325</v>
      </c>
      <c r="F743">
        <v>1</v>
      </c>
      <c r="G743">
        <v>1</v>
      </c>
      <c r="H743" t="s">
        <v>2251</v>
      </c>
      <c r="I743" t="s">
        <v>211</v>
      </c>
      <c r="J743" t="s">
        <v>212</v>
      </c>
    </row>
    <row r="744" spans="1:10" x14ac:dyDescent="0.3">
      <c r="A744" t="s">
        <v>2599</v>
      </c>
      <c r="B744" t="s">
        <v>757</v>
      </c>
      <c r="C744" t="s">
        <v>2230</v>
      </c>
      <c r="D744" t="s">
        <v>324</v>
      </c>
      <c r="E744" t="s">
        <v>325</v>
      </c>
      <c r="F744">
        <v>1</v>
      </c>
      <c r="G744">
        <v>1</v>
      </c>
      <c r="H744" t="s">
        <v>2253</v>
      </c>
      <c r="I744" t="s">
        <v>211</v>
      </c>
      <c r="J744" t="s">
        <v>212</v>
      </c>
    </row>
    <row r="745" spans="1:10" x14ac:dyDescent="0.3">
      <c r="A745" t="s">
        <v>2600</v>
      </c>
      <c r="B745" t="s">
        <v>757</v>
      </c>
      <c r="C745" t="s">
        <v>2233</v>
      </c>
      <c r="D745" t="s">
        <v>324</v>
      </c>
      <c r="E745" t="s">
        <v>325</v>
      </c>
      <c r="F745">
        <v>1</v>
      </c>
      <c r="G745">
        <v>1</v>
      </c>
      <c r="H745" t="s">
        <v>2255</v>
      </c>
      <c r="I745" t="s">
        <v>211</v>
      </c>
      <c r="J745" t="s">
        <v>212</v>
      </c>
    </row>
    <row r="746" spans="1:10" x14ac:dyDescent="0.3">
      <c r="A746" t="s">
        <v>2601</v>
      </c>
      <c r="B746" t="s">
        <v>757</v>
      </c>
      <c r="C746" t="s">
        <v>2237</v>
      </c>
      <c r="D746" t="s">
        <v>324</v>
      </c>
      <c r="E746" t="s">
        <v>325</v>
      </c>
      <c r="F746">
        <v>1</v>
      </c>
      <c r="G746">
        <v>1</v>
      </c>
      <c r="H746" t="s">
        <v>2257</v>
      </c>
      <c r="I746" t="s">
        <v>211</v>
      </c>
      <c r="J746" t="s">
        <v>212</v>
      </c>
    </row>
    <row r="747" spans="1:10" x14ac:dyDescent="0.3">
      <c r="A747" t="s">
        <v>2602</v>
      </c>
      <c r="B747" t="s">
        <v>757</v>
      </c>
      <c r="C747" t="s">
        <v>2241</v>
      </c>
      <c r="D747" t="s">
        <v>324</v>
      </c>
      <c r="E747" t="s">
        <v>325</v>
      </c>
      <c r="F747">
        <v>1</v>
      </c>
      <c r="G747">
        <v>1</v>
      </c>
      <c r="H747" t="s">
        <v>2259</v>
      </c>
      <c r="I747" t="s">
        <v>211</v>
      </c>
      <c r="J747" t="s">
        <v>212</v>
      </c>
    </row>
    <row r="748" spans="1:10" x14ac:dyDescent="0.3">
      <c r="A748" t="s">
        <v>2603</v>
      </c>
      <c r="B748" t="s">
        <v>757</v>
      </c>
      <c r="C748" t="s">
        <v>2244</v>
      </c>
      <c r="D748" t="s">
        <v>324</v>
      </c>
      <c r="E748" t="s">
        <v>325</v>
      </c>
      <c r="F748">
        <v>1</v>
      </c>
      <c r="G748">
        <v>1</v>
      </c>
      <c r="H748" t="s">
        <v>2261</v>
      </c>
      <c r="I748" t="s">
        <v>211</v>
      </c>
      <c r="J748" t="s">
        <v>212</v>
      </c>
    </row>
    <row r="749" spans="1:10" x14ac:dyDescent="0.3">
      <c r="A749" t="s">
        <v>2604</v>
      </c>
      <c r="B749" t="s">
        <v>757</v>
      </c>
      <c r="C749" t="s">
        <v>2247</v>
      </c>
      <c r="D749" t="s">
        <v>324</v>
      </c>
      <c r="E749" t="s">
        <v>325</v>
      </c>
      <c r="F749">
        <v>1</v>
      </c>
      <c r="G749">
        <v>1</v>
      </c>
      <c r="H749" t="s">
        <v>2263</v>
      </c>
      <c r="I749" t="s">
        <v>211</v>
      </c>
      <c r="J749" t="s">
        <v>212</v>
      </c>
    </row>
    <row r="750" spans="1:10" x14ac:dyDescent="0.3">
      <c r="A750" t="s">
        <v>2605</v>
      </c>
      <c r="B750" t="s">
        <v>760</v>
      </c>
      <c r="C750" t="s">
        <v>2225</v>
      </c>
      <c r="D750" t="s">
        <v>324</v>
      </c>
      <c r="E750" t="s">
        <v>325</v>
      </c>
      <c r="F750">
        <v>1</v>
      </c>
      <c r="G750">
        <v>1</v>
      </c>
      <c r="H750" t="s">
        <v>2251</v>
      </c>
      <c r="I750" t="s">
        <v>211</v>
      </c>
      <c r="J750" t="s">
        <v>212</v>
      </c>
    </row>
    <row r="751" spans="1:10" x14ac:dyDescent="0.3">
      <c r="A751" t="s">
        <v>2606</v>
      </c>
      <c r="B751" t="s">
        <v>760</v>
      </c>
      <c r="C751" t="s">
        <v>2230</v>
      </c>
      <c r="D751" t="s">
        <v>324</v>
      </c>
      <c r="E751" t="s">
        <v>325</v>
      </c>
      <c r="F751">
        <v>1</v>
      </c>
      <c r="G751">
        <v>1</v>
      </c>
      <c r="H751" t="s">
        <v>2253</v>
      </c>
      <c r="I751" t="s">
        <v>211</v>
      </c>
      <c r="J751" t="s">
        <v>212</v>
      </c>
    </row>
    <row r="752" spans="1:10" x14ac:dyDescent="0.3">
      <c r="A752" t="s">
        <v>2607</v>
      </c>
      <c r="B752" t="s">
        <v>760</v>
      </c>
      <c r="C752" t="s">
        <v>2233</v>
      </c>
      <c r="D752" t="s">
        <v>324</v>
      </c>
      <c r="E752" t="s">
        <v>325</v>
      </c>
      <c r="F752">
        <v>1</v>
      </c>
      <c r="G752">
        <v>1</v>
      </c>
      <c r="H752" t="s">
        <v>2255</v>
      </c>
      <c r="I752" t="s">
        <v>211</v>
      </c>
      <c r="J752" t="s">
        <v>212</v>
      </c>
    </row>
    <row r="753" spans="1:10" x14ac:dyDescent="0.3">
      <c r="A753" t="s">
        <v>2608</v>
      </c>
      <c r="B753" t="s">
        <v>760</v>
      </c>
      <c r="C753" t="s">
        <v>2237</v>
      </c>
      <c r="D753" t="s">
        <v>324</v>
      </c>
      <c r="E753" t="s">
        <v>325</v>
      </c>
      <c r="F753">
        <v>1</v>
      </c>
      <c r="G753">
        <v>1</v>
      </c>
      <c r="H753" t="s">
        <v>2257</v>
      </c>
      <c r="I753" t="s">
        <v>211</v>
      </c>
      <c r="J753" t="s">
        <v>212</v>
      </c>
    </row>
    <row r="754" spans="1:10" x14ac:dyDescent="0.3">
      <c r="A754" t="s">
        <v>2609</v>
      </c>
      <c r="B754" t="s">
        <v>760</v>
      </c>
      <c r="C754" t="s">
        <v>2241</v>
      </c>
      <c r="D754" t="s">
        <v>324</v>
      </c>
      <c r="E754" t="s">
        <v>325</v>
      </c>
      <c r="F754">
        <v>1</v>
      </c>
      <c r="G754">
        <v>1</v>
      </c>
      <c r="H754" t="s">
        <v>2259</v>
      </c>
      <c r="I754" t="s">
        <v>211</v>
      </c>
      <c r="J754" t="s">
        <v>212</v>
      </c>
    </row>
    <row r="755" spans="1:10" x14ac:dyDescent="0.3">
      <c r="A755" t="s">
        <v>2610</v>
      </c>
      <c r="B755" t="s">
        <v>760</v>
      </c>
      <c r="C755" t="s">
        <v>2244</v>
      </c>
      <c r="D755" t="s">
        <v>324</v>
      </c>
      <c r="E755" t="s">
        <v>325</v>
      </c>
      <c r="F755">
        <v>1</v>
      </c>
      <c r="G755">
        <v>1</v>
      </c>
      <c r="H755" t="s">
        <v>2261</v>
      </c>
      <c r="I755" t="s">
        <v>211</v>
      </c>
      <c r="J755" t="s">
        <v>212</v>
      </c>
    </row>
    <row r="756" spans="1:10" x14ac:dyDescent="0.3">
      <c r="A756" t="s">
        <v>2611</v>
      </c>
      <c r="B756" t="s">
        <v>760</v>
      </c>
      <c r="C756" t="s">
        <v>2247</v>
      </c>
      <c r="D756" t="s">
        <v>324</v>
      </c>
      <c r="E756" t="s">
        <v>325</v>
      </c>
      <c r="F756">
        <v>1</v>
      </c>
      <c r="G756">
        <v>1</v>
      </c>
      <c r="H756" t="s">
        <v>2263</v>
      </c>
      <c r="I756" t="s">
        <v>211</v>
      </c>
      <c r="J756" t="s">
        <v>212</v>
      </c>
    </row>
    <row r="757" spans="1:10" x14ac:dyDescent="0.3">
      <c r="A757" t="s">
        <v>2612</v>
      </c>
      <c r="B757" t="s">
        <v>780</v>
      </c>
      <c r="C757" t="s">
        <v>2225</v>
      </c>
      <c r="D757" t="s">
        <v>324</v>
      </c>
      <c r="E757" t="s">
        <v>325</v>
      </c>
      <c r="F757">
        <v>1</v>
      </c>
      <c r="G757">
        <v>1</v>
      </c>
      <c r="H757" t="s">
        <v>2251</v>
      </c>
      <c r="I757" t="s">
        <v>211</v>
      </c>
      <c r="J757" t="s">
        <v>212</v>
      </c>
    </row>
    <row r="758" spans="1:10" x14ac:dyDescent="0.3">
      <c r="A758" t="s">
        <v>2613</v>
      </c>
      <c r="B758" t="s">
        <v>780</v>
      </c>
      <c r="C758" t="s">
        <v>2230</v>
      </c>
      <c r="D758" t="s">
        <v>324</v>
      </c>
      <c r="E758" t="s">
        <v>325</v>
      </c>
      <c r="F758">
        <v>1</v>
      </c>
      <c r="G758">
        <v>1</v>
      </c>
      <c r="H758" t="s">
        <v>2253</v>
      </c>
      <c r="I758" t="s">
        <v>211</v>
      </c>
      <c r="J758" t="s">
        <v>212</v>
      </c>
    </row>
    <row r="759" spans="1:10" x14ac:dyDescent="0.3">
      <c r="A759" t="s">
        <v>2614</v>
      </c>
      <c r="B759" t="s">
        <v>780</v>
      </c>
      <c r="C759" t="s">
        <v>2233</v>
      </c>
      <c r="D759" t="s">
        <v>324</v>
      </c>
      <c r="E759" t="s">
        <v>325</v>
      </c>
      <c r="F759">
        <v>1</v>
      </c>
      <c r="G759">
        <v>1</v>
      </c>
      <c r="H759" t="s">
        <v>2255</v>
      </c>
      <c r="I759" t="s">
        <v>211</v>
      </c>
      <c r="J759" t="s">
        <v>212</v>
      </c>
    </row>
    <row r="760" spans="1:10" x14ac:dyDescent="0.3">
      <c r="A760" t="s">
        <v>2615</v>
      </c>
      <c r="B760" t="s">
        <v>780</v>
      </c>
      <c r="C760" t="s">
        <v>2237</v>
      </c>
      <c r="D760" t="s">
        <v>324</v>
      </c>
      <c r="E760" t="s">
        <v>325</v>
      </c>
      <c r="F760">
        <v>1</v>
      </c>
      <c r="G760">
        <v>1</v>
      </c>
      <c r="H760" t="s">
        <v>2257</v>
      </c>
      <c r="I760" t="s">
        <v>211</v>
      </c>
      <c r="J760" t="s">
        <v>212</v>
      </c>
    </row>
    <row r="761" spans="1:10" x14ac:dyDescent="0.3">
      <c r="A761" t="s">
        <v>2616</v>
      </c>
      <c r="B761" t="s">
        <v>780</v>
      </c>
      <c r="C761" t="s">
        <v>2241</v>
      </c>
      <c r="D761" t="s">
        <v>324</v>
      </c>
      <c r="E761" t="s">
        <v>325</v>
      </c>
      <c r="F761">
        <v>1</v>
      </c>
      <c r="G761">
        <v>1</v>
      </c>
      <c r="H761" t="s">
        <v>2259</v>
      </c>
      <c r="I761" t="s">
        <v>211</v>
      </c>
      <c r="J761" t="s">
        <v>212</v>
      </c>
    </row>
    <row r="762" spans="1:10" x14ac:dyDescent="0.3">
      <c r="A762" t="s">
        <v>2617</v>
      </c>
      <c r="B762" t="s">
        <v>780</v>
      </c>
      <c r="C762" t="s">
        <v>2244</v>
      </c>
      <c r="D762" t="s">
        <v>324</v>
      </c>
      <c r="E762" t="s">
        <v>325</v>
      </c>
      <c r="F762">
        <v>1</v>
      </c>
      <c r="G762">
        <v>1</v>
      </c>
      <c r="H762" t="s">
        <v>2261</v>
      </c>
      <c r="I762" t="s">
        <v>211</v>
      </c>
      <c r="J762" t="s">
        <v>212</v>
      </c>
    </row>
    <row r="763" spans="1:10" x14ac:dyDescent="0.3">
      <c r="A763" t="s">
        <v>2618</v>
      </c>
      <c r="B763" t="s">
        <v>780</v>
      </c>
      <c r="C763" t="s">
        <v>2247</v>
      </c>
      <c r="D763" t="s">
        <v>324</v>
      </c>
      <c r="E763" t="s">
        <v>325</v>
      </c>
      <c r="F763">
        <v>1</v>
      </c>
      <c r="G763">
        <v>1</v>
      </c>
      <c r="H763" t="s">
        <v>2263</v>
      </c>
      <c r="I763" t="s">
        <v>211</v>
      </c>
      <c r="J763" t="s">
        <v>212</v>
      </c>
    </row>
    <row r="764" spans="1:10" x14ac:dyDescent="0.3">
      <c r="A764" t="s">
        <v>2619</v>
      </c>
      <c r="B764" t="s">
        <v>764</v>
      </c>
      <c r="C764" t="s">
        <v>2225</v>
      </c>
      <c r="D764" t="s">
        <v>324</v>
      </c>
      <c r="E764" t="s">
        <v>325</v>
      </c>
      <c r="F764">
        <v>1</v>
      </c>
      <c r="G764">
        <v>1</v>
      </c>
      <c r="H764" t="s">
        <v>2251</v>
      </c>
      <c r="I764" t="s">
        <v>211</v>
      </c>
      <c r="J764" t="s">
        <v>212</v>
      </c>
    </row>
    <row r="765" spans="1:10" x14ac:dyDescent="0.3">
      <c r="A765" t="s">
        <v>2620</v>
      </c>
      <c r="B765" t="s">
        <v>764</v>
      </c>
      <c r="C765" t="s">
        <v>2230</v>
      </c>
      <c r="D765" t="s">
        <v>324</v>
      </c>
      <c r="E765" t="s">
        <v>325</v>
      </c>
      <c r="F765">
        <v>1</v>
      </c>
      <c r="G765">
        <v>1</v>
      </c>
      <c r="H765" t="s">
        <v>2253</v>
      </c>
      <c r="I765" t="s">
        <v>211</v>
      </c>
      <c r="J765" t="s">
        <v>212</v>
      </c>
    </row>
    <row r="766" spans="1:10" x14ac:dyDescent="0.3">
      <c r="A766" t="s">
        <v>2621</v>
      </c>
      <c r="B766" t="s">
        <v>764</v>
      </c>
      <c r="C766" t="s">
        <v>2233</v>
      </c>
      <c r="D766" t="s">
        <v>324</v>
      </c>
      <c r="E766" t="s">
        <v>325</v>
      </c>
      <c r="F766">
        <v>1</v>
      </c>
      <c r="G766">
        <v>1</v>
      </c>
      <c r="H766" t="s">
        <v>2255</v>
      </c>
      <c r="I766" t="s">
        <v>211</v>
      </c>
      <c r="J766" t="s">
        <v>212</v>
      </c>
    </row>
    <row r="767" spans="1:10" x14ac:dyDescent="0.3">
      <c r="A767" t="s">
        <v>2622</v>
      </c>
      <c r="B767" t="s">
        <v>764</v>
      </c>
      <c r="C767" t="s">
        <v>2237</v>
      </c>
      <c r="D767" t="s">
        <v>324</v>
      </c>
      <c r="E767" t="s">
        <v>325</v>
      </c>
      <c r="F767">
        <v>1</v>
      </c>
      <c r="G767">
        <v>1</v>
      </c>
      <c r="H767" t="s">
        <v>2257</v>
      </c>
      <c r="I767" t="s">
        <v>211</v>
      </c>
      <c r="J767" t="s">
        <v>212</v>
      </c>
    </row>
    <row r="768" spans="1:10" x14ac:dyDescent="0.3">
      <c r="A768" t="s">
        <v>2623</v>
      </c>
      <c r="B768" t="s">
        <v>764</v>
      </c>
      <c r="C768" t="s">
        <v>2241</v>
      </c>
      <c r="D768" t="s">
        <v>324</v>
      </c>
      <c r="E768" t="s">
        <v>325</v>
      </c>
      <c r="F768">
        <v>1</v>
      </c>
      <c r="G768">
        <v>1</v>
      </c>
      <c r="H768" t="s">
        <v>2259</v>
      </c>
      <c r="I768" t="s">
        <v>211</v>
      </c>
      <c r="J768" t="s">
        <v>212</v>
      </c>
    </row>
    <row r="769" spans="1:10" x14ac:dyDescent="0.3">
      <c r="A769" t="s">
        <v>2624</v>
      </c>
      <c r="B769" t="s">
        <v>764</v>
      </c>
      <c r="C769" t="s">
        <v>2244</v>
      </c>
      <c r="D769" t="s">
        <v>324</v>
      </c>
      <c r="E769" t="s">
        <v>325</v>
      </c>
      <c r="F769">
        <v>1</v>
      </c>
      <c r="G769">
        <v>1</v>
      </c>
      <c r="H769" t="s">
        <v>2261</v>
      </c>
      <c r="I769" t="s">
        <v>211</v>
      </c>
      <c r="J769" t="s">
        <v>212</v>
      </c>
    </row>
    <row r="770" spans="1:10" x14ac:dyDescent="0.3">
      <c r="A770" t="s">
        <v>2625</v>
      </c>
      <c r="B770" t="s">
        <v>764</v>
      </c>
      <c r="C770" t="s">
        <v>2247</v>
      </c>
      <c r="D770" t="s">
        <v>324</v>
      </c>
      <c r="E770" t="s">
        <v>325</v>
      </c>
      <c r="F770">
        <v>1</v>
      </c>
      <c r="G770">
        <v>1</v>
      </c>
      <c r="H770" t="s">
        <v>2263</v>
      </c>
      <c r="I770" t="s">
        <v>211</v>
      </c>
      <c r="J770" t="s">
        <v>212</v>
      </c>
    </row>
    <row r="771" spans="1:10" x14ac:dyDescent="0.3">
      <c r="A771" t="s">
        <v>2626</v>
      </c>
      <c r="B771" t="s">
        <v>783</v>
      </c>
      <c r="C771" t="s">
        <v>2225</v>
      </c>
      <c r="D771" t="s">
        <v>324</v>
      </c>
      <c r="E771" t="s">
        <v>325</v>
      </c>
      <c r="F771">
        <v>1</v>
      </c>
      <c r="G771">
        <v>1</v>
      </c>
      <c r="H771" t="s">
        <v>2251</v>
      </c>
      <c r="I771" t="s">
        <v>211</v>
      </c>
      <c r="J771" t="s">
        <v>212</v>
      </c>
    </row>
    <row r="772" spans="1:10" x14ac:dyDescent="0.3">
      <c r="A772" t="s">
        <v>2627</v>
      </c>
      <c r="B772" t="s">
        <v>783</v>
      </c>
      <c r="C772" t="s">
        <v>2230</v>
      </c>
      <c r="D772" t="s">
        <v>324</v>
      </c>
      <c r="E772" t="s">
        <v>325</v>
      </c>
      <c r="F772">
        <v>1</v>
      </c>
      <c r="G772">
        <v>1</v>
      </c>
      <c r="H772" t="s">
        <v>2253</v>
      </c>
      <c r="I772" t="s">
        <v>211</v>
      </c>
      <c r="J772" t="s">
        <v>212</v>
      </c>
    </row>
    <row r="773" spans="1:10" x14ac:dyDescent="0.3">
      <c r="A773" t="s">
        <v>2628</v>
      </c>
      <c r="B773" t="s">
        <v>783</v>
      </c>
      <c r="C773" t="s">
        <v>2233</v>
      </c>
      <c r="D773" t="s">
        <v>324</v>
      </c>
      <c r="E773" t="s">
        <v>325</v>
      </c>
      <c r="F773">
        <v>1</v>
      </c>
      <c r="G773">
        <v>1</v>
      </c>
      <c r="H773" t="s">
        <v>2255</v>
      </c>
      <c r="I773" t="s">
        <v>211</v>
      </c>
      <c r="J773" t="s">
        <v>212</v>
      </c>
    </row>
    <row r="774" spans="1:10" x14ac:dyDescent="0.3">
      <c r="A774" t="s">
        <v>2629</v>
      </c>
      <c r="B774" t="s">
        <v>783</v>
      </c>
      <c r="C774" t="s">
        <v>2237</v>
      </c>
      <c r="D774" t="s">
        <v>324</v>
      </c>
      <c r="E774" t="s">
        <v>325</v>
      </c>
      <c r="F774">
        <v>1</v>
      </c>
      <c r="G774">
        <v>1</v>
      </c>
      <c r="H774" t="s">
        <v>2257</v>
      </c>
      <c r="I774" t="s">
        <v>211</v>
      </c>
      <c r="J774" t="s">
        <v>212</v>
      </c>
    </row>
    <row r="775" spans="1:10" x14ac:dyDescent="0.3">
      <c r="A775" t="s">
        <v>2630</v>
      </c>
      <c r="B775" t="s">
        <v>783</v>
      </c>
      <c r="C775" t="s">
        <v>2241</v>
      </c>
      <c r="D775" t="s">
        <v>324</v>
      </c>
      <c r="E775" t="s">
        <v>325</v>
      </c>
      <c r="F775">
        <v>1</v>
      </c>
      <c r="G775">
        <v>1</v>
      </c>
      <c r="H775" t="s">
        <v>2259</v>
      </c>
      <c r="I775" t="s">
        <v>211</v>
      </c>
      <c r="J775" t="s">
        <v>212</v>
      </c>
    </row>
    <row r="776" spans="1:10" x14ac:dyDescent="0.3">
      <c r="A776" t="s">
        <v>2631</v>
      </c>
      <c r="B776" t="s">
        <v>783</v>
      </c>
      <c r="C776" t="s">
        <v>2244</v>
      </c>
      <c r="D776" t="s">
        <v>324</v>
      </c>
      <c r="E776" t="s">
        <v>325</v>
      </c>
      <c r="F776">
        <v>1</v>
      </c>
      <c r="G776">
        <v>1</v>
      </c>
      <c r="H776" t="s">
        <v>2261</v>
      </c>
      <c r="I776" t="s">
        <v>211</v>
      </c>
      <c r="J776" t="s">
        <v>212</v>
      </c>
    </row>
    <row r="777" spans="1:10" x14ac:dyDescent="0.3">
      <c r="A777" t="s">
        <v>2632</v>
      </c>
      <c r="B777" t="s">
        <v>783</v>
      </c>
      <c r="C777" t="s">
        <v>2247</v>
      </c>
      <c r="D777" t="s">
        <v>324</v>
      </c>
      <c r="E777" t="s">
        <v>325</v>
      </c>
      <c r="F777">
        <v>1</v>
      </c>
      <c r="G777">
        <v>1</v>
      </c>
      <c r="H777" t="s">
        <v>2263</v>
      </c>
      <c r="I777" t="s">
        <v>211</v>
      </c>
      <c r="J777" t="s">
        <v>212</v>
      </c>
    </row>
    <row r="778" spans="1:10" x14ac:dyDescent="0.3">
      <c r="A778" t="s">
        <v>2633</v>
      </c>
      <c r="B778" t="s">
        <v>786</v>
      </c>
      <c r="C778" t="s">
        <v>2225</v>
      </c>
      <c r="D778" t="s">
        <v>324</v>
      </c>
      <c r="E778" t="s">
        <v>325</v>
      </c>
      <c r="F778">
        <v>1</v>
      </c>
      <c r="G778">
        <v>1</v>
      </c>
      <c r="H778" t="s">
        <v>2251</v>
      </c>
      <c r="I778" t="s">
        <v>211</v>
      </c>
      <c r="J778" t="s">
        <v>212</v>
      </c>
    </row>
    <row r="779" spans="1:10" x14ac:dyDescent="0.3">
      <c r="A779" t="s">
        <v>2634</v>
      </c>
      <c r="B779" t="s">
        <v>786</v>
      </c>
      <c r="C779" t="s">
        <v>2230</v>
      </c>
      <c r="D779" t="s">
        <v>324</v>
      </c>
      <c r="E779" t="s">
        <v>325</v>
      </c>
      <c r="F779">
        <v>1</v>
      </c>
      <c r="G779">
        <v>1</v>
      </c>
      <c r="H779" t="s">
        <v>2253</v>
      </c>
      <c r="I779" t="s">
        <v>211</v>
      </c>
      <c r="J779" t="s">
        <v>212</v>
      </c>
    </row>
    <row r="780" spans="1:10" x14ac:dyDescent="0.3">
      <c r="A780" t="s">
        <v>2635</v>
      </c>
      <c r="B780" t="s">
        <v>786</v>
      </c>
      <c r="C780" t="s">
        <v>2233</v>
      </c>
      <c r="D780" t="s">
        <v>324</v>
      </c>
      <c r="E780" t="s">
        <v>325</v>
      </c>
      <c r="F780">
        <v>1</v>
      </c>
      <c r="G780">
        <v>1</v>
      </c>
      <c r="H780" t="s">
        <v>2255</v>
      </c>
      <c r="I780" t="s">
        <v>211</v>
      </c>
      <c r="J780" t="s">
        <v>212</v>
      </c>
    </row>
    <row r="781" spans="1:10" x14ac:dyDescent="0.3">
      <c r="A781" t="s">
        <v>2636</v>
      </c>
      <c r="B781" t="s">
        <v>786</v>
      </c>
      <c r="C781" t="s">
        <v>2237</v>
      </c>
      <c r="D781" t="s">
        <v>324</v>
      </c>
      <c r="E781" t="s">
        <v>325</v>
      </c>
      <c r="F781">
        <v>1</v>
      </c>
      <c r="G781">
        <v>1</v>
      </c>
      <c r="H781" t="s">
        <v>2257</v>
      </c>
      <c r="I781" t="s">
        <v>211</v>
      </c>
      <c r="J781" t="s">
        <v>212</v>
      </c>
    </row>
    <row r="782" spans="1:10" x14ac:dyDescent="0.3">
      <c r="A782" t="s">
        <v>2637</v>
      </c>
      <c r="B782" t="s">
        <v>786</v>
      </c>
      <c r="C782" t="s">
        <v>2241</v>
      </c>
      <c r="D782" t="s">
        <v>324</v>
      </c>
      <c r="E782" t="s">
        <v>325</v>
      </c>
      <c r="F782">
        <v>1</v>
      </c>
      <c r="G782">
        <v>1</v>
      </c>
      <c r="H782" t="s">
        <v>2259</v>
      </c>
      <c r="I782" t="s">
        <v>211</v>
      </c>
      <c r="J782" t="s">
        <v>212</v>
      </c>
    </row>
    <row r="783" spans="1:10" x14ac:dyDescent="0.3">
      <c r="A783" t="s">
        <v>2638</v>
      </c>
      <c r="B783" t="s">
        <v>786</v>
      </c>
      <c r="C783" t="s">
        <v>2244</v>
      </c>
      <c r="D783" t="s">
        <v>324</v>
      </c>
      <c r="E783" t="s">
        <v>325</v>
      </c>
      <c r="F783">
        <v>1</v>
      </c>
      <c r="G783">
        <v>1</v>
      </c>
      <c r="H783" t="s">
        <v>2261</v>
      </c>
      <c r="I783" t="s">
        <v>211</v>
      </c>
      <c r="J783" t="s">
        <v>212</v>
      </c>
    </row>
    <row r="784" spans="1:10" x14ac:dyDescent="0.3">
      <c r="A784" t="s">
        <v>2639</v>
      </c>
      <c r="B784" t="s">
        <v>786</v>
      </c>
      <c r="C784" t="s">
        <v>2247</v>
      </c>
      <c r="D784" t="s">
        <v>324</v>
      </c>
      <c r="E784" t="s">
        <v>325</v>
      </c>
      <c r="F784">
        <v>1</v>
      </c>
      <c r="G784">
        <v>1</v>
      </c>
      <c r="H784" t="s">
        <v>2263</v>
      </c>
      <c r="I784" t="s">
        <v>211</v>
      </c>
      <c r="J784" t="s">
        <v>212</v>
      </c>
    </row>
    <row r="785" spans="1:10" x14ac:dyDescent="0.3">
      <c r="A785" t="s">
        <v>2640</v>
      </c>
      <c r="B785" t="s">
        <v>789</v>
      </c>
      <c r="C785" t="s">
        <v>2225</v>
      </c>
      <c r="D785" t="s">
        <v>324</v>
      </c>
      <c r="E785" t="s">
        <v>325</v>
      </c>
      <c r="F785">
        <v>1</v>
      </c>
      <c r="G785">
        <v>1</v>
      </c>
      <c r="H785" t="s">
        <v>2251</v>
      </c>
      <c r="I785" t="s">
        <v>211</v>
      </c>
      <c r="J785" t="s">
        <v>212</v>
      </c>
    </row>
    <row r="786" spans="1:10" x14ac:dyDescent="0.3">
      <c r="A786" t="s">
        <v>2641</v>
      </c>
      <c r="B786" t="s">
        <v>789</v>
      </c>
      <c r="C786" t="s">
        <v>2230</v>
      </c>
      <c r="D786" t="s">
        <v>324</v>
      </c>
      <c r="E786" t="s">
        <v>325</v>
      </c>
      <c r="F786">
        <v>1</v>
      </c>
      <c r="G786">
        <v>1</v>
      </c>
      <c r="H786" t="s">
        <v>2253</v>
      </c>
      <c r="I786" t="s">
        <v>211</v>
      </c>
      <c r="J786" t="s">
        <v>212</v>
      </c>
    </row>
    <row r="787" spans="1:10" x14ac:dyDescent="0.3">
      <c r="A787" t="s">
        <v>2642</v>
      </c>
      <c r="B787" t="s">
        <v>789</v>
      </c>
      <c r="C787" t="s">
        <v>2233</v>
      </c>
      <c r="D787" t="s">
        <v>324</v>
      </c>
      <c r="E787" t="s">
        <v>325</v>
      </c>
      <c r="F787">
        <v>1</v>
      </c>
      <c r="G787">
        <v>1</v>
      </c>
      <c r="H787" t="s">
        <v>2255</v>
      </c>
      <c r="I787" t="s">
        <v>211</v>
      </c>
      <c r="J787" t="s">
        <v>212</v>
      </c>
    </row>
    <row r="788" spans="1:10" x14ac:dyDescent="0.3">
      <c r="A788" t="s">
        <v>2643</v>
      </c>
      <c r="B788" t="s">
        <v>789</v>
      </c>
      <c r="C788" t="s">
        <v>2237</v>
      </c>
      <c r="D788" t="s">
        <v>324</v>
      </c>
      <c r="E788" t="s">
        <v>325</v>
      </c>
      <c r="F788">
        <v>1</v>
      </c>
      <c r="G788">
        <v>1</v>
      </c>
      <c r="H788" t="s">
        <v>2257</v>
      </c>
      <c r="I788" t="s">
        <v>211</v>
      </c>
      <c r="J788" t="s">
        <v>212</v>
      </c>
    </row>
    <row r="789" spans="1:10" x14ac:dyDescent="0.3">
      <c r="A789" t="s">
        <v>2644</v>
      </c>
      <c r="B789" t="s">
        <v>789</v>
      </c>
      <c r="C789" t="s">
        <v>2241</v>
      </c>
      <c r="D789" t="s">
        <v>324</v>
      </c>
      <c r="E789" t="s">
        <v>325</v>
      </c>
      <c r="F789">
        <v>1</v>
      </c>
      <c r="G789">
        <v>1</v>
      </c>
      <c r="H789" t="s">
        <v>2259</v>
      </c>
      <c r="I789" t="s">
        <v>211</v>
      </c>
      <c r="J789" t="s">
        <v>212</v>
      </c>
    </row>
    <row r="790" spans="1:10" x14ac:dyDescent="0.3">
      <c r="A790" t="s">
        <v>2645</v>
      </c>
      <c r="B790" t="s">
        <v>789</v>
      </c>
      <c r="C790" t="s">
        <v>2244</v>
      </c>
      <c r="D790" t="s">
        <v>324</v>
      </c>
      <c r="E790" t="s">
        <v>325</v>
      </c>
      <c r="F790">
        <v>1</v>
      </c>
      <c r="G790">
        <v>1</v>
      </c>
      <c r="H790" t="s">
        <v>2261</v>
      </c>
      <c r="I790" t="s">
        <v>211</v>
      </c>
      <c r="J790" t="s">
        <v>212</v>
      </c>
    </row>
    <row r="791" spans="1:10" x14ac:dyDescent="0.3">
      <c r="A791" t="s">
        <v>2646</v>
      </c>
      <c r="B791" t="s">
        <v>789</v>
      </c>
      <c r="C791" t="s">
        <v>2247</v>
      </c>
      <c r="D791" t="s">
        <v>324</v>
      </c>
      <c r="E791" t="s">
        <v>325</v>
      </c>
      <c r="F791">
        <v>1</v>
      </c>
      <c r="G791">
        <v>1</v>
      </c>
      <c r="H791" t="s">
        <v>2263</v>
      </c>
      <c r="I791" t="s">
        <v>211</v>
      </c>
      <c r="J791" t="s">
        <v>212</v>
      </c>
    </row>
    <row r="792" spans="1:10" x14ac:dyDescent="0.3">
      <c r="A792" t="s">
        <v>2647</v>
      </c>
      <c r="B792" t="s">
        <v>798</v>
      </c>
      <c r="C792" t="s">
        <v>2225</v>
      </c>
      <c r="D792" t="s">
        <v>324</v>
      </c>
      <c r="E792" t="s">
        <v>325</v>
      </c>
      <c r="F792">
        <v>1</v>
      </c>
      <c r="G792">
        <v>1</v>
      </c>
      <c r="H792" t="s">
        <v>2251</v>
      </c>
      <c r="I792" t="s">
        <v>211</v>
      </c>
      <c r="J792" t="s">
        <v>212</v>
      </c>
    </row>
    <row r="793" spans="1:10" x14ac:dyDescent="0.3">
      <c r="A793" t="s">
        <v>2648</v>
      </c>
      <c r="B793" t="s">
        <v>798</v>
      </c>
      <c r="C793" t="s">
        <v>2230</v>
      </c>
      <c r="D793" t="s">
        <v>324</v>
      </c>
      <c r="E793" t="s">
        <v>325</v>
      </c>
      <c r="F793">
        <v>1</v>
      </c>
      <c r="G793">
        <v>1</v>
      </c>
      <c r="H793" t="s">
        <v>2253</v>
      </c>
      <c r="I793" t="s">
        <v>211</v>
      </c>
      <c r="J793" t="s">
        <v>212</v>
      </c>
    </row>
    <row r="794" spans="1:10" x14ac:dyDescent="0.3">
      <c r="A794" t="s">
        <v>2649</v>
      </c>
      <c r="B794" t="s">
        <v>798</v>
      </c>
      <c r="C794" t="s">
        <v>2233</v>
      </c>
      <c r="D794" t="s">
        <v>324</v>
      </c>
      <c r="E794" t="s">
        <v>325</v>
      </c>
      <c r="F794">
        <v>1</v>
      </c>
      <c r="G794">
        <v>1</v>
      </c>
      <c r="H794" t="s">
        <v>2255</v>
      </c>
      <c r="I794" t="s">
        <v>211</v>
      </c>
      <c r="J794" t="s">
        <v>212</v>
      </c>
    </row>
    <row r="795" spans="1:10" x14ac:dyDescent="0.3">
      <c r="A795" t="s">
        <v>2650</v>
      </c>
      <c r="B795" t="s">
        <v>798</v>
      </c>
      <c r="C795" t="s">
        <v>2237</v>
      </c>
      <c r="D795" t="s">
        <v>324</v>
      </c>
      <c r="E795" t="s">
        <v>325</v>
      </c>
      <c r="F795">
        <v>1</v>
      </c>
      <c r="G795">
        <v>1</v>
      </c>
      <c r="H795" t="s">
        <v>2257</v>
      </c>
      <c r="I795" t="s">
        <v>211</v>
      </c>
      <c r="J795" t="s">
        <v>212</v>
      </c>
    </row>
    <row r="796" spans="1:10" x14ac:dyDescent="0.3">
      <c r="A796" t="s">
        <v>2651</v>
      </c>
      <c r="B796" t="s">
        <v>798</v>
      </c>
      <c r="C796" t="s">
        <v>2241</v>
      </c>
      <c r="D796" t="s">
        <v>324</v>
      </c>
      <c r="E796" t="s">
        <v>325</v>
      </c>
      <c r="F796">
        <v>1</v>
      </c>
      <c r="G796">
        <v>1</v>
      </c>
      <c r="H796" t="s">
        <v>2259</v>
      </c>
      <c r="I796" t="s">
        <v>211</v>
      </c>
      <c r="J796" t="s">
        <v>212</v>
      </c>
    </row>
    <row r="797" spans="1:10" x14ac:dyDescent="0.3">
      <c r="A797" t="s">
        <v>2652</v>
      </c>
      <c r="B797" t="s">
        <v>798</v>
      </c>
      <c r="C797" t="s">
        <v>2244</v>
      </c>
      <c r="D797" t="s">
        <v>324</v>
      </c>
      <c r="E797" t="s">
        <v>325</v>
      </c>
      <c r="F797">
        <v>1</v>
      </c>
      <c r="G797">
        <v>1</v>
      </c>
      <c r="H797" t="s">
        <v>2261</v>
      </c>
      <c r="I797" t="s">
        <v>211</v>
      </c>
      <c r="J797" t="s">
        <v>212</v>
      </c>
    </row>
    <row r="798" spans="1:10" x14ac:dyDescent="0.3">
      <c r="A798" t="s">
        <v>2653</v>
      </c>
      <c r="B798" t="s">
        <v>798</v>
      </c>
      <c r="C798" t="s">
        <v>2247</v>
      </c>
      <c r="D798" t="s">
        <v>324</v>
      </c>
      <c r="E798" t="s">
        <v>325</v>
      </c>
      <c r="F798">
        <v>1</v>
      </c>
      <c r="G798">
        <v>1</v>
      </c>
      <c r="H798" t="s">
        <v>2263</v>
      </c>
      <c r="I798" t="s">
        <v>211</v>
      </c>
      <c r="J798" t="s">
        <v>212</v>
      </c>
    </row>
    <row r="799" spans="1:10" x14ac:dyDescent="0.3">
      <c r="A799" t="s">
        <v>2654</v>
      </c>
      <c r="B799" t="s">
        <v>792</v>
      </c>
      <c r="C799" t="s">
        <v>2225</v>
      </c>
      <c r="D799" t="s">
        <v>324</v>
      </c>
      <c r="E799" t="s">
        <v>325</v>
      </c>
      <c r="F799">
        <v>1</v>
      </c>
      <c r="G799">
        <v>1</v>
      </c>
      <c r="H799" t="s">
        <v>2251</v>
      </c>
      <c r="I799" t="s">
        <v>211</v>
      </c>
      <c r="J799" t="s">
        <v>212</v>
      </c>
    </row>
    <row r="800" spans="1:10" x14ac:dyDescent="0.3">
      <c r="A800" t="s">
        <v>2655</v>
      </c>
      <c r="B800" t="s">
        <v>792</v>
      </c>
      <c r="C800" t="s">
        <v>2230</v>
      </c>
      <c r="D800" t="s">
        <v>324</v>
      </c>
      <c r="E800" t="s">
        <v>325</v>
      </c>
      <c r="F800">
        <v>1</v>
      </c>
      <c r="G800">
        <v>1</v>
      </c>
      <c r="H800" t="s">
        <v>2253</v>
      </c>
      <c r="I800" t="s">
        <v>211</v>
      </c>
      <c r="J800" t="s">
        <v>212</v>
      </c>
    </row>
    <row r="801" spans="1:10" x14ac:dyDescent="0.3">
      <c r="A801" t="s">
        <v>2656</v>
      </c>
      <c r="B801" t="s">
        <v>792</v>
      </c>
      <c r="C801" t="s">
        <v>2233</v>
      </c>
      <c r="D801" t="s">
        <v>324</v>
      </c>
      <c r="E801" t="s">
        <v>325</v>
      </c>
      <c r="F801">
        <v>1</v>
      </c>
      <c r="G801">
        <v>1</v>
      </c>
      <c r="H801" t="s">
        <v>2255</v>
      </c>
      <c r="I801" t="s">
        <v>211</v>
      </c>
      <c r="J801" t="s">
        <v>212</v>
      </c>
    </row>
    <row r="802" spans="1:10" x14ac:dyDescent="0.3">
      <c r="A802" t="s">
        <v>2657</v>
      </c>
      <c r="B802" t="s">
        <v>792</v>
      </c>
      <c r="C802" t="s">
        <v>2237</v>
      </c>
      <c r="D802" t="s">
        <v>324</v>
      </c>
      <c r="E802" t="s">
        <v>325</v>
      </c>
      <c r="F802">
        <v>1</v>
      </c>
      <c r="G802">
        <v>1</v>
      </c>
      <c r="H802" t="s">
        <v>2257</v>
      </c>
      <c r="I802" t="s">
        <v>211</v>
      </c>
      <c r="J802" t="s">
        <v>212</v>
      </c>
    </row>
    <row r="803" spans="1:10" x14ac:dyDescent="0.3">
      <c r="A803" t="s">
        <v>2658</v>
      </c>
      <c r="B803" t="s">
        <v>792</v>
      </c>
      <c r="C803" t="s">
        <v>2241</v>
      </c>
      <c r="D803" t="s">
        <v>324</v>
      </c>
      <c r="E803" t="s">
        <v>325</v>
      </c>
      <c r="F803">
        <v>1</v>
      </c>
      <c r="G803">
        <v>1</v>
      </c>
      <c r="H803" t="s">
        <v>2259</v>
      </c>
      <c r="I803" t="s">
        <v>211</v>
      </c>
      <c r="J803" t="s">
        <v>212</v>
      </c>
    </row>
    <row r="804" spans="1:10" x14ac:dyDescent="0.3">
      <c r="A804" t="s">
        <v>2659</v>
      </c>
      <c r="B804" t="s">
        <v>792</v>
      </c>
      <c r="C804" t="s">
        <v>2244</v>
      </c>
      <c r="D804" t="s">
        <v>324</v>
      </c>
      <c r="E804" t="s">
        <v>325</v>
      </c>
      <c r="F804">
        <v>1</v>
      </c>
      <c r="G804">
        <v>1</v>
      </c>
      <c r="H804" t="s">
        <v>2261</v>
      </c>
      <c r="I804" t="s">
        <v>211</v>
      </c>
      <c r="J804" t="s">
        <v>212</v>
      </c>
    </row>
    <row r="805" spans="1:10" x14ac:dyDescent="0.3">
      <c r="A805" t="s">
        <v>2660</v>
      </c>
      <c r="B805" t="s">
        <v>792</v>
      </c>
      <c r="C805" t="s">
        <v>2247</v>
      </c>
      <c r="D805" t="s">
        <v>324</v>
      </c>
      <c r="E805" t="s">
        <v>325</v>
      </c>
      <c r="F805">
        <v>1</v>
      </c>
      <c r="G805">
        <v>1</v>
      </c>
      <c r="H805" t="s">
        <v>2263</v>
      </c>
      <c r="I805" t="s">
        <v>211</v>
      </c>
      <c r="J805" t="s">
        <v>212</v>
      </c>
    </row>
    <row r="806" spans="1:10" x14ac:dyDescent="0.3">
      <c r="A806" t="s">
        <v>2661</v>
      </c>
      <c r="B806" t="s">
        <v>801</v>
      </c>
      <c r="C806" t="s">
        <v>2225</v>
      </c>
      <c r="D806" t="s">
        <v>324</v>
      </c>
      <c r="E806" t="s">
        <v>325</v>
      </c>
      <c r="F806">
        <v>1</v>
      </c>
      <c r="G806">
        <v>1</v>
      </c>
      <c r="H806" t="s">
        <v>2251</v>
      </c>
      <c r="I806" t="s">
        <v>211</v>
      </c>
      <c r="J806" t="s">
        <v>212</v>
      </c>
    </row>
    <row r="807" spans="1:10" x14ac:dyDescent="0.3">
      <c r="A807" t="s">
        <v>2662</v>
      </c>
      <c r="B807" t="s">
        <v>801</v>
      </c>
      <c r="C807" t="s">
        <v>2230</v>
      </c>
      <c r="D807" t="s">
        <v>324</v>
      </c>
      <c r="E807" t="s">
        <v>325</v>
      </c>
      <c r="F807">
        <v>1</v>
      </c>
      <c r="G807">
        <v>1</v>
      </c>
      <c r="H807" t="s">
        <v>2253</v>
      </c>
      <c r="I807" t="s">
        <v>211</v>
      </c>
      <c r="J807" t="s">
        <v>212</v>
      </c>
    </row>
    <row r="808" spans="1:10" x14ac:dyDescent="0.3">
      <c r="A808" t="s">
        <v>2663</v>
      </c>
      <c r="B808" t="s">
        <v>801</v>
      </c>
      <c r="C808" t="s">
        <v>2233</v>
      </c>
      <c r="D808" t="s">
        <v>324</v>
      </c>
      <c r="E808" t="s">
        <v>325</v>
      </c>
      <c r="F808">
        <v>1</v>
      </c>
      <c r="G808">
        <v>1</v>
      </c>
      <c r="H808" t="s">
        <v>2255</v>
      </c>
      <c r="I808" t="s">
        <v>211</v>
      </c>
      <c r="J808" t="s">
        <v>212</v>
      </c>
    </row>
    <row r="809" spans="1:10" x14ac:dyDescent="0.3">
      <c r="A809" t="s">
        <v>2664</v>
      </c>
      <c r="B809" t="s">
        <v>801</v>
      </c>
      <c r="C809" t="s">
        <v>2237</v>
      </c>
      <c r="D809" t="s">
        <v>324</v>
      </c>
      <c r="E809" t="s">
        <v>325</v>
      </c>
      <c r="F809">
        <v>1</v>
      </c>
      <c r="G809">
        <v>1</v>
      </c>
      <c r="H809" t="s">
        <v>2257</v>
      </c>
      <c r="I809" t="s">
        <v>211</v>
      </c>
      <c r="J809" t="s">
        <v>212</v>
      </c>
    </row>
    <row r="810" spans="1:10" x14ac:dyDescent="0.3">
      <c r="A810" t="s">
        <v>2665</v>
      </c>
      <c r="B810" t="s">
        <v>801</v>
      </c>
      <c r="C810" t="s">
        <v>2241</v>
      </c>
      <c r="D810" t="s">
        <v>324</v>
      </c>
      <c r="E810" t="s">
        <v>325</v>
      </c>
      <c r="F810">
        <v>1</v>
      </c>
      <c r="G810">
        <v>1</v>
      </c>
      <c r="H810" t="s">
        <v>2259</v>
      </c>
      <c r="I810" t="s">
        <v>211</v>
      </c>
      <c r="J810" t="s">
        <v>212</v>
      </c>
    </row>
    <row r="811" spans="1:10" x14ac:dyDescent="0.3">
      <c r="A811" t="s">
        <v>2666</v>
      </c>
      <c r="B811" t="s">
        <v>801</v>
      </c>
      <c r="C811" t="s">
        <v>2244</v>
      </c>
      <c r="D811" t="s">
        <v>324</v>
      </c>
      <c r="E811" t="s">
        <v>325</v>
      </c>
      <c r="F811">
        <v>1</v>
      </c>
      <c r="G811">
        <v>1</v>
      </c>
      <c r="H811" t="s">
        <v>2261</v>
      </c>
      <c r="I811" t="s">
        <v>211</v>
      </c>
      <c r="J811" t="s">
        <v>212</v>
      </c>
    </row>
    <row r="812" spans="1:10" x14ac:dyDescent="0.3">
      <c r="A812" t="s">
        <v>2667</v>
      </c>
      <c r="B812" t="s">
        <v>801</v>
      </c>
      <c r="C812" t="s">
        <v>2247</v>
      </c>
      <c r="D812" t="s">
        <v>324</v>
      </c>
      <c r="E812" t="s">
        <v>325</v>
      </c>
      <c r="F812">
        <v>1</v>
      </c>
      <c r="G812">
        <v>1</v>
      </c>
      <c r="H812" t="s">
        <v>2263</v>
      </c>
      <c r="I812" t="s">
        <v>211</v>
      </c>
      <c r="J812" t="s">
        <v>212</v>
      </c>
    </row>
    <row r="813" spans="1:10" x14ac:dyDescent="0.3">
      <c r="A813" t="s">
        <v>2668</v>
      </c>
      <c r="B813" t="s">
        <v>805</v>
      </c>
      <c r="C813" t="s">
        <v>2225</v>
      </c>
      <c r="D813" t="s">
        <v>324</v>
      </c>
      <c r="E813" t="s">
        <v>325</v>
      </c>
      <c r="F813">
        <v>1</v>
      </c>
      <c r="G813">
        <v>1</v>
      </c>
      <c r="H813" t="s">
        <v>2251</v>
      </c>
      <c r="I813" t="s">
        <v>211</v>
      </c>
      <c r="J813" t="s">
        <v>212</v>
      </c>
    </row>
    <row r="814" spans="1:10" x14ac:dyDescent="0.3">
      <c r="A814" t="s">
        <v>2669</v>
      </c>
      <c r="B814" t="s">
        <v>805</v>
      </c>
      <c r="C814" t="s">
        <v>2230</v>
      </c>
      <c r="D814" t="s">
        <v>324</v>
      </c>
      <c r="E814" t="s">
        <v>325</v>
      </c>
      <c r="F814">
        <v>1</v>
      </c>
      <c r="G814">
        <v>1</v>
      </c>
      <c r="H814" t="s">
        <v>2253</v>
      </c>
      <c r="I814" t="s">
        <v>211</v>
      </c>
      <c r="J814" t="s">
        <v>212</v>
      </c>
    </row>
    <row r="815" spans="1:10" x14ac:dyDescent="0.3">
      <c r="A815" t="s">
        <v>2670</v>
      </c>
      <c r="B815" t="s">
        <v>805</v>
      </c>
      <c r="C815" t="s">
        <v>2233</v>
      </c>
      <c r="D815" t="s">
        <v>324</v>
      </c>
      <c r="E815" t="s">
        <v>325</v>
      </c>
      <c r="F815">
        <v>1</v>
      </c>
      <c r="G815">
        <v>1</v>
      </c>
      <c r="H815" t="s">
        <v>2255</v>
      </c>
      <c r="I815" t="s">
        <v>211</v>
      </c>
      <c r="J815" t="s">
        <v>212</v>
      </c>
    </row>
    <row r="816" spans="1:10" x14ac:dyDescent="0.3">
      <c r="A816" t="s">
        <v>2671</v>
      </c>
      <c r="B816" t="s">
        <v>805</v>
      </c>
      <c r="C816" t="s">
        <v>2237</v>
      </c>
      <c r="D816" t="s">
        <v>324</v>
      </c>
      <c r="E816" t="s">
        <v>325</v>
      </c>
      <c r="F816">
        <v>1</v>
      </c>
      <c r="G816">
        <v>1</v>
      </c>
      <c r="H816" t="s">
        <v>2257</v>
      </c>
      <c r="I816" t="s">
        <v>211</v>
      </c>
      <c r="J816" t="s">
        <v>212</v>
      </c>
    </row>
    <row r="817" spans="1:10" x14ac:dyDescent="0.3">
      <c r="A817" t="s">
        <v>2672</v>
      </c>
      <c r="B817" t="s">
        <v>805</v>
      </c>
      <c r="C817" t="s">
        <v>2241</v>
      </c>
      <c r="D817" t="s">
        <v>324</v>
      </c>
      <c r="E817" t="s">
        <v>325</v>
      </c>
      <c r="F817">
        <v>1</v>
      </c>
      <c r="G817">
        <v>1</v>
      </c>
      <c r="H817" t="s">
        <v>2259</v>
      </c>
      <c r="I817" t="s">
        <v>211</v>
      </c>
      <c r="J817" t="s">
        <v>212</v>
      </c>
    </row>
    <row r="818" spans="1:10" x14ac:dyDescent="0.3">
      <c r="A818" t="s">
        <v>2673</v>
      </c>
      <c r="B818" t="s">
        <v>805</v>
      </c>
      <c r="C818" t="s">
        <v>2244</v>
      </c>
      <c r="D818" t="s">
        <v>324</v>
      </c>
      <c r="E818" t="s">
        <v>325</v>
      </c>
      <c r="F818">
        <v>1</v>
      </c>
      <c r="G818">
        <v>1</v>
      </c>
      <c r="H818" t="s">
        <v>2261</v>
      </c>
      <c r="I818" t="s">
        <v>211</v>
      </c>
      <c r="J818" t="s">
        <v>212</v>
      </c>
    </row>
    <row r="819" spans="1:10" x14ac:dyDescent="0.3">
      <c r="A819" t="s">
        <v>2674</v>
      </c>
      <c r="B819" t="s">
        <v>805</v>
      </c>
      <c r="C819" t="s">
        <v>2247</v>
      </c>
      <c r="D819" t="s">
        <v>324</v>
      </c>
      <c r="E819" t="s">
        <v>325</v>
      </c>
      <c r="F819">
        <v>1</v>
      </c>
      <c r="G819">
        <v>1</v>
      </c>
      <c r="H819" t="s">
        <v>2263</v>
      </c>
      <c r="I819" t="s">
        <v>211</v>
      </c>
      <c r="J819" t="s">
        <v>212</v>
      </c>
    </row>
    <row r="820" spans="1:10" x14ac:dyDescent="0.3">
      <c r="A820" t="s">
        <v>2675</v>
      </c>
      <c r="B820" t="s">
        <v>809</v>
      </c>
      <c r="C820" t="s">
        <v>2225</v>
      </c>
      <c r="D820" t="s">
        <v>324</v>
      </c>
      <c r="E820" t="s">
        <v>325</v>
      </c>
      <c r="F820">
        <v>1</v>
      </c>
      <c r="G820">
        <v>1</v>
      </c>
      <c r="H820" t="s">
        <v>2251</v>
      </c>
      <c r="I820" t="s">
        <v>211</v>
      </c>
      <c r="J820" t="s">
        <v>212</v>
      </c>
    </row>
    <row r="821" spans="1:10" x14ac:dyDescent="0.3">
      <c r="A821" t="s">
        <v>2676</v>
      </c>
      <c r="B821" t="s">
        <v>809</v>
      </c>
      <c r="C821" t="s">
        <v>2230</v>
      </c>
      <c r="D821" t="s">
        <v>324</v>
      </c>
      <c r="E821" t="s">
        <v>325</v>
      </c>
      <c r="F821">
        <v>1</v>
      </c>
      <c r="G821">
        <v>1</v>
      </c>
      <c r="H821" t="s">
        <v>2253</v>
      </c>
      <c r="I821" t="s">
        <v>211</v>
      </c>
      <c r="J821" t="s">
        <v>212</v>
      </c>
    </row>
    <row r="822" spans="1:10" x14ac:dyDescent="0.3">
      <c r="A822" t="s">
        <v>2677</v>
      </c>
      <c r="B822" t="s">
        <v>809</v>
      </c>
      <c r="C822" t="s">
        <v>2233</v>
      </c>
      <c r="D822" t="s">
        <v>324</v>
      </c>
      <c r="E822" t="s">
        <v>325</v>
      </c>
      <c r="F822">
        <v>1</v>
      </c>
      <c r="G822">
        <v>1</v>
      </c>
      <c r="H822" t="s">
        <v>2255</v>
      </c>
      <c r="I822" t="s">
        <v>211</v>
      </c>
      <c r="J822" t="s">
        <v>212</v>
      </c>
    </row>
    <row r="823" spans="1:10" x14ac:dyDescent="0.3">
      <c r="A823" t="s">
        <v>2678</v>
      </c>
      <c r="B823" t="s">
        <v>809</v>
      </c>
      <c r="C823" t="s">
        <v>2237</v>
      </c>
      <c r="D823" t="s">
        <v>324</v>
      </c>
      <c r="E823" t="s">
        <v>325</v>
      </c>
      <c r="F823">
        <v>1</v>
      </c>
      <c r="G823">
        <v>1</v>
      </c>
      <c r="H823" t="s">
        <v>2257</v>
      </c>
      <c r="I823" t="s">
        <v>211</v>
      </c>
      <c r="J823" t="s">
        <v>212</v>
      </c>
    </row>
    <row r="824" spans="1:10" x14ac:dyDescent="0.3">
      <c r="A824" t="s">
        <v>2679</v>
      </c>
      <c r="B824" t="s">
        <v>809</v>
      </c>
      <c r="C824" t="s">
        <v>2241</v>
      </c>
      <c r="D824" t="s">
        <v>324</v>
      </c>
      <c r="E824" t="s">
        <v>325</v>
      </c>
      <c r="F824">
        <v>1</v>
      </c>
      <c r="G824">
        <v>1</v>
      </c>
      <c r="H824" t="s">
        <v>2259</v>
      </c>
      <c r="I824" t="s">
        <v>211</v>
      </c>
      <c r="J824" t="s">
        <v>212</v>
      </c>
    </row>
    <row r="825" spans="1:10" x14ac:dyDescent="0.3">
      <c r="A825" t="s">
        <v>2680</v>
      </c>
      <c r="B825" t="s">
        <v>809</v>
      </c>
      <c r="C825" t="s">
        <v>2244</v>
      </c>
      <c r="D825" t="s">
        <v>324</v>
      </c>
      <c r="E825" t="s">
        <v>325</v>
      </c>
      <c r="F825">
        <v>1</v>
      </c>
      <c r="G825">
        <v>1</v>
      </c>
      <c r="H825" t="s">
        <v>2261</v>
      </c>
      <c r="I825" t="s">
        <v>211</v>
      </c>
      <c r="J825" t="s">
        <v>212</v>
      </c>
    </row>
    <row r="826" spans="1:10" x14ac:dyDescent="0.3">
      <c r="A826" t="s">
        <v>2681</v>
      </c>
      <c r="B826" t="s">
        <v>809</v>
      </c>
      <c r="C826" t="s">
        <v>2247</v>
      </c>
      <c r="D826" t="s">
        <v>324</v>
      </c>
      <c r="E826" t="s">
        <v>325</v>
      </c>
      <c r="F826">
        <v>1</v>
      </c>
      <c r="G826">
        <v>1</v>
      </c>
      <c r="H826" t="s">
        <v>2263</v>
      </c>
      <c r="I826" t="s">
        <v>211</v>
      </c>
      <c r="J826" t="s">
        <v>212</v>
      </c>
    </row>
    <row r="827" spans="1:10" x14ac:dyDescent="0.3">
      <c r="A827" t="s">
        <v>2682</v>
      </c>
      <c r="B827" t="s">
        <v>2683</v>
      </c>
      <c r="C827" t="s">
        <v>2225</v>
      </c>
      <c r="D827" t="s">
        <v>324</v>
      </c>
      <c r="E827" t="s">
        <v>325</v>
      </c>
      <c r="F827">
        <v>1</v>
      </c>
      <c r="G827">
        <v>1</v>
      </c>
      <c r="H827" t="s">
        <v>2251</v>
      </c>
      <c r="I827" t="s">
        <v>211</v>
      </c>
      <c r="J827" t="s">
        <v>212</v>
      </c>
    </row>
    <row r="828" spans="1:10" x14ac:dyDescent="0.3">
      <c r="A828" t="s">
        <v>2684</v>
      </c>
      <c r="B828" t="s">
        <v>2683</v>
      </c>
      <c r="C828" t="s">
        <v>2230</v>
      </c>
      <c r="D828" t="s">
        <v>324</v>
      </c>
      <c r="E828" t="s">
        <v>325</v>
      </c>
      <c r="F828">
        <v>1</v>
      </c>
      <c r="G828">
        <v>1</v>
      </c>
      <c r="H828" t="s">
        <v>2253</v>
      </c>
      <c r="I828" t="s">
        <v>211</v>
      </c>
      <c r="J828" t="s">
        <v>212</v>
      </c>
    </row>
    <row r="829" spans="1:10" x14ac:dyDescent="0.3">
      <c r="A829" t="s">
        <v>2685</v>
      </c>
      <c r="B829" t="s">
        <v>2683</v>
      </c>
      <c r="C829" t="s">
        <v>2233</v>
      </c>
      <c r="D829" t="s">
        <v>324</v>
      </c>
      <c r="E829" t="s">
        <v>325</v>
      </c>
      <c r="F829">
        <v>1</v>
      </c>
      <c r="G829">
        <v>1</v>
      </c>
      <c r="H829" t="s">
        <v>2255</v>
      </c>
      <c r="I829" t="s">
        <v>211</v>
      </c>
      <c r="J829" t="s">
        <v>212</v>
      </c>
    </row>
    <row r="830" spans="1:10" x14ac:dyDescent="0.3">
      <c r="A830" t="s">
        <v>2686</v>
      </c>
      <c r="B830" t="s">
        <v>2683</v>
      </c>
      <c r="C830" t="s">
        <v>2237</v>
      </c>
      <c r="D830" t="s">
        <v>324</v>
      </c>
      <c r="E830" t="s">
        <v>325</v>
      </c>
      <c r="F830">
        <v>1</v>
      </c>
      <c r="G830">
        <v>1</v>
      </c>
      <c r="H830" t="s">
        <v>2257</v>
      </c>
      <c r="I830" t="s">
        <v>211</v>
      </c>
      <c r="J830" t="s">
        <v>212</v>
      </c>
    </row>
    <row r="831" spans="1:10" x14ac:dyDescent="0.3">
      <c r="A831" t="s">
        <v>2687</v>
      </c>
      <c r="B831" t="s">
        <v>2683</v>
      </c>
      <c r="C831" t="s">
        <v>2241</v>
      </c>
      <c r="D831" t="s">
        <v>324</v>
      </c>
      <c r="E831" t="s">
        <v>325</v>
      </c>
      <c r="F831">
        <v>1</v>
      </c>
      <c r="G831">
        <v>1</v>
      </c>
      <c r="H831" t="s">
        <v>2259</v>
      </c>
      <c r="I831" t="s">
        <v>211</v>
      </c>
      <c r="J831" t="s">
        <v>212</v>
      </c>
    </row>
    <row r="832" spans="1:10" x14ac:dyDescent="0.3">
      <c r="A832" t="s">
        <v>2688</v>
      </c>
      <c r="B832" t="s">
        <v>2683</v>
      </c>
      <c r="C832" t="s">
        <v>2244</v>
      </c>
      <c r="D832" t="s">
        <v>324</v>
      </c>
      <c r="E832" t="s">
        <v>325</v>
      </c>
      <c r="F832">
        <v>1</v>
      </c>
      <c r="G832">
        <v>1</v>
      </c>
      <c r="H832" t="s">
        <v>2261</v>
      </c>
      <c r="I832" t="s">
        <v>211</v>
      </c>
      <c r="J832" t="s">
        <v>212</v>
      </c>
    </row>
    <row r="833" spans="1:10" x14ac:dyDescent="0.3">
      <c r="A833" t="s">
        <v>2689</v>
      </c>
      <c r="B833" t="s">
        <v>2683</v>
      </c>
      <c r="C833" t="s">
        <v>2247</v>
      </c>
      <c r="D833" t="s">
        <v>324</v>
      </c>
      <c r="E833" t="s">
        <v>325</v>
      </c>
      <c r="F833">
        <v>1</v>
      </c>
      <c r="G833">
        <v>1</v>
      </c>
      <c r="H833" t="s">
        <v>2263</v>
      </c>
      <c r="I833" t="s">
        <v>211</v>
      </c>
      <c r="J833" t="s">
        <v>212</v>
      </c>
    </row>
    <row r="834" spans="1:10" x14ac:dyDescent="0.3">
      <c r="A834" t="s">
        <v>2690</v>
      </c>
      <c r="B834" t="s">
        <v>2691</v>
      </c>
      <c r="C834" t="s">
        <v>2225</v>
      </c>
      <c r="D834" t="s">
        <v>324</v>
      </c>
      <c r="E834" t="s">
        <v>325</v>
      </c>
      <c r="F834">
        <v>1</v>
      </c>
      <c r="G834">
        <v>1</v>
      </c>
      <c r="H834" t="s">
        <v>2251</v>
      </c>
      <c r="I834" t="s">
        <v>211</v>
      </c>
      <c r="J834" t="s">
        <v>212</v>
      </c>
    </row>
    <row r="835" spans="1:10" x14ac:dyDescent="0.3">
      <c r="A835" t="s">
        <v>2692</v>
      </c>
      <c r="B835" t="s">
        <v>2691</v>
      </c>
      <c r="C835" t="s">
        <v>2230</v>
      </c>
      <c r="D835" t="s">
        <v>324</v>
      </c>
      <c r="E835" t="s">
        <v>325</v>
      </c>
      <c r="F835">
        <v>1</v>
      </c>
      <c r="G835">
        <v>1</v>
      </c>
      <c r="H835" t="s">
        <v>2253</v>
      </c>
      <c r="I835" t="s">
        <v>211</v>
      </c>
      <c r="J835" t="s">
        <v>212</v>
      </c>
    </row>
    <row r="836" spans="1:10" x14ac:dyDescent="0.3">
      <c r="A836" t="s">
        <v>2693</v>
      </c>
      <c r="B836" t="s">
        <v>2691</v>
      </c>
      <c r="C836" t="s">
        <v>2233</v>
      </c>
      <c r="D836" t="s">
        <v>324</v>
      </c>
      <c r="E836" t="s">
        <v>325</v>
      </c>
      <c r="F836">
        <v>1</v>
      </c>
      <c r="G836">
        <v>1</v>
      </c>
      <c r="H836" t="s">
        <v>2255</v>
      </c>
      <c r="I836" t="s">
        <v>211</v>
      </c>
      <c r="J836" t="s">
        <v>212</v>
      </c>
    </row>
    <row r="837" spans="1:10" x14ac:dyDescent="0.3">
      <c r="A837" t="s">
        <v>2694</v>
      </c>
      <c r="B837" t="s">
        <v>2691</v>
      </c>
      <c r="C837" t="s">
        <v>2237</v>
      </c>
      <c r="D837" t="s">
        <v>324</v>
      </c>
      <c r="E837" t="s">
        <v>325</v>
      </c>
      <c r="F837">
        <v>1</v>
      </c>
      <c r="G837">
        <v>1</v>
      </c>
      <c r="H837" t="s">
        <v>2257</v>
      </c>
      <c r="I837" t="s">
        <v>211</v>
      </c>
      <c r="J837" t="s">
        <v>212</v>
      </c>
    </row>
    <row r="838" spans="1:10" x14ac:dyDescent="0.3">
      <c r="A838" t="s">
        <v>2695</v>
      </c>
      <c r="B838" t="s">
        <v>2691</v>
      </c>
      <c r="C838" t="s">
        <v>2241</v>
      </c>
      <c r="D838" t="s">
        <v>324</v>
      </c>
      <c r="E838" t="s">
        <v>325</v>
      </c>
      <c r="F838">
        <v>1</v>
      </c>
      <c r="G838">
        <v>1</v>
      </c>
      <c r="H838" t="s">
        <v>2259</v>
      </c>
      <c r="I838" t="s">
        <v>211</v>
      </c>
      <c r="J838" t="s">
        <v>212</v>
      </c>
    </row>
    <row r="839" spans="1:10" x14ac:dyDescent="0.3">
      <c r="A839" t="s">
        <v>2696</v>
      </c>
      <c r="B839" t="s">
        <v>2691</v>
      </c>
      <c r="C839" t="s">
        <v>2244</v>
      </c>
      <c r="D839" t="s">
        <v>324</v>
      </c>
      <c r="E839" t="s">
        <v>325</v>
      </c>
      <c r="F839">
        <v>1</v>
      </c>
      <c r="G839">
        <v>1</v>
      </c>
      <c r="H839" t="s">
        <v>2261</v>
      </c>
      <c r="I839" t="s">
        <v>211</v>
      </c>
      <c r="J839" t="s">
        <v>212</v>
      </c>
    </row>
    <row r="840" spans="1:10" x14ac:dyDescent="0.3">
      <c r="A840" t="s">
        <v>2697</v>
      </c>
      <c r="B840" t="s">
        <v>2691</v>
      </c>
      <c r="C840" t="s">
        <v>2247</v>
      </c>
      <c r="D840" t="s">
        <v>324</v>
      </c>
      <c r="E840" t="s">
        <v>325</v>
      </c>
      <c r="F840">
        <v>1</v>
      </c>
      <c r="G840">
        <v>1</v>
      </c>
      <c r="H840" t="s">
        <v>2263</v>
      </c>
      <c r="I840" t="s">
        <v>211</v>
      </c>
      <c r="J840" t="s">
        <v>212</v>
      </c>
    </row>
    <row r="841" spans="1:10" x14ac:dyDescent="0.3">
      <c r="A841" t="s">
        <v>2698</v>
      </c>
      <c r="B841" t="s">
        <v>819</v>
      </c>
      <c r="C841" t="s">
        <v>2225</v>
      </c>
      <c r="D841" t="s">
        <v>324</v>
      </c>
      <c r="E841" t="s">
        <v>325</v>
      </c>
      <c r="F841">
        <v>1</v>
      </c>
      <c r="G841">
        <v>1</v>
      </c>
      <c r="H841" t="s">
        <v>2251</v>
      </c>
      <c r="I841" t="s">
        <v>211</v>
      </c>
      <c r="J841" t="s">
        <v>212</v>
      </c>
    </row>
    <row r="842" spans="1:10" x14ac:dyDescent="0.3">
      <c r="A842" t="s">
        <v>2699</v>
      </c>
      <c r="B842" t="s">
        <v>819</v>
      </c>
      <c r="C842" t="s">
        <v>2230</v>
      </c>
      <c r="D842" t="s">
        <v>324</v>
      </c>
      <c r="E842" t="s">
        <v>325</v>
      </c>
      <c r="F842">
        <v>1</v>
      </c>
      <c r="G842">
        <v>1</v>
      </c>
      <c r="H842" t="s">
        <v>2253</v>
      </c>
      <c r="I842" t="s">
        <v>211</v>
      </c>
      <c r="J842" t="s">
        <v>212</v>
      </c>
    </row>
    <row r="843" spans="1:10" x14ac:dyDescent="0.3">
      <c r="A843" t="s">
        <v>2700</v>
      </c>
      <c r="B843" t="s">
        <v>819</v>
      </c>
      <c r="C843" t="s">
        <v>2233</v>
      </c>
      <c r="D843" t="s">
        <v>324</v>
      </c>
      <c r="E843" t="s">
        <v>325</v>
      </c>
      <c r="F843">
        <v>1</v>
      </c>
      <c r="G843">
        <v>1</v>
      </c>
      <c r="H843" t="s">
        <v>2255</v>
      </c>
      <c r="I843" t="s">
        <v>211</v>
      </c>
      <c r="J843" t="s">
        <v>212</v>
      </c>
    </row>
    <row r="844" spans="1:10" x14ac:dyDescent="0.3">
      <c r="A844" t="s">
        <v>2701</v>
      </c>
      <c r="B844" t="s">
        <v>819</v>
      </c>
      <c r="C844" t="s">
        <v>2237</v>
      </c>
      <c r="D844" t="s">
        <v>324</v>
      </c>
      <c r="E844" t="s">
        <v>325</v>
      </c>
      <c r="F844">
        <v>1</v>
      </c>
      <c r="G844">
        <v>1</v>
      </c>
      <c r="H844" t="s">
        <v>2257</v>
      </c>
      <c r="I844" t="s">
        <v>211</v>
      </c>
      <c r="J844" t="s">
        <v>212</v>
      </c>
    </row>
    <row r="845" spans="1:10" x14ac:dyDescent="0.3">
      <c r="A845" t="s">
        <v>2702</v>
      </c>
      <c r="B845" t="s">
        <v>819</v>
      </c>
      <c r="C845" t="s">
        <v>2241</v>
      </c>
      <c r="D845" t="s">
        <v>324</v>
      </c>
      <c r="E845" t="s">
        <v>325</v>
      </c>
      <c r="F845">
        <v>1</v>
      </c>
      <c r="G845">
        <v>1</v>
      </c>
      <c r="H845" t="s">
        <v>2259</v>
      </c>
      <c r="I845" t="s">
        <v>211</v>
      </c>
      <c r="J845" t="s">
        <v>212</v>
      </c>
    </row>
    <row r="846" spans="1:10" x14ac:dyDescent="0.3">
      <c r="A846" t="s">
        <v>2703</v>
      </c>
      <c r="B846" t="s">
        <v>819</v>
      </c>
      <c r="C846" t="s">
        <v>2244</v>
      </c>
      <c r="D846" t="s">
        <v>324</v>
      </c>
      <c r="E846" t="s">
        <v>325</v>
      </c>
      <c r="F846">
        <v>1</v>
      </c>
      <c r="G846">
        <v>1</v>
      </c>
      <c r="H846" t="s">
        <v>2261</v>
      </c>
      <c r="I846" t="s">
        <v>211</v>
      </c>
      <c r="J846" t="s">
        <v>212</v>
      </c>
    </row>
    <row r="847" spans="1:10" x14ac:dyDescent="0.3">
      <c r="A847" t="s">
        <v>2704</v>
      </c>
      <c r="B847" t="s">
        <v>819</v>
      </c>
      <c r="C847" t="s">
        <v>2247</v>
      </c>
      <c r="D847" t="s">
        <v>324</v>
      </c>
      <c r="E847" t="s">
        <v>325</v>
      </c>
      <c r="F847">
        <v>1</v>
      </c>
      <c r="G847">
        <v>1</v>
      </c>
      <c r="H847" t="s">
        <v>2263</v>
      </c>
      <c r="I847" t="s">
        <v>211</v>
      </c>
      <c r="J847" t="s">
        <v>212</v>
      </c>
    </row>
    <row r="848" spans="1:10" x14ac:dyDescent="0.3">
      <c r="A848" t="s">
        <v>2705</v>
      </c>
      <c r="B848" t="s">
        <v>822</v>
      </c>
      <c r="C848" t="s">
        <v>2225</v>
      </c>
      <c r="D848" t="s">
        <v>324</v>
      </c>
      <c r="E848" t="s">
        <v>325</v>
      </c>
      <c r="F848">
        <v>1</v>
      </c>
      <c r="G848">
        <v>1</v>
      </c>
      <c r="H848" t="s">
        <v>2251</v>
      </c>
      <c r="I848" t="s">
        <v>211</v>
      </c>
      <c r="J848" t="s">
        <v>212</v>
      </c>
    </row>
    <row r="849" spans="1:10" x14ac:dyDescent="0.3">
      <c r="A849" t="s">
        <v>2706</v>
      </c>
      <c r="B849" t="s">
        <v>822</v>
      </c>
      <c r="C849" t="s">
        <v>2230</v>
      </c>
      <c r="D849" t="s">
        <v>324</v>
      </c>
      <c r="E849" t="s">
        <v>325</v>
      </c>
      <c r="F849">
        <v>1</v>
      </c>
      <c r="G849">
        <v>1</v>
      </c>
      <c r="H849" t="s">
        <v>2253</v>
      </c>
      <c r="I849" t="s">
        <v>211</v>
      </c>
      <c r="J849" t="s">
        <v>212</v>
      </c>
    </row>
    <row r="850" spans="1:10" x14ac:dyDescent="0.3">
      <c r="A850" t="s">
        <v>2707</v>
      </c>
      <c r="B850" t="s">
        <v>822</v>
      </c>
      <c r="C850" t="s">
        <v>2233</v>
      </c>
      <c r="D850" t="s">
        <v>324</v>
      </c>
      <c r="E850" t="s">
        <v>325</v>
      </c>
      <c r="F850">
        <v>1</v>
      </c>
      <c r="G850">
        <v>1</v>
      </c>
      <c r="H850" t="s">
        <v>2255</v>
      </c>
      <c r="I850" t="s">
        <v>211</v>
      </c>
      <c r="J850" t="s">
        <v>212</v>
      </c>
    </row>
    <row r="851" spans="1:10" x14ac:dyDescent="0.3">
      <c r="A851" t="s">
        <v>2708</v>
      </c>
      <c r="B851" t="s">
        <v>822</v>
      </c>
      <c r="C851" t="s">
        <v>2237</v>
      </c>
      <c r="D851" t="s">
        <v>324</v>
      </c>
      <c r="E851" t="s">
        <v>325</v>
      </c>
      <c r="F851">
        <v>1</v>
      </c>
      <c r="G851">
        <v>1</v>
      </c>
      <c r="H851" t="s">
        <v>2257</v>
      </c>
      <c r="I851" t="s">
        <v>211</v>
      </c>
      <c r="J851" t="s">
        <v>212</v>
      </c>
    </row>
    <row r="852" spans="1:10" x14ac:dyDescent="0.3">
      <c r="A852" t="s">
        <v>2709</v>
      </c>
      <c r="B852" t="s">
        <v>822</v>
      </c>
      <c r="C852" t="s">
        <v>2241</v>
      </c>
      <c r="D852" t="s">
        <v>324</v>
      </c>
      <c r="E852" t="s">
        <v>325</v>
      </c>
      <c r="F852">
        <v>1</v>
      </c>
      <c r="G852">
        <v>1</v>
      </c>
      <c r="H852" t="s">
        <v>2259</v>
      </c>
      <c r="I852" t="s">
        <v>211</v>
      </c>
      <c r="J852" t="s">
        <v>212</v>
      </c>
    </row>
    <row r="853" spans="1:10" x14ac:dyDescent="0.3">
      <c r="A853" t="s">
        <v>2710</v>
      </c>
      <c r="B853" t="s">
        <v>822</v>
      </c>
      <c r="C853" t="s">
        <v>2244</v>
      </c>
      <c r="D853" t="s">
        <v>324</v>
      </c>
      <c r="E853" t="s">
        <v>325</v>
      </c>
      <c r="F853">
        <v>1</v>
      </c>
      <c r="G853">
        <v>1</v>
      </c>
      <c r="H853" t="s">
        <v>2261</v>
      </c>
      <c r="I853" t="s">
        <v>211</v>
      </c>
      <c r="J853" t="s">
        <v>212</v>
      </c>
    </row>
    <row r="854" spans="1:10" x14ac:dyDescent="0.3">
      <c r="A854" t="s">
        <v>2711</v>
      </c>
      <c r="B854" t="s">
        <v>822</v>
      </c>
      <c r="C854" t="s">
        <v>2247</v>
      </c>
      <c r="D854" t="s">
        <v>324</v>
      </c>
      <c r="E854" t="s">
        <v>325</v>
      </c>
      <c r="F854">
        <v>1</v>
      </c>
      <c r="G854">
        <v>1</v>
      </c>
      <c r="H854" t="s">
        <v>2263</v>
      </c>
      <c r="I854" t="s">
        <v>211</v>
      </c>
      <c r="J854" t="s">
        <v>212</v>
      </c>
    </row>
    <row r="855" spans="1:10" x14ac:dyDescent="0.3">
      <c r="A855" t="s">
        <v>2712</v>
      </c>
      <c r="B855" t="s">
        <v>825</v>
      </c>
      <c r="C855" t="s">
        <v>2225</v>
      </c>
      <c r="D855" t="s">
        <v>324</v>
      </c>
      <c r="E855" t="s">
        <v>325</v>
      </c>
      <c r="F855">
        <v>1</v>
      </c>
      <c r="G855">
        <v>1</v>
      </c>
      <c r="H855" t="s">
        <v>2251</v>
      </c>
      <c r="I855" t="s">
        <v>211</v>
      </c>
      <c r="J855" t="s">
        <v>212</v>
      </c>
    </row>
    <row r="856" spans="1:10" x14ac:dyDescent="0.3">
      <c r="A856" t="s">
        <v>2713</v>
      </c>
      <c r="B856" t="s">
        <v>825</v>
      </c>
      <c r="C856" t="s">
        <v>2230</v>
      </c>
      <c r="D856" t="s">
        <v>324</v>
      </c>
      <c r="E856" t="s">
        <v>325</v>
      </c>
      <c r="F856">
        <v>1</v>
      </c>
      <c r="G856">
        <v>1</v>
      </c>
      <c r="H856" t="s">
        <v>2253</v>
      </c>
      <c r="I856" t="s">
        <v>211</v>
      </c>
      <c r="J856" t="s">
        <v>212</v>
      </c>
    </row>
    <row r="857" spans="1:10" x14ac:dyDescent="0.3">
      <c r="A857" t="s">
        <v>2714</v>
      </c>
      <c r="B857" t="s">
        <v>825</v>
      </c>
      <c r="C857" t="s">
        <v>2233</v>
      </c>
      <c r="D857" t="s">
        <v>324</v>
      </c>
      <c r="E857" t="s">
        <v>325</v>
      </c>
      <c r="F857">
        <v>1</v>
      </c>
      <c r="G857">
        <v>1</v>
      </c>
      <c r="H857" t="s">
        <v>2255</v>
      </c>
      <c r="I857" t="s">
        <v>211</v>
      </c>
      <c r="J857" t="s">
        <v>212</v>
      </c>
    </row>
    <row r="858" spans="1:10" x14ac:dyDescent="0.3">
      <c r="A858" t="s">
        <v>2715</v>
      </c>
      <c r="B858" t="s">
        <v>825</v>
      </c>
      <c r="C858" t="s">
        <v>2237</v>
      </c>
      <c r="D858" t="s">
        <v>324</v>
      </c>
      <c r="E858" t="s">
        <v>325</v>
      </c>
      <c r="F858">
        <v>1</v>
      </c>
      <c r="G858">
        <v>1</v>
      </c>
      <c r="H858" t="s">
        <v>2257</v>
      </c>
      <c r="I858" t="s">
        <v>211</v>
      </c>
      <c r="J858" t="s">
        <v>212</v>
      </c>
    </row>
    <row r="859" spans="1:10" x14ac:dyDescent="0.3">
      <c r="A859" t="s">
        <v>2716</v>
      </c>
      <c r="B859" t="s">
        <v>825</v>
      </c>
      <c r="C859" t="s">
        <v>2241</v>
      </c>
      <c r="D859" t="s">
        <v>324</v>
      </c>
      <c r="E859" t="s">
        <v>325</v>
      </c>
      <c r="F859">
        <v>1</v>
      </c>
      <c r="G859">
        <v>1</v>
      </c>
      <c r="H859" t="s">
        <v>2259</v>
      </c>
      <c r="I859" t="s">
        <v>211</v>
      </c>
      <c r="J859" t="s">
        <v>212</v>
      </c>
    </row>
    <row r="860" spans="1:10" x14ac:dyDescent="0.3">
      <c r="A860" t="s">
        <v>2717</v>
      </c>
      <c r="B860" t="s">
        <v>825</v>
      </c>
      <c r="C860" t="s">
        <v>2244</v>
      </c>
      <c r="D860" t="s">
        <v>324</v>
      </c>
      <c r="E860" t="s">
        <v>325</v>
      </c>
      <c r="F860">
        <v>1</v>
      </c>
      <c r="G860">
        <v>1</v>
      </c>
      <c r="H860" t="s">
        <v>2261</v>
      </c>
      <c r="I860" t="s">
        <v>211</v>
      </c>
      <c r="J860" t="s">
        <v>212</v>
      </c>
    </row>
    <row r="861" spans="1:10" x14ac:dyDescent="0.3">
      <c r="A861" t="s">
        <v>2718</v>
      </c>
      <c r="B861" t="s">
        <v>825</v>
      </c>
      <c r="C861" t="s">
        <v>2247</v>
      </c>
      <c r="D861" t="s">
        <v>324</v>
      </c>
      <c r="E861" t="s">
        <v>325</v>
      </c>
      <c r="F861">
        <v>1</v>
      </c>
      <c r="G861">
        <v>1</v>
      </c>
      <c r="H861" t="s">
        <v>2263</v>
      </c>
      <c r="I861" t="s">
        <v>211</v>
      </c>
      <c r="J861" t="s">
        <v>212</v>
      </c>
    </row>
    <row r="862" spans="1:10" x14ac:dyDescent="0.3">
      <c r="A862" t="s">
        <v>2719</v>
      </c>
      <c r="B862" t="s">
        <v>831</v>
      </c>
      <c r="C862" t="s">
        <v>2225</v>
      </c>
      <c r="D862" t="s">
        <v>324</v>
      </c>
      <c r="E862" t="s">
        <v>325</v>
      </c>
      <c r="F862">
        <v>1</v>
      </c>
      <c r="G862">
        <v>1</v>
      </c>
      <c r="H862" t="s">
        <v>2251</v>
      </c>
      <c r="I862" t="s">
        <v>211</v>
      </c>
      <c r="J862" t="s">
        <v>212</v>
      </c>
    </row>
    <row r="863" spans="1:10" x14ac:dyDescent="0.3">
      <c r="A863" t="s">
        <v>2720</v>
      </c>
      <c r="B863" t="s">
        <v>831</v>
      </c>
      <c r="C863" t="s">
        <v>2230</v>
      </c>
      <c r="D863" t="s">
        <v>324</v>
      </c>
      <c r="E863" t="s">
        <v>325</v>
      </c>
      <c r="F863">
        <v>1</v>
      </c>
      <c r="G863">
        <v>1</v>
      </c>
      <c r="H863" t="s">
        <v>2253</v>
      </c>
      <c r="I863" t="s">
        <v>211</v>
      </c>
      <c r="J863" t="s">
        <v>212</v>
      </c>
    </row>
    <row r="864" spans="1:10" x14ac:dyDescent="0.3">
      <c r="A864" t="s">
        <v>2721</v>
      </c>
      <c r="B864" t="s">
        <v>831</v>
      </c>
      <c r="C864" t="s">
        <v>2233</v>
      </c>
      <c r="D864" t="s">
        <v>324</v>
      </c>
      <c r="E864" t="s">
        <v>325</v>
      </c>
      <c r="F864">
        <v>1</v>
      </c>
      <c r="G864">
        <v>1</v>
      </c>
      <c r="H864" t="s">
        <v>2255</v>
      </c>
      <c r="I864" t="s">
        <v>211</v>
      </c>
      <c r="J864" t="s">
        <v>212</v>
      </c>
    </row>
    <row r="865" spans="1:10" x14ac:dyDescent="0.3">
      <c r="A865" t="s">
        <v>2722</v>
      </c>
      <c r="B865" t="s">
        <v>831</v>
      </c>
      <c r="C865" t="s">
        <v>2237</v>
      </c>
      <c r="D865" t="s">
        <v>324</v>
      </c>
      <c r="E865" t="s">
        <v>325</v>
      </c>
      <c r="F865">
        <v>1</v>
      </c>
      <c r="G865">
        <v>1</v>
      </c>
      <c r="H865" t="s">
        <v>2257</v>
      </c>
      <c r="I865" t="s">
        <v>211</v>
      </c>
      <c r="J865" t="s">
        <v>212</v>
      </c>
    </row>
    <row r="866" spans="1:10" x14ac:dyDescent="0.3">
      <c r="A866" t="s">
        <v>2723</v>
      </c>
      <c r="B866" t="s">
        <v>831</v>
      </c>
      <c r="C866" t="s">
        <v>2241</v>
      </c>
      <c r="D866" t="s">
        <v>324</v>
      </c>
      <c r="E866" t="s">
        <v>325</v>
      </c>
      <c r="F866">
        <v>1</v>
      </c>
      <c r="G866">
        <v>1</v>
      </c>
      <c r="H866" t="s">
        <v>2259</v>
      </c>
      <c r="I866" t="s">
        <v>211</v>
      </c>
      <c r="J866" t="s">
        <v>212</v>
      </c>
    </row>
    <row r="867" spans="1:10" x14ac:dyDescent="0.3">
      <c r="A867" t="s">
        <v>2724</v>
      </c>
      <c r="B867" t="s">
        <v>831</v>
      </c>
      <c r="C867" t="s">
        <v>2244</v>
      </c>
      <c r="D867" t="s">
        <v>324</v>
      </c>
      <c r="E867" t="s">
        <v>325</v>
      </c>
      <c r="F867">
        <v>1</v>
      </c>
      <c r="G867">
        <v>1</v>
      </c>
      <c r="H867" t="s">
        <v>2261</v>
      </c>
      <c r="I867" t="s">
        <v>211</v>
      </c>
      <c r="J867" t="s">
        <v>212</v>
      </c>
    </row>
    <row r="868" spans="1:10" x14ac:dyDescent="0.3">
      <c r="A868" t="s">
        <v>2725</v>
      </c>
      <c r="B868" t="s">
        <v>831</v>
      </c>
      <c r="C868" t="s">
        <v>2247</v>
      </c>
      <c r="D868" t="s">
        <v>324</v>
      </c>
      <c r="E868" t="s">
        <v>325</v>
      </c>
      <c r="F868">
        <v>1</v>
      </c>
      <c r="G868">
        <v>1</v>
      </c>
      <c r="H868" t="s">
        <v>2263</v>
      </c>
      <c r="I868" t="s">
        <v>211</v>
      </c>
      <c r="J868" t="s">
        <v>212</v>
      </c>
    </row>
    <row r="869" spans="1:10" x14ac:dyDescent="0.3">
      <c r="A869" t="s">
        <v>2726</v>
      </c>
      <c r="B869" t="s">
        <v>840</v>
      </c>
      <c r="C869" t="s">
        <v>2225</v>
      </c>
      <c r="D869" t="s">
        <v>324</v>
      </c>
      <c r="E869" t="s">
        <v>325</v>
      </c>
      <c r="F869">
        <v>1</v>
      </c>
      <c r="G869">
        <v>1</v>
      </c>
      <c r="H869" t="s">
        <v>2251</v>
      </c>
      <c r="I869" t="s">
        <v>211</v>
      </c>
      <c r="J869" t="s">
        <v>212</v>
      </c>
    </row>
    <row r="870" spans="1:10" x14ac:dyDescent="0.3">
      <c r="A870" t="s">
        <v>2727</v>
      </c>
      <c r="B870" t="s">
        <v>840</v>
      </c>
      <c r="C870" t="s">
        <v>2230</v>
      </c>
      <c r="D870" t="s">
        <v>324</v>
      </c>
      <c r="E870" t="s">
        <v>325</v>
      </c>
      <c r="F870">
        <v>1</v>
      </c>
      <c r="G870">
        <v>1</v>
      </c>
      <c r="H870" t="s">
        <v>2253</v>
      </c>
      <c r="I870" t="s">
        <v>211</v>
      </c>
      <c r="J870" t="s">
        <v>212</v>
      </c>
    </row>
    <row r="871" spans="1:10" x14ac:dyDescent="0.3">
      <c r="A871" t="s">
        <v>2728</v>
      </c>
      <c r="B871" t="s">
        <v>840</v>
      </c>
      <c r="C871" t="s">
        <v>2233</v>
      </c>
      <c r="D871" t="s">
        <v>324</v>
      </c>
      <c r="E871" t="s">
        <v>325</v>
      </c>
      <c r="F871">
        <v>1</v>
      </c>
      <c r="G871">
        <v>1</v>
      </c>
      <c r="H871" t="s">
        <v>2255</v>
      </c>
      <c r="I871" t="s">
        <v>211</v>
      </c>
      <c r="J871" t="s">
        <v>212</v>
      </c>
    </row>
    <row r="872" spans="1:10" x14ac:dyDescent="0.3">
      <c r="A872" t="s">
        <v>2729</v>
      </c>
      <c r="B872" t="s">
        <v>840</v>
      </c>
      <c r="C872" t="s">
        <v>2237</v>
      </c>
      <c r="D872" t="s">
        <v>324</v>
      </c>
      <c r="E872" t="s">
        <v>325</v>
      </c>
      <c r="F872">
        <v>1</v>
      </c>
      <c r="G872">
        <v>1</v>
      </c>
      <c r="H872" t="s">
        <v>2257</v>
      </c>
      <c r="I872" t="s">
        <v>211</v>
      </c>
      <c r="J872" t="s">
        <v>212</v>
      </c>
    </row>
    <row r="873" spans="1:10" x14ac:dyDescent="0.3">
      <c r="A873" t="s">
        <v>2730</v>
      </c>
      <c r="B873" t="s">
        <v>840</v>
      </c>
      <c r="C873" t="s">
        <v>2241</v>
      </c>
      <c r="D873" t="s">
        <v>324</v>
      </c>
      <c r="E873" t="s">
        <v>325</v>
      </c>
      <c r="F873">
        <v>1</v>
      </c>
      <c r="G873">
        <v>1</v>
      </c>
      <c r="H873" t="s">
        <v>2259</v>
      </c>
      <c r="I873" t="s">
        <v>211</v>
      </c>
      <c r="J873" t="s">
        <v>212</v>
      </c>
    </row>
    <row r="874" spans="1:10" x14ac:dyDescent="0.3">
      <c r="A874" t="s">
        <v>2731</v>
      </c>
      <c r="B874" t="s">
        <v>840</v>
      </c>
      <c r="C874" t="s">
        <v>2244</v>
      </c>
      <c r="D874" t="s">
        <v>324</v>
      </c>
      <c r="E874" t="s">
        <v>325</v>
      </c>
      <c r="F874">
        <v>1</v>
      </c>
      <c r="G874">
        <v>1</v>
      </c>
      <c r="H874" t="s">
        <v>2261</v>
      </c>
      <c r="I874" t="s">
        <v>211</v>
      </c>
      <c r="J874" t="s">
        <v>212</v>
      </c>
    </row>
    <row r="875" spans="1:10" x14ac:dyDescent="0.3">
      <c r="A875" t="s">
        <v>2732</v>
      </c>
      <c r="B875" t="s">
        <v>840</v>
      </c>
      <c r="C875" t="s">
        <v>2247</v>
      </c>
      <c r="D875" t="s">
        <v>324</v>
      </c>
      <c r="E875" t="s">
        <v>325</v>
      </c>
      <c r="F875">
        <v>1</v>
      </c>
      <c r="G875">
        <v>1</v>
      </c>
      <c r="H875" t="s">
        <v>2263</v>
      </c>
      <c r="I875" t="s">
        <v>211</v>
      </c>
      <c r="J875" t="s">
        <v>212</v>
      </c>
    </row>
    <row r="876" spans="1:10" x14ac:dyDescent="0.3">
      <c r="A876" t="s">
        <v>2733</v>
      </c>
      <c r="B876" t="s">
        <v>843</v>
      </c>
      <c r="C876" t="s">
        <v>2225</v>
      </c>
      <c r="D876" t="s">
        <v>324</v>
      </c>
      <c r="E876" t="s">
        <v>325</v>
      </c>
      <c r="F876">
        <v>1</v>
      </c>
      <c r="G876">
        <v>1</v>
      </c>
      <c r="H876" t="s">
        <v>2251</v>
      </c>
      <c r="I876" t="s">
        <v>211</v>
      </c>
      <c r="J876" t="s">
        <v>212</v>
      </c>
    </row>
    <row r="877" spans="1:10" x14ac:dyDescent="0.3">
      <c r="A877" t="s">
        <v>2734</v>
      </c>
      <c r="B877" t="s">
        <v>843</v>
      </c>
      <c r="C877" t="s">
        <v>2230</v>
      </c>
      <c r="D877" t="s">
        <v>324</v>
      </c>
      <c r="E877" t="s">
        <v>325</v>
      </c>
      <c r="F877">
        <v>1</v>
      </c>
      <c r="G877">
        <v>1</v>
      </c>
      <c r="H877" t="s">
        <v>2253</v>
      </c>
      <c r="I877" t="s">
        <v>211</v>
      </c>
      <c r="J877" t="s">
        <v>212</v>
      </c>
    </row>
    <row r="878" spans="1:10" x14ac:dyDescent="0.3">
      <c r="A878" t="s">
        <v>2735</v>
      </c>
      <c r="B878" t="s">
        <v>843</v>
      </c>
      <c r="C878" t="s">
        <v>2233</v>
      </c>
      <c r="D878" t="s">
        <v>324</v>
      </c>
      <c r="E878" t="s">
        <v>325</v>
      </c>
      <c r="F878">
        <v>1</v>
      </c>
      <c r="G878">
        <v>1</v>
      </c>
      <c r="H878" t="s">
        <v>2255</v>
      </c>
      <c r="I878" t="s">
        <v>211</v>
      </c>
      <c r="J878" t="s">
        <v>212</v>
      </c>
    </row>
    <row r="879" spans="1:10" x14ac:dyDescent="0.3">
      <c r="A879" t="s">
        <v>2736</v>
      </c>
      <c r="B879" t="s">
        <v>843</v>
      </c>
      <c r="C879" t="s">
        <v>2237</v>
      </c>
      <c r="D879" t="s">
        <v>324</v>
      </c>
      <c r="E879" t="s">
        <v>325</v>
      </c>
      <c r="F879">
        <v>1</v>
      </c>
      <c r="G879">
        <v>1</v>
      </c>
      <c r="H879" t="s">
        <v>2257</v>
      </c>
      <c r="I879" t="s">
        <v>211</v>
      </c>
      <c r="J879" t="s">
        <v>212</v>
      </c>
    </row>
    <row r="880" spans="1:10" x14ac:dyDescent="0.3">
      <c r="A880" t="s">
        <v>2737</v>
      </c>
      <c r="B880" t="s">
        <v>843</v>
      </c>
      <c r="C880" t="s">
        <v>2241</v>
      </c>
      <c r="D880" t="s">
        <v>324</v>
      </c>
      <c r="E880" t="s">
        <v>325</v>
      </c>
      <c r="F880">
        <v>1</v>
      </c>
      <c r="G880">
        <v>1</v>
      </c>
      <c r="H880" t="s">
        <v>2259</v>
      </c>
      <c r="I880" t="s">
        <v>211</v>
      </c>
      <c r="J880" t="s">
        <v>212</v>
      </c>
    </row>
    <row r="881" spans="1:10" x14ac:dyDescent="0.3">
      <c r="A881" t="s">
        <v>2738</v>
      </c>
      <c r="B881" t="s">
        <v>843</v>
      </c>
      <c r="C881" t="s">
        <v>2244</v>
      </c>
      <c r="D881" t="s">
        <v>324</v>
      </c>
      <c r="E881" t="s">
        <v>325</v>
      </c>
      <c r="F881">
        <v>1</v>
      </c>
      <c r="G881">
        <v>1</v>
      </c>
      <c r="H881" t="s">
        <v>2261</v>
      </c>
      <c r="I881" t="s">
        <v>211</v>
      </c>
      <c r="J881" t="s">
        <v>212</v>
      </c>
    </row>
    <row r="882" spans="1:10" x14ac:dyDescent="0.3">
      <c r="A882" t="s">
        <v>2739</v>
      </c>
      <c r="B882" t="s">
        <v>843</v>
      </c>
      <c r="C882" t="s">
        <v>2247</v>
      </c>
      <c r="D882" t="s">
        <v>324</v>
      </c>
      <c r="E882" t="s">
        <v>325</v>
      </c>
      <c r="F882">
        <v>1</v>
      </c>
      <c r="G882">
        <v>1</v>
      </c>
      <c r="H882" t="s">
        <v>2263</v>
      </c>
      <c r="I882" t="s">
        <v>211</v>
      </c>
      <c r="J882" t="s">
        <v>212</v>
      </c>
    </row>
    <row r="883" spans="1:10" x14ac:dyDescent="0.3">
      <c r="A883" t="s">
        <v>2740</v>
      </c>
      <c r="B883" t="s">
        <v>846</v>
      </c>
      <c r="C883" t="s">
        <v>2225</v>
      </c>
      <c r="D883" t="s">
        <v>324</v>
      </c>
      <c r="E883" t="s">
        <v>325</v>
      </c>
      <c r="F883">
        <v>1</v>
      </c>
      <c r="G883">
        <v>1</v>
      </c>
      <c r="H883" t="s">
        <v>2251</v>
      </c>
      <c r="I883" t="s">
        <v>211</v>
      </c>
      <c r="J883" t="s">
        <v>212</v>
      </c>
    </row>
    <row r="884" spans="1:10" x14ac:dyDescent="0.3">
      <c r="A884" t="s">
        <v>2741</v>
      </c>
      <c r="B884" t="s">
        <v>846</v>
      </c>
      <c r="C884" t="s">
        <v>2230</v>
      </c>
      <c r="D884" t="s">
        <v>324</v>
      </c>
      <c r="E884" t="s">
        <v>325</v>
      </c>
      <c r="F884">
        <v>1</v>
      </c>
      <c r="G884">
        <v>1</v>
      </c>
      <c r="H884" t="s">
        <v>2253</v>
      </c>
      <c r="I884" t="s">
        <v>211</v>
      </c>
      <c r="J884" t="s">
        <v>212</v>
      </c>
    </row>
    <row r="885" spans="1:10" x14ac:dyDescent="0.3">
      <c r="A885" t="s">
        <v>2742</v>
      </c>
      <c r="B885" t="s">
        <v>846</v>
      </c>
      <c r="C885" t="s">
        <v>2233</v>
      </c>
      <c r="D885" t="s">
        <v>324</v>
      </c>
      <c r="E885" t="s">
        <v>325</v>
      </c>
      <c r="F885">
        <v>1</v>
      </c>
      <c r="G885">
        <v>1</v>
      </c>
      <c r="H885" t="s">
        <v>2255</v>
      </c>
      <c r="I885" t="s">
        <v>211</v>
      </c>
      <c r="J885" t="s">
        <v>212</v>
      </c>
    </row>
    <row r="886" spans="1:10" x14ac:dyDescent="0.3">
      <c r="A886" t="s">
        <v>2743</v>
      </c>
      <c r="B886" t="s">
        <v>846</v>
      </c>
      <c r="C886" t="s">
        <v>2237</v>
      </c>
      <c r="D886" t="s">
        <v>324</v>
      </c>
      <c r="E886" t="s">
        <v>325</v>
      </c>
      <c r="F886">
        <v>1</v>
      </c>
      <c r="G886">
        <v>1</v>
      </c>
      <c r="H886" t="s">
        <v>2257</v>
      </c>
      <c r="I886" t="s">
        <v>211</v>
      </c>
      <c r="J886" t="s">
        <v>212</v>
      </c>
    </row>
    <row r="887" spans="1:10" x14ac:dyDescent="0.3">
      <c r="A887" t="s">
        <v>2744</v>
      </c>
      <c r="B887" t="s">
        <v>846</v>
      </c>
      <c r="C887" t="s">
        <v>2241</v>
      </c>
      <c r="D887" t="s">
        <v>324</v>
      </c>
      <c r="E887" t="s">
        <v>325</v>
      </c>
      <c r="F887">
        <v>1</v>
      </c>
      <c r="G887">
        <v>1</v>
      </c>
      <c r="H887" t="s">
        <v>2259</v>
      </c>
      <c r="I887" t="s">
        <v>211</v>
      </c>
      <c r="J887" t="s">
        <v>212</v>
      </c>
    </row>
    <row r="888" spans="1:10" x14ac:dyDescent="0.3">
      <c r="A888" t="s">
        <v>2745</v>
      </c>
      <c r="B888" t="s">
        <v>846</v>
      </c>
      <c r="C888" t="s">
        <v>2244</v>
      </c>
      <c r="D888" t="s">
        <v>324</v>
      </c>
      <c r="E888" t="s">
        <v>325</v>
      </c>
      <c r="F888">
        <v>1</v>
      </c>
      <c r="G888">
        <v>1</v>
      </c>
      <c r="H888" t="s">
        <v>2261</v>
      </c>
      <c r="I888" t="s">
        <v>211</v>
      </c>
      <c r="J888" t="s">
        <v>212</v>
      </c>
    </row>
    <row r="889" spans="1:10" x14ac:dyDescent="0.3">
      <c r="A889" t="s">
        <v>2746</v>
      </c>
      <c r="B889" t="s">
        <v>846</v>
      </c>
      <c r="C889" t="s">
        <v>2247</v>
      </c>
      <c r="D889" t="s">
        <v>324</v>
      </c>
      <c r="E889" t="s">
        <v>325</v>
      </c>
      <c r="F889">
        <v>1</v>
      </c>
      <c r="G889">
        <v>1</v>
      </c>
      <c r="H889" t="s">
        <v>2263</v>
      </c>
      <c r="I889" t="s">
        <v>211</v>
      </c>
      <c r="J889" t="s">
        <v>212</v>
      </c>
    </row>
    <row r="890" spans="1:10" x14ac:dyDescent="0.3">
      <c r="A890" t="s">
        <v>2747</v>
      </c>
      <c r="B890" t="s">
        <v>849</v>
      </c>
      <c r="C890" t="s">
        <v>2225</v>
      </c>
      <c r="D890" t="s">
        <v>324</v>
      </c>
      <c r="E890" t="s">
        <v>325</v>
      </c>
      <c r="F890">
        <v>1</v>
      </c>
      <c r="G890">
        <v>1</v>
      </c>
      <c r="H890" t="s">
        <v>2251</v>
      </c>
      <c r="I890" t="s">
        <v>211</v>
      </c>
      <c r="J890" t="s">
        <v>212</v>
      </c>
    </row>
    <row r="891" spans="1:10" x14ac:dyDescent="0.3">
      <c r="A891" t="s">
        <v>2748</v>
      </c>
      <c r="B891" t="s">
        <v>849</v>
      </c>
      <c r="C891" t="s">
        <v>2230</v>
      </c>
      <c r="D891" t="s">
        <v>324</v>
      </c>
      <c r="E891" t="s">
        <v>325</v>
      </c>
      <c r="F891">
        <v>1</v>
      </c>
      <c r="G891">
        <v>1</v>
      </c>
      <c r="H891" t="s">
        <v>2253</v>
      </c>
      <c r="I891" t="s">
        <v>211</v>
      </c>
      <c r="J891" t="s">
        <v>212</v>
      </c>
    </row>
    <row r="892" spans="1:10" x14ac:dyDescent="0.3">
      <c r="A892" t="s">
        <v>2749</v>
      </c>
      <c r="B892" t="s">
        <v>849</v>
      </c>
      <c r="C892" t="s">
        <v>2233</v>
      </c>
      <c r="D892" t="s">
        <v>324</v>
      </c>
      <c r="E892" t="s">
        <v>325</v>
      </c>
      <c r="F892">
        <v>1</v>
      </c>
      <c r="G892">
        <v>1</v>
      </c>
      <c r="H892" t="s">
        <v>2255</v>
      </c>
      <c r="I892" t="s">
        <v>211</v>
      </c>
      <c r="J892" t="s">
        <v>212</v>
      </c>
    </row>
    <row r="893" spans="1:10" x14ac:dyDescent="0.3">
      <c r="A893" t="s">
        <v>2750</v>
      </c>
      <c r="B893" t="s">
        <v>849</v>
      </c>
      <c r="C893" t="s">
        <v>2237</v>
      </c>
      <c r="D893" t="s">
        <v>324</v>
      </c>
      <c r="E893" t="s">
        <v>325</v>
      </c>
      <c r="F893">
        <v>1</v>
      </c>
      <c r="G893">
        <v>1</v>
      </c>
      <c r="H893" t="s">
        <v>2257</v>
      </c>
      <c r="I893" t="s">
        <v>211</v>
      </c>
      <c r="J893" t="s">
        <v>212</v>
      </c>
    </row>
    <row r="894" spans="1:10" x14ac:dyDescent="0.3">
      <c r="A894" t="s">
        <v>2751</v>
      </c>
      <c r="B894" t="s">
        <v>849</v>
      </c>
      <c r="C894" t="s">
        <v>2241</v>
      </c>
      <c r="D894" t="s">
        <v>324</v>
      </c>
      <c r="E894" t="s">
        <v>325</v>
      </c>
      <c r="F894">
        <v>1</v>
      </c>
      <c r="G894">
        <v>1</v>
      </c>
      <c r="H894" t="s">
        <v>2259</v>
      </c>
      <c r="I894" t="s">
        <v>211</v>
      </c>
      <c r="J894" t="s">
        <v>212</v>
      </c>
    </row>
    <row r="895" spans="1:10" x14ac:dyDescent="0.3">
      <c r="A895" t="s">
        <v>2752</v>
      </c>
      <c r="B895" t="s">
        <v>849</v>
      </c>
      <c r="C895" t="s">
        <v>2244</v>
      </c>
      <c r="D895" t="s">
        <v>324</v>
      </c>
      <c r="E895" t="s">
        <v>325</v>
      </c>
      <c r="F895">
        <v>1</v>
      </c>
      <c r="G895">
        <v>1</v>
      </c>
      <c r="H895" t="s">
        <v>2261</v>
      </c>
      <c r="I895" t="s">
        <v>211</v>
      </c>
      <c r="J895" t="s">
        <v>212</v>
      </c>
    </row>
    <row r="896" spans="1:10" x14ac:dyDescent="0.3">
      <c r="A896" t="s">
        <v>2753</v>
      </c>
      <c r="B896" t="s">
        <v>849</v>
      </c>
      <c r="C896" t="s">
        <v>2247</v>
      </c>
      <c r="D896" t="s">
        <v>324</v>
      </c>
      <c r="E896" t="s">
        <v>325</v>
      </c>
      <c r="F896">
        <v>1</v>
      </c>
      <c r="G896">
        <v>1</v>
      </c>
      <c r="H896" t="s">
        <v>2263</v>
      </c>
      <c r="I896" t="s">
        <v>211</v>
      </c>
      <c r="J896" t="s">
        <v>212</v>
      </c>
    </row>
    <row r="897" spans="1:10" x14ac:dyDescent="0.3">
      <c r="A897" t="s">
        <v>2754</v>
      </c>
      <c r="B897" t="s">
        <v>855</v>
      </c>
      <c r="C897" t="s">
        <v>2225</v>
      </c>
      <c r="D897" t="s">
        <v>324</v>
      </c>
      <c r="E897" t="s">
        <v>325</v>
      </c>
      <c r="F897">
        <v>1</v>
      </c>
      <c r="G897">
        <v>1</v>
      </c>
      <c r="H897" t="s">
        <v>2251</v>
      </c>
      <c r="I897" t="s">
        <v>211</v>
      </c>
      <c r="J897" t="s">
        <v>212</v>
      </c>
    </row>
    <row r="898" spans="1:10" x14ac:dyDescent="0.3">
      <c r="A898" t="s">
        <v>2755</v>
      </c>
      <c r="B898" t="s">
        <v>855</v>
      </c>
      <c r="C898" t="s">
        <v>2230</v>
      </c>
      <c r="D898" t="s">
        <v>324</v>
      </c>
      <c r="E898" t="s">
        <v>325</v>
      </c>
      <c r="F898">
        <v>1</v>
      </c>
      <c r="G898">
        <v>1</v>
      </c>
      <c r="H898" t="s">
        <v>2253</v>
      </c>
      <c r="I898" t="s">
        <v>211</v>
      </c>
      <c r="J898" t="s">
        <v>212</v>
      </c>
    </row>
    <row r="899" spans="1:10" x14ac:dyDescent="0.3">
      <c r="A899" t="s">
        <v>2756</v>
      </c>
      <c r="B899" t="s">
        <v>855</v>
      </c>
      <c r="C899" t="s">
        <v>2233</v>
      </c>
      <c r="D899" t="s">
        <v>324</v>
      </c>
      <c r="E899" t="s">
        <v>325</v>
      </c>
      <c r="F899">
        <v>1</v>
      </c>
      <c r="G899">
        <v>1</v>
      </c>
      <c r="H899" t="s">
        <v>2255</v>
      </c>
      <c r="I899" t="s">
        <v>211</v>
      </c>
      <c r="J899" t="s">
        <v>212</v>
      </c>
    </row>
    <row r="900" spans="1:10" x14ac:dyDescent="0.3">
      <c r="A900" t="s">
        <v>2757</v>
      </c>
      <c r="B900" t="s">
        <v>855</v>
      </c>
      <c r="C900" t="s">
        <v>2237</v>
      </c>
      <c r="D900" t="s">
        <v>324</v>
      </c>
      <c r="E900" t="s">
        <v>325</v>
      </c>
      <c r="F900">
        <v>1</v>
      </c>
      <c r="G900">
        <v>1</v>
      </c>
      <c r="H900" t="s">
        <v>2257</v>
      </c>
      <c r="I900" t="s">
        <v>211</v>
      </c>
      <c r="J900" t="s">
        <v>212</v>
      </c>
    </row>
    <row r="901" spans="1:10" x14ac:dyDescent="0.3">
      <c r="A901" t="s">
        <v>2758</v>
      </c>
      <c r="B901" t="s">
        <v>855</v>
      </c>
      <c r="C901" t="s">
        <v>2241</v>
      </c>
      <c r="D901" t="s">
        <v>324</v>
      </c>
      <c r="E901" t="s">
        <v>325</v>
      </c>
      <c r="F901">
        <v>1</v>
      </c>
      <c r="G901">
        <v>1</v>
      </c>
      <c r="H901" t="s">
        <v>2259</v>
      </c>
      <c r="I901" t="s">
        <v>211</v>
      </c>
      <c r="J901" t="s">
        <v>212</v>
      </c>
    </row>
    <row r="902" spans="1:10" x14ac:dyDescent="0.3">
      <c r="A902" t="s">
        <v>2759</v>
      </c>
      <c r="B902" t="s">
        <v>855</v>
      </c>
      <c r="C902" t="s">
        <v>2244</v>
      </c>
      <c r="D902" t="s">
        <v>324</v>
      </c>
      <c r="E902" t="s">
        <v>325</v>
      </c>
      <c r="F902">
        <v>1</v>
      </c>
      <c r="G902">
        <v>1</v>
      </c>
      <c r="H902" t="s">
        <v>2261</v>
      </c>
      <c r="I902" t="s">
        <v>211</v>
      </c>
      <c r="J902" t="s">
        <v>212</v>
      </c>
    </row>
    <row r="903" spans="1:10" x14ac:dyDescent="0.3">
      <c r="A903" t="s">
        <v>2760</v>
      </c>
      <c r="B903" t="s">
        <v>855</v>
      </c>
      <c r="C903" t="s">
        <v>2247</v>
      </c>
      <c r="D903" t="s">
        <v>324</v>
      </c>
      <c r="E903" t="s">
        <v>325</v>
      </c>
      <c r="F903">
        <v>1</v>
      </c>
      <c r="G903">
        <v>1</v>
      </c>
      <c r="H903" t="s">
        <v>2263</v>
      </c>
      <c r="I903" t="s">
        <v>211</v>
      </c>
      <c r="J903" t="s">
        <v>212</v>
      </c>
    </row>
    <row r="904" spans="1:10" x14ac:dyDescent="0.3">
      <c r="A904" t="s">
        <v>2761</v>
      </c>
      <c r="B904" t="s">
        <v>858</v>
      </c>
      <c r="C904" t="s">
        <v>2225</v>
      </c>
      <c r="D904" t="s">
        <v>324</v>
      </c>
      <c r="E904" t="s">
        <v>325</v>
      </c>
      <c r="F904">
        <v>1</v>
      </c>
      <c r="G904">
        <v>1</v>
      </c>
      <c r="H904" t="s">
        <v>2251</v>
      </c>
      <c r="I904" t="s">
        <v>211</v>
      </c>
      <c r="J904" t="s">
        <v>212</v>
      </c>
    </row>
    <row r="905" spans="1:10" x14ac:dyDescent="0.3">
      <c r="A905" t="s">
        <v>2762</v>
      </c>
      <c r="B905" t="s">
        <v>858</v>
      </c>
      <c r="C905" t="s">
        <v>2230</v>
      </c>
      <c r="D905" t="s">
        <v>324</v>
      </c>
      <c r="E905" t="s">
        <v>325</v>
      </c>
      <c r="F905">
        <v>1</v>
      </c>
      <c r="G905">
        <v>1</v>
      </c>
      <c r="H905" t="s">
        <v>2253</v>
      </c>
      <c r="I905" t="s">
        <v>211</v>
      </c>
      <c r="J905" t="s">
        <v>212</v>
      </c>
    </row>
    <row r="906" spans="1:10" x14ac:dyDescent="0.3">
      <c r="A906" t="s">
        <v>2763</v>
      </c>
      <c r="B906" t="s">
        <v>858</v>
      </c>
      <c r="C906" t="s">
        <v>2233</v>
      </c>
      <c r="D906" t="s">
        <v>324</v>
      </c>
      <c r="E906" t="s">
        <v>325</v>
      </c>
      <c r="F906">
        <v>1</v>
      </c>
      <c r="G906">
        <v>1</v>
      </c>
      <c r="H906" t="s">
        <v>2255</v>
      </c>
      <c r="I906" t="s">
        <v>211</v>
      </c>
      <c r="J906" t="s">
        <v>212</v>
      </c>
    </row>
    <row r="907" spans="1:10" x14ac:dyDescent="0.3">
      <c r="A907" t="s">
        <v>2764</v>
      </c>
      <c r="B907" t="s">
        <v>858</v>
      </c>
      <c r="C907" t="s">
        <v>2237</v>
      </c>
      <c r="D907" t="s">
        <v>324</v>
      </c>
      <c r="E907" t="s">
        <v>325</v>
      </c>
      <c r="F907">
        <v>1</v>
      </c>
      <c r="G907">
        <v>1</v>
      </c>
      <c r="H907" t="s">
        <v>2257</v>
      </c>
      <c r="I907" t="s">
        <v>211</v>
      </c>
      <c r="J907" t="s">
        <v>212</v>
      </c>
    </row>
    <row r="908" spans="1:10" x14ac:dyDescent="0.3">
      <c r="A908" t="s">
        <v>2765</v>
      </c>
      <c r="B908" t="s">
        <v>858</v>
      </c>
      <c r="C908" t="s">
        <v>2241</v>
      </c>
      <c r="D908" t="s">
        <v>324</v>
      </c>
      <c r="E908" t="s">
        <v>325</v>
      </c>
      <c r="F908">
        <v>1</v>
      </c>
      <c r="G908">
        <v>1</v>
      </c>
      <c r="H908" t="s">
        <v>2259</v>
      </c>
      <c r="I908" t="s">
        <v>211</v>
      </c>
      <c r="J908" t="s">
        <v>212</v>
      </c>
    </row>
    <row r="909" spans="1:10" x14ac:dyDescent="0.3">
      <c r="A909" t="s">
        <v>2766</v>
      </c>
      <c r="B909" t="s">
        <v>858</v>
      </c>
      <c r="C909" t="s">
        <v>2244</v>
      </c>
      <c r="D909" t="s">
        <v>324</v>
      </c>
      <c r="E909" t="s">
        <v>325</v>
      </c>
      <c r="F909">
        <v>1</v>
      </c>
      <c r="G909">
        <v>1</v>
      </c>
      <c r="H909" t="s">
        <v>2261</v>
      </c>
      <c r="I909" t="s">
        <v>211</v>
      </c>
      <c r="J909" t="s">
        <v>212</v>
      </c>
    </row>
    <row r="910" spans="1:10" x14ac:dyDescent="0.3">
      <c r="A910" t="s">
        <v>2767</v>
      </c>
      <c r="B910" t="s">
        <v>858</v>
      </c>
      <c r="C910" t="s">
        <v>2247</v>
      </c>
      <c r="D910" t="s">
        <v>324</v>
      </c>
      <c r="E910" t="s">
        <v>325</v>
      </c>
      <c r="F910">
        <v>1</v>
      </c>
      <c r="G910">
        <v>1</v>
      </c>
      <c r="H910" t="s">
        <v>2263</v>
      </c>
      <c r="I910" t="s">
        <v>211</v>
      </c>
      <c r="J910" t="s">
        <v>212</v>
      </c>
    </row>
    <row r="911" spans="1:10" x14ac:dyDescent="0.3">
      <c r="A911" t="s">
        <v>2768</v>
      </c>
      <c r="B911" t="s">
        <v>862</v>
      </c>
      <c r="C911" t="s">
        <v>2225</v>
      </c>
      <c r="D911" t="s">
        <v>324</v>
      </c>
      <c r="E911" t="s">
        <v>325</v>
      </c>
      <c r="F911">
        <v>1</v>
      </c>
      <c r="G911">
        <v>1</v>
      </c>
      <c r="H911" t="s">
        <v>2251</v>
      </c>
      <c r="I911" t="s">
        <v>211</v>
      </c>
      <c r="J911" t="s">
        <v>212</v>
      </c>
    </row>
    <row r="912" spans="1:10" x14ac:dyDescent="0.3">
      <c r="A912" t="s">
        <v>2769</v>
      </c>
      <c r="B912" t="s">
        <v>862</v>
      </c>
      <c r="C912" t="s">
        <v>2230</v>
      </c>
      <c r="D912" t="s">
        <v>324</v>
      </c>
      <c r="E912" t="s">
        <v>325</v>
      </c>
      <c r="F912">
        <v>1</v>
      </c>
      <c r="G912">
        <v>1</v>
      </c>
      <c r="H912" t="s">
        <v>2253</v>
      </c>
      <c r="I912" t="s">
        <v>211</v>
      </c>
      <c r="J912" t="s">
        <v>212</v>
      </c>
    </row>
    <row r="913" spans="1:10" x14ac:dyDescent="0.3">
      <c r="A913" t="s">
        <v>2770</v>
      </c>
      <c r="B913" t="s">
        <v>862</v>
      </c>
      <c r="C913" t="s">
        <v>2233</v>
      </c>
      <c r="D913" t="s">
        <v>324</v>
      </c>
      <c r="E913" t="s">
        <v>325</v>
      </c>
      <c r="F913">
        <v>1</v>
      </c>
      <c r="G913">
        <v>1</v>
      </c>
      <c r="H913" t="s">
        <v>2255</v>
      </c>
      <c r="I913" t="s">
        <v>211</v>
      </c>
      <c r="J913" t="s">
        <v>212</v>
      </c>
    </row>
    <row r="914" spans="1:10" x14ac:dyDescent="0.3">
      <c r="A914" t="s">
        <v>2771</v>
      </c>
      <c r="B914" t="s">
        <v>862</v>
      </c>
      <c r="C914" t="s">
        <v>2237</v>
      </c>
      <c r="D914" t="s">
        <v>324</v>
      </c>
      <c r="E914" t="s">
        <v>325</v>
      </c>
      <c r="F914">
        <v>1</v>
      </c>
      <c r="G914">
        <v>1</v>
      </c>
      <c r="H914" t="s">
        <v>2257</v>
      </c>
      <c r="I914" t="s">
        <v>211</v>
      </c>
      <c r="J914" t="s">
        <v>212</v>
      </c>
    </row>
    <row r="915" spans="1:10" x14ac:dyDescent="0.3">
      <c r="A915" t="s">
        <v>2772</v>
      </c>
      <c r="B915" t="s">
        <v>862</v>
      </c>
      <c r="C915" t="s">
        <v>2241</v>
      </c>
      <c r="D915" t="s">
        <v>324</v>
      </c>
      <c r="E915" t="s">
        <v>325</v>
      </c>
      <c r="F915">
        <v>1</v>
      </c>
      <c r="G915">
        <v>1</v>
      </c>
      <c r="H915" t="s">
        <v>2259</v>
      </c>
      <c r="I915" t="s">
        <v>211</v>
      </c>
      <c r="J915" t="s">
        <v>212</v>
      </c>
    </row>
    <row r="916" spans="1:10" x14ac:dyDescent="0.3">
      <c r="A916" t="s">
        <v>2773</v>
      </c>
      <c r="B916" t="s">
        <v>862</v>
      </c>
      <c r="C916" t="s">
        <v>2244</v>
      </c>
      <c r="D916" t="s">
        <v>324</v>
      </c>
      <c r="E916" t="s">
        <v>325</v>
      </c>
      <c r="F916">
        <v>1</v>
      </c>
      <c r="G916">
        <v>1</v>
      </c>
      <c r="H916" t="s">
        <v>2261</v>
      </c>
      <c r="I916" t="s">
        <v>211</v>
      </c>
      <c r="J916" t="s">
        <v>212</v>
      </c>
    </row>
    <row r="917" spans="1:10" x14ac:dyDescent="0.3">
      <c r="A917" t="s">
        <v>2774</v>
      </c>
      <c r="B917" t="s">
        <v>862</v>
      </c>
      <c r="C917" t="s">
        <v>2247</v>
      </c>
      <c r="D917" t="s">
        <v>324</v>
      </c>
      <c r="E917" t="s">
        <v>325</v>
      </c>
      <c r="F917">
        <v>1</v>
      </c>
      <c r="G917">
        <v>1</v>
      </c>
      <c r="H917" t="s">
        <v>2263</v>
      </c>
      <c r="I917" t="s">
        <v>211</v>
      </c>
      <c r="J917" t="s">
        <v>212</v>
      </c>
    </row>
    <row r="918" spans="1:10" x14ac:dyDescent="0.3">
      <c r="A918" t="s">
        <v>2775</v>
      </c>
      <c r="B918" t="s">
        <v>865</v>
      </c>
      <c r="C918" t="s">
        <v>2225</v>
      </c>
      <c r="D918" t="s">
        <v>324</v>
      </c>
      <c r="E918" t="s">
        <v>325</v>
      </c>
      <c r="F918">
        <v>1</v>
      </c>
      <c r="G918">
        <v>1</v>
      </c>
      <c r="H918" t="s">
        <v>2251</v>
      </c>
      <c r="I918" t="s">
        <v>211</v>
      </c>
      <c r="J918" t="s">
        <v>212</v>
      </c>
    </row>
    <row r="919" spans="1:10" x14ac:dyDescent="0.3">
      <c r="A919" t="s">
        <v>2776</v>
      </c>
      <c r="B919" t="s">
        <v>865</v>
      </c>
      <c r="C919" t="s">
        <v>2230</v>
      </c>
      <c r="D919" t="s">
        <v>324</v>
      </c>
      <c r="E919" t="s">
        <v>325</v>
      </c>
      <c r="F919">
        <v>1</v>
      </c>
      <c r="G919">
        <v>1</v>
      </c>
      <c r="H919" t="s">
        <v>2253</v>
      </c>
      <c r="I919" t="s">
        <v>211</v>
      </c>
      <c r="J919" t="s">
        <v>212</v>
      </c>
    </row>
    <row r="920" spans="1:10" x14ac:dyDescent="0.3">
      <c r="A920" t="s">
        <v>2777</v>
      </c>
      <c r="B920" t="s">
        <v>865</v>
      </c>
      <c r="C920" t="s">
        <v>2233</v>
      </c>
      <c r="D920" t="s">
        <v>324</v>
      </c>
      <c r="E920" t="s">
        <v>325</v>
      </c>
      <c r="F920">
        <v>1</v>
      </c>
      <c r="G920">
        <v>1</v>
      </c>
      <c r="H920" t="s">
        <v>2255</v>
      </c>
      <c r="I920" t="s">
        <v>211</v>
      </c>
      <c r="J920" t="s">
        <v>212</v>
      </c>
    </row>
    <row r="921" spans="1:10" x14ac:dyDescent="0.3">
      <c r="A921" t="s">
        <v>2778</v>
      </c>
      <c r="B921" t="s">
        <v>865</v>
      </c>
      <c r="C921" t="s">
        <v>2237</v>
      </c>
      <c r="D921" t="s">
        <v>324</v>
      </c>
      <c r="E921" t="s">
        <v>325</v>
      </c>
      <c r="F921">
        <v>1</v>
      </c>
      <c r="G921">
        <v>1</v>
      </c>
      <c r="H921" t="s">
        <v>2257</v>
      </c>
      <c r="I921" t="s">
        <v>211</v>
      </c>
      <c r="J921" t="s">
        <v>212</v>
      </c>
    </row>
    <row r="922" spans="1:10" x14ac:dyDescent="0.3">
      <c r="A922" t="s">
        <v>2779</v>
      </c>
      <c r="B922" t="s">
        <v>865</v>
      </c>
      <c r="C922" t="s">
        <v>2241</v>
      </c>
      <c r="D922" t="s">
        <v>324</v>
      </c>
      <c r="E922" t="s">
        <v>325</v>
      </c>
      <c r="F922">
        <v>1</v>
      </c>
      <c r="G922">
        <v>1</v>
      </c>
      <c r="H922" t="s">
        <v>2259</v>
      </c>
      <c r="I922" t="s">
        <v>211</v>
      </c>
      <c r="J922" t="s">
        <v>212</v>
      </c>
    </row>
    <row r="923" spans="1:10" x14ac:dyDescent="0.3">
      <c r="A923" t="s">
        <v>2780</v>
      </c>
      <c r="B923" t="s">
        <v>865</v>
      </c>
      <c r="C923" t="s">
        <v>2244</v>
      </c>
      <c r="D923" t="s">
        <v>324</v>
      </c>
      <c r="E923" t="s">
        <v>325</v>
      </c>
      <c r="F923">
        <v>1</v>
      </c>
      <c r="G923">
        <v>1</v>
      </c>
      <c r="H923" t="s">
        <v>2261</v>
      </c>
      <c r="I923" t="s">
        <v>211</v>
      </c>
      <c r="J923" t="s">
        <v>212</v>
      </c>
    </row>
    <row r="924" spans="1:10" x14ac:dyDescent="0.3">
      <c r="A924" t="s">
        <v>2781</v>
      </c>
      <c r="B924" t="s">
        <v>865</v>
      </c>
      <c r="C924" t="s">
        <v>2247</v>
      </c>
      <c r="D924" t="s">
        <v>324</v>
      </c>
      <c r="E924" t="s">
        <v>325</v>
      </c>
      <c r="F924">
        <v>1</v>
      </c>
      <c r="G924">
        <v>1</v>
      </c>
      <c r="H924" t="s">
        <v>2263</v>
      </c>
      <c r="I924" t="s">
        <v>211</v>
      </c>
      <c r="J924" t="s">
        <v>212</v>
      </c>
    </row>
    <row r="925" spans="1:10" x14ac:dyDescent="0.3">
      <c r="A925" t="s">
        <v>2782</v>
      </c>
      <c r="B925" t="s">
        <v>2783</v>
      </c>
      <c r="C925" t="s">
        <v>2225</v>
      </c>
      <c r="D925" t="s">
        <v>324</v>
      </c>
      <c r="E925" t="s">
        <v>325</v>
      </c>
      <c r="F925">
        <v>1</v>
      </c>
      <c r="G925">
        <v>1</v>
      </c>
      <c r="H925" t="s">
        <v>2251</v>
      </c>
      <c r="I925" t="s">
        <v>211</v>
      </c>
      <c r="J925" t="s">
        <v>212</v>
      </c>
    </row>
    <row r="926" spans="1:10" x14ac:dyDescent="0.3">
      <c r="A926" t="s">
        <v>2784</v>
      </c>
      <c r="B926" t="s">
        <v>2783</v>
      </c>
      <c r="C926" t="s">
        <v>2230</v>
      </c>
      <c r="D926" t="s">
        <v>324</v>
      </c>
      <c r="E926" t="s">
        <v>325</v>
      </c>
      <c r="F926">
        <v>1</v>
      </c>
      <c r="G926">
        <v>1</v>
      </c>
      <c r="H926" t="s">
        <v>2253</v>
      </c>
      <c r="I926" t="s">
        <v>211</v>
      </c>
      <c r="J926" t="s">
        <v>212</v>
      </c>
    </row>
    <row r="927" spans="1:10" x14ac:dyDescent="0.3">
      <c r="A927" t="s">
        <v>2785</v>
      </c>
      <c r="B927" t="s">
        <v>2783</v>
      </c>
      <c r="C927" t="s">
        <v>2233</v>
      </c>
      <c r="D927" t="s">
        <v>324</v>
      </c>
      <c r="E927" t="s">
        <v>325</v>
      </c>
      <c r="F927">
        <v>1</v>
      </c>
      <c r="G927">
        <v>1</v>
      </c>
      <c r="H927" t="s">
        <v>2255</v>
      </c>
      <c r="I927" t="s">
        <v>211</v>
      </c>
      <c r="J927" t="s">
        <v>212</v>
      </c>
    </row>
    <row r="928" spans="1:10" x14ac:dyDescent="0.3">
      <c r="A928" t="s">
        <v>2786</v>
      </c>
      <c r="B928" t="s">
        <v>2783</v>
      </c>
      <c r="C928" t="s">
        <v>2237</v>
      </c>
      <c r="D928" t="s">
        <v>324</v>
      </c>
      <c r="E928" t="s">
        <v>325</v>
      </c>
      <c r="F928">
        <v>1</v>
      </c>
      <c r="G928">
        <v>1</v>
      </c>
      <c r="H928" t="s">
        <v>2257</v>
      </c>
      <c r="I928" t="s">
        <v>211</v>
      </c>
      <c r="J928" t="s">
        <v>212</v>
      </c>
    </row>
    <row r="929" spans="1:10" x14ac:dyDescent="0.3">
      <c r="A929" t="s">
        <v>2787</v>
      </c>
      <c r="B929" t="s">
        <v>2783</v>
      </c>
      <c r="C929" t="s">
        <v>2241</v>
      </c>
      <c r="D929" t="s">
        <v>324</v>
      </c>
      <c r="E929" t="s">
        <v>325</v>
      </c>
      <c r="F929">
        <v>1</v>
      </c>
      <c r="G929">
        <v>1</v>
      </c>
      <c r="H929" t="s">
        <v>2259</v>
      </c>
      <c r="I929" t="s">
        <v>211</v>
      </c>
      <c r="J929" t="s">
        <v>212</v>
      </c>
    </row>
    <row r="930" spans="1:10" x14ac:dyDescent="0.3">
      <c r="A930" t="s">
        <v>2788</v>
      </c>
      <c r="B930" t="s">
        <v>2783</v>
      </c>
      <c r="C930" t="s">
        <v>2244</v>
      </c>
      <c r="D930" t="s">
        <v>324</v>
      </c>
      <c r="E930" t="s">
        <v>325</v>
      </c>
      <c r="F930">
        <v>1</v>
      </c>
      <c r="G930">
        <v>1</v>
      </c>
      <c r="H930" t="s">
        <v>2261</v>
      </c>
      <c r="I930" t="s">
        <v>211</v>
      </c>
      <c r="J930" t="s">
        <v>212</v>
      </c>
    </row>
    <row r="931" spans="1:10" x14ac:dyDescent="0.3">
      <c r="A931" t="s">
        <v>2789</v>
      </c>
      <c r="B931" t="s">
        <v>2783</v>
      </c>
      <c r="C931" t="s">
        <v>2247</v>
      </c>
      <c r="D931" t="s">
        <v>324</v>
      </c>
      <c r="E931" t="s">
        <v>325</v>
      </c>
      <c r="F931">
        <v>1</v>
      </c>
      <c r="G931">
        <v>1</v>
      </c>
      <c r="H931" t="s">
        <v>2263</v>
      </c>
      <c r="I931" t="s">
        <v>211</v>
      </c>
      <c r="J931" t="s">
        <v>212</v>
      </c>
    </row>
    <row r="932" spans="1:10" x14ac:dyDescent="0.3">
      <c r="A932" t="s">
        <v>2790</v>
      </c>
      <c r="B932" t="s">
        <v>2791</v>
      </c>
      <c r="C932" t="s">
        <v>2225</v>
      </c>
      <c r="D932" t="s">
        <v>324</v>
      </c>
      <c r="E932" t="s">
        <v>325</v>
      </c>
      <c r="F932">
        <v>1</v>
      </c>
      <c r="G932">
        <v>1</v>
      </c>
      <c r="H932" t="s">
        <v>2251</v>
      </c>
      <c r="I932" t="s">
        <v>211</v>
      </c>
      <c r="J932" t="s">
        <v>212</v>
      </c>
    </row>
    <row r="933" spans="1:10" x14ac:dyDescent="0.3">
      <c r="A933" t="s">
        <v>2792</v>
      </c>
      <c r="B933" t="s">
        <v>2791</v>
      </c>
      <c r="C933" t="s">
        <v>2230</v>
      </c>
      <c r="D933" t="s">
        <v>324</v>
      </c>
      <c r="E933" t="s">
        <v>325</v>
      </c>
      <c r="F933">
        <v>1</v>
      </c>
      <c r="G933">
        <v>1</v>
      </c>
      <c r="H933" t="s">
        <v>2253</v>
      </c>
      <c r="I933" t="s">
        <v>211</v>
      </c>
      <c r="J933" t="s">
        <v>212</v>
      </c>
    </row>
    <row r="934" spans="1:10" x14ac:dyDescent="0.3">
      <c r="A934" t="s">
        <v>2793</v>
      </c>
      <c r="B934" t="s">
        <v>2791</v>
      </c>
      <c r="C934" t="s">
        <v>2233</v>
      </c>
      <c r="D934" t="s">
        <v>324</v>
      </c>
      <c r="E934" t="s">
        <v>325</v>
      </c>
      <c r="F934">
        <v>1</v>
      </c>
      <c r="G934">
        <v>1</v>
      </c>
      <c r="H934" t="s">
        <v>2255</v>
      </c>
      <c r="I934" t="s">
        <v>211</v>
      </c>
      <c r="J934" t="s">
        <v>212</v>
      </c>
    </row>
    <row r="935" spans="1:10" x14ac:dyDescent="0.3">
      <c r="A935" t="s">
        <v>2794</v>
      </c>
      <c r="B935" t="s">
        <v>2791</v>
      </c>
      <c r="C935" t="s">
        <v>2237</v>
      </c>
      <c r="D935" t="s">
        <v>324</v>
      </c>
      <c r="E935" t="s">
        <v>325</v>
      </c>
      <c r="F935">
        <v>1</v>
      </c>
      <c r="G935">
        <v>1</v>
      </c>
      <c r="H935" t="s">
        <v>2257</v>
      </c>
      <c r="I935" t="s">
        <v>211</v>
      </c>
      <c r="J935" t="s">
        <v>212</v>
      </c>
    </row>
    <row r="936" spans="1:10" x14ac:dyDescent="0.3">
      <c r="A936" t="s">
        <v>2795</v>
      </c>
      <c r="B936" t="s">
        <v>2791</v>
      </c>
      <c r="C936" t="s">
        <v>2241</v>
      </c>
      <c r="D936" t="s">
        <v>324</v>
      </c>
      <c r="E936" t="s">
        <v>325</v>
      </c>
      <c r="F936">
        <v>1</v>
      </c>
      <c r="G936">
        <v>1</v>
      </c>
      <c r="H936" t="s">
        <v>2259</v>
      </c>
      <c r="I936" t="s">
        <v>211</v>
      </c>
      <c r="J936" t="s">
        <v>212</v>
      </c>
    </row>
    <row r="937" spans="1:10" x14ac:dyDescent="0.3">
      <c r="A937" t="s">
        <v>2796</v>
      </c>
      <c r="B937" t="s">
        <v>2791</v>
      </c>
      <c r="C937" t="s">
        <v>2244</v>
      </c>
      <c r="D937" t="s">
        <v>324</v>
      </c>
      <c r="E937" t="s">
        <v>325</v>
      </c>
      <c r="F937">
        <v>1</v>
      </c>
      <c r="G937">
        <v>1</v>
      </c>
      <c r="H937" t="s">
        <v>2261</v>
      </c>
      <c r="I937" t="s">
        <v>211</v>
      </c>
      <c r="J937" t="s">
        <v>212</v>
      </c>
    </row>
    <row r="938" spans="1:10" x14ac:dyDescent="0.3">
      <c r="A938" t="s">
        <v>2797</v>
      </c>
      <c r="B938" t="s">
        <v>2791</v>
      </c>
      <c r="C938" t="s">
        <v>2247</v>
      </c>
      <c r="D938" t="s">
        <v>324</v>
      </c>
      <c r="E938" t="s">
        <v>325</v>
      </c>
      <c r="F938">
        <v>1</v>
      </c>
      <c r="G938">
        <v>1</v>
      </c>
      <c r="H938" t="s">
        <v>2263</v>
      </c>
      <c r="I938" t="s">
        <v>211</v>
      </c>
      <c r="J938" t="s">
        <v>212</v>
      </c>
    </row>
    <row r="939" spans="1:10" x14ac:dyDescent="0.3">
      <c r="A939" t="s">
        <v>2798</v>
      </c>
      <c r="B939" t="s">
        <v>2799</v>
      </c>
      <c r="C939" t="s">
        <v>2225</v>
      </c>
      <c r="D939" t="s">
        <v>324</v>
      </c>
      <c r="E939" t="s">
        <v>325</v>
      </c>
      <c r="F939">
        <v>1</v>
      </c>
      <c r="G939">
        <v>1</v>
      </c>
      <c r="H939" t="s">
        <v>2251</v>
      </c>
      <c r="I939" t="s">
        <v>211</v>
      </c>
      <c r="J939" t="s">
        <v>212</v>
      </c>
    </row>
    <row r="940" spans="1:10" x14ac:dyDescent="0.3">
      <c r="A940" t="s">
        <v>2800</v>
      </c>
      <c r="B940" t="s">
        <v>2799</v>
      </c>
      <c r="C940" t="s">
        <v>2230</v>
      </c>
      <c r="D940" t="s">
        <v>324</v>
      </c>
      <c r="E940" t="s">
        <v>325</v>
      </c>
      <c r="F940">
        <v>1</v>
      </c>
      <c r="G940">
        <v>1</v>
      </c>
      <c r="H940" t="s">
        <v>2253</v>
      </c>
      <c r="I940" t="s">
        <v>211</v>
      </c>
      <c r="J940" t="s">
        <v>212</v>
      </c>
    </row>
    <row r="941" spans="1:10" x14ac:dyDescent="0.3">
      <c r="A941" t="s">
        <v>2801</v>
      </c>
      <c r="B941" t="s">
        <v>2799</v>
      </c>
      <c r="C941" t="s">
        <v>2233</v>
      </c>
      <c r="D941" t="s">
        <v>324</v>
      </c>
      <c r="E941" t="s">
        <v>325</v>
      </c>
      <c r="F941">
        <v>1</v>
      </c>
      <c r="G941">
        <v>1</v>
      </c>
      <c r="H941" t="s">
        <v>2255</v>
      </c>
      <c r="I941" t="s">
        <v>211</v>
      </c>
      <c r="J941" t="s">
        <v>212</v>
      </c>
    </row>
    <row r="942" spans="1:10" x14ac:dyDescent="0.3">
      <c r="A942" t="s">
        <v>2802</v>
      </c>
      <c r="B942" t="s">
        <v>2799</v>
      </c>
      <c r="C942" t="s">
        <v>2237</v>
      </c>
      <c r="D942" t="s">
        <v>324</v>
      </c>
      <c r="E942" t="s">
        <v>325</v>
      </c>
      <c r="F942">
        <v>1</v>
      </c>
      <c r="G942">
        <v>1</v>
      </c>
      <c r="H942" t="s">
        <v>2257</v>
      </c>
      <c r="I942" t="s">
        <v>211</v>
      </c>
      <c r="J942" t="s">
        <v>212</v>
      </c>
    </row>
    <row r="943" spans="1:10" x14ac:dyDescent="0.3">
      <c r="A943" t="s">
        <v>2803</v>
      </c>
      <c r="B943" t="s">
        <v>2799</v>
      </c>
      <c r="C943" t="s">
        <v>2241</v>
      </c>
      <c r="D943" t="s">
        <v>324</v>
      </c>
      <c r="E943" t="s">
        <v>325</v>
      </c>
      <c r="F943">
        <v>1</v>
      </c>
      <c r="G943">
        <v>1</v>
      </c>
      <c r="H943" t="s">
        <v>2259</v>
      </c>
      <c r="I943" t="s">
        <v>211</v>
      </c>
      <c r="J943" t="s">
        <v>212</v>
      </c>
    </row>
    <row r="944" spans="1:10" x14ac:dyDescent="0.3">
      <c r="A944" t="s">
        <v>2804</v>
      </c>
      <c r="B944" t="s">
        <v>2799</v>
      </c>
      <c r="C944" t="s">
        <v>2244</v>
      </c>
      <c r="D944" t="s">
        <v>324</v>
      </c>
      <c r="E944" t="s">
        <v>325</v>
      </c>
      <c r="F944">
        <v>1</v>
      </c>
      <c r="G944">
        <v>1</v>
      </c>
      <c r="H944" t="s">
        <v>2261</v>
      </c>
      <c r="I944" t="s">
        <v>211</v>
      </c>
      <c r="J944" t="s">
        <v>212</v>
      </c>
    </row>
    <row r="945" spans="1:10" x14ac:dyDescent="0.3">
      <c r="A945" t="s">
        <v>2805</v>
      </c>
      <c r="B945" t="s">
        <v>2799</v>
      </c>
      <c r="C945" t="s">
        <v>2247</v>
      </c>
      <c r="D945" t="s">
        <v>324</v>
      </c>
      <c r="E945" t="s">
        <v>325</v>
      </c>
      <c r="F945">
        <v>1</v>
      </c>
      <c r="G945">
        <v>1</v>
      </c>
      <c r="H945" t="s">
        <v>2263</v>
      </c>
      <c r="I945" t="s">
        <v>211</v>
      </c>
      <c r="J945" t="s">
        <v>212</v>
      </c>
    </row>
    <row r="946" spans="1:10" x14ac:dyDescent="0.3">
      <c r="A946" t="s">
        <v>2806</v>
      </c>
      <c r="B946" t="s">
        <v>2807</v>
      </c>
      <c r="C946" t="s">
        <v>2225</v>
      </c>
      <c r="D946" t="s">
        <v>324</v>
      </c>
      <c r="E946" t="s">
        <v>325</v>
      </c>
      <c r="F946">
        <v>1</v>
      </c>
      <c r="G946">
        <v>1</v>
      </c>
      <c r="H946" t="s">
        <v>2251</v>
      </c>
      <c r="I946" t="s">
        <v>211</v>
      </c>
      <c r="J946" t="s">
        <v>212</v>
      </c>
    </row>
    <row r="947" spans="1:10" x14ac:dyDescent="0.3">
      <c r="A947" t="s">
        <v>2808</v>
      </c>
      <c r="B947" t="s">
        <v>2807</v>
      </c>
      <c r="C947" t="s">
        <v>2230</v>
      </c>
      <c r="D947" t="s">
        <v>324</v>
      </c>
      <c r="E947" t="s">
        <v>325</v>
      </c>
      <c r="F947">
        <v>1</v>
      </c>
      <c r="G947">
        <v>1</v>
      </c>
      <c r="H947" t="s">
        <v>2253</v>
      </c>
      <c r="I947" t="s">
        <v>211</v>
      </c>
      <c r="J947" t="s">
        <v>212</v>
      </c>
    </row>
    <row r="948" spans="1:10" x14ac:dyDescent="0.3">
      <c r="A948" t="s">
        <v>2809</v>
      </c>
      <c r="B948" t="s">
        <v>2807</v>
      </c>
      <c r="C948" t="s">
        <v>2233</v>
      </c>
      <c r="D948" t="s">
        <v>324</v>
      </c>
      <c r="E948" t="s">
        <v>325</v>
      </c>
      <c r="F948">
        <v>1</v>
      </c>
      <c r="G948">
        <v>1</v>
      </c>
      <c r="H948" t="s">
        <v>2255</v>
      </c>
      <c r="I948" t="s">
        <v>211</v>
      </c>
      <c r="J948" t="s">
        <v>212</v>
      </c>
    </row>
    <row r="949" spans="1:10" x14ac:dyDescent="0.3">
      <c r="A949" t="s">
        <v>2810</v>
      </c>
      <c r="B949" t="s">
        <v>2807</v>
      </c>
      <c r="C949" t="s">
        <v>2237</v>
      </c>
      <c r="D949" t="s">
        <v>324</v>
      </c>
      <c r="E949" t="s">
        <v>325</v>
      </c>
      <c r="F949">
        <v>1</v>
      </c>
      <c r="G949">
        <v>1</v>
      </c>
      <c r="H949" t="s">
        <v>2257</v>
      </c>
      <c r="I949" t="s">
        <v>211</v>
      </c>
      <c r="J949" t="s">
        <v>212</v>
      </c>
    </row>
    <row r="950" spans="1:10" x14ac:dyDescent="0.3">
      <c r="A950" t="s">
        <v>2811</v>
      </c>
      <c r="B950" t="s">
        <v>2807</v>
      </c>
      <c r="C950" t="s">
        <v>2241</v>
      </c>
      <c r="D950" t="s">
        <v>324</v>
      </c>
      <c r="E950" t="s">
        <v>325</v>
      </c>
      <c r="F950">
        <v>1</v>
      </c>
      <c r="G950">
        <v>1</v>
      </c>
      <c r="H950" t="s">
        <v>2259</v>
      </c>
      <c r="I950" t="s">
        <v>211</v>
      </c>
      <c r="J950" t="s">
        <v>212</v>
      </c>
    </row>
    <row r="951" spans="1:10" x14ac:dyDescent="0.3">
      <c r="A951" t="s">
        <v>2812</v>
      </c>
      <c r="B951" t="s">
        <v>2807</v>
      </c>
      <c r="C951" t="s">
        <v>2244</v>
      </c>
      <c r="D951" t="s">
        <v>324</v>
      </c>
      <c r="E951" t="s">
        <v>325</v>
      </c>
      <c r="F951">
        <v>1</v>
      </c>
      <c r="G951">
        <v>1</v>
      </c>
      <c r="H951" t="s">
        <v>2261</v>
      </c>
      <c r="I951" t="s">
        <v>211</v>
      </c>
      <c r="J951" t="s">
        <v>212</v>
      </c>
    </row>
    <row r="952" spans="1:10" x14ac:dyDescent="0.3">
      <c r="A952" t="s">
        <v>2813</v>
      </c>
      <c r="B952" t="s">
        <v>2807</v>
      </c>
      <c r="C952" t="s">
        <v>2247</v>
      </c>
      <c r="D952" t="s">
        <v>324</v>
      </c>
      <c r="E952" t="s">
        <v>325</v>
      </c>
      <c r="F952">
        <v>1</v>
      </c>
      <c r="G952">
        <v>1</v>
      </c>
      <c r="H952" t="s">
        <v>2263</v>
      </c>
      <c r="I952" t="s">
        <v>211</v>
      </c>
      <c r="J952" t="s">
        <v>212</v>
      </c>
    </row>
    <row r="953" spans="1:10" x14ac:dyDescent="0.3">
      <c r="A953" t="s">
        <v>2814</v>
      </c>
      <c r="B953" t="s">
        <v>2815</v>
      </c>
      <c r="C953" t="s">
        <v>2225</v>
      </c>
      <c r="D953" t="s">
        <v>324</v>
      </c>
      <c r="E953" t="s">
        <v>325</v>
      </c>
      <c r="F953">
        <v>1</v>
      </c>
      <c r="G953">
        <v>1</v>
      </c>
      <c r="H953" t="s">
        <v>2251</v>
      </c>
      <c r="I953" t="s">
        <v>211</v>
      </c>
      <c r="J953" t="s">
        <v>212</v>
      </c>
    </row>
    <row r="954" spans="1:10" x14ac:dyDescent="0.3">
      <c r="A954" t="s">
        <v>2816</v>
      </c>
      <c r="B954" t="s">
        <v>2815</v>
      </c>
      <c r="C954" t="s">
        <v>2230</v>
      </c>
      <c r="D954" t="s">
        <v>324</v>
      </c>
      <c r="E954" t="s">
        <v>325</v>
      </c>
      <c r="F954">
        <v>1</v>
      </c>
      <c r="G954">
        <v>1</v>
      </c>
      <c r="H954" t="s">
        <v>2253</v>
      </c>
      <c r="I954" t="s">
        <v>211</v>
      </c>
      <c r="J954" t="s">
        <v>212</v>
      </c>
    </row>
    <row r="955" spans="1:10" x14ac:dyDescent="0.3">
      <c r="A955" t="s">
        <v>2817</v>
      </c>
      <c r="B955" t="s">
        <v>2815</v>
      </c>
      <c r="C955" t="s">
        <v>2233</v>
      </c>
      <c r="D955" t="s">
        <v>324</v>
      </c>
      <c r="E955" t="s">
        <v>325</v>
      </c>
      <c r="F955">
        <v>1</v>
      </c>
      <c r="G955">
        <v>1</v>
      </c>
      <c r="H955" t="s">
        <v>2255</v>
      </c>
      <c r="I955" t="s">
        <v>211</v>
      </c>
      <c r="J955" t="s">
        <v>212</v>
      </c>
    </row>
    <row r="956" spans="1:10" x14ac:dyDescent="0.3">
      <c r="A956" t="s">
        <v>2818</v>
      </c>
      <c r="B956" t="s">
        <v>2815</v>
      </c>
      <c r="C956" t="s">
        <v>2237</v>
      </c>
      <c r="D956" t="s">
        <v>324</v>
      </c>
      <c r="E956" t="s">
        <v>325</v>
      </c>
      <c r="F956">
        <v>1</v>
      </c>
      <c r="G956">
        <v>1</v>
      </c>
      <c r="H956" t="s">
        <v>2257</v>
      </c>
      <c r="I956" t="s">
        <v>211</v>
      </c>
      <c r="J956" t="s">
        <v>212</v>
      </c>
    </row>
    <row r="957" spans="1:10" x14ac:dyDescent="0.3">
      <c r="A957" t="s">
        <v>2819</v>
      </c>
      <c r="B957" t="s">
        <v>2815</v>
      </c>
      <c r="C957" t="s">
        <v>2241</v>
      </c>
      <c r="D957" t="s">
        <v>324</v>
      </c>
      <c r="E957" t="s">
        <v>325</v>
      </c>
      <c r="F957">
        <v>1</v>
      </c>
      <c r="G957">
        <v>1</v>
      </c>
      <c r="H957" t="s">
        <v>2259</v>
      </c>
      <c r="I957" t="s">
        <v>211</v>
      </c>
      <c r="J957" t="s">
        <v>212</v>
      </c>
    </row>
    <row r="958" spans="1:10" x14ac:dyDescent="0.3">
      <c r="A958" t="s">
        <v>2820</v>
      </c>
      <c r="B958" t="s">
        <v>2815</v>
      </c>
      <c r="C958" t="s">
        <v>2244</v>
      </c>
      <c r="D958" t="s">
        <v>324</v>
      </c>
      <c r="E958" t="s">
        <v>325</v>
      </c>
      <c r="F958">
        <v>1</v>
      </c>
      <c r="G958">
        <v>1</v>
      </c>
      <c r="H958" t="s">
        <v>2261</v>
      </c>
      <c r="I958" t="s">
        <v>211</v>
      </c>
      <c r="J958" t="s">
        <v>212</v>
      </c>
    </row>
    <row r="959" spans="1:10" x14ac:dyDescent="0.3">
      <c r="A959" t="s">
        <v>2821</v>
      </c>
      <c r="B959" t="s">
        <v>2815</v>
      </c>
      <c r="C959" t="s">
        <v>2247</v>
      </c>
      <c r="D959" t="s">
        <v>324</v>
      </c>
      <c r="E959" t="s">
        <v>325</v>
      </c>
      <c r="F959">
        <v>1</v>
      </c>
      <c r="G959">
        <v>1</v>
      </c>
      <c r="H959" t="s">
        <v>2263</v>
      </c>
      <c r="I959" t="s">
        <v>211</v>
      </c>
      <c r="J959" t="s">
        <v>212</v>
      </c>
    </row>
    <row r="960" spans="1:10" x14ac:dyDescent="0.3">
      <c r="A960" t="s">
        <v>2822</v>
      </c>
      <c r="B960" t="s">
        <v>902</v>
      </c>
      <c r="C960" t="s">
        <v>2225</v>
      </c>
      <c r="D960" t="s">
        <v>324</v>
      </c>
      <c r="E960" t="s">
        <v>325</v>
      </c>
      <c r="F960">
        <v>1</v>
      </c>
      <c r="G960">
        <v>1</v>
      </c>
      <c r="H960" t="s">
        <v>2251</v>
      </c>
      <c r="I960" t="s">
        <v>211</v>
      </c>
      <c r="J960" t="s">
        <v>212</v>
      </c>
    </row>
    <row r="961" spans="1:10" x14ac:dyDescent="0.3">
      <c r="A961" t="s">
        <v>2823</v>
      </c>
      <c r="B961" t="s">
        <v>902</v>
      </c>
      <c r="C961" t="s">
        <v>2230</v>
      </c>
      <c r="D961" t="s">
        <v>324</v>
      </c>
      <c r="E961" t="s">
        <v>325</v>
      </c>
      <c r="F961">
        <v>1</v>
      </c>
      <c r="G961">
        <v>1</v>
      </c>
      <c r="H961" t="s">
        <v>2253</v>
      </c>
      <c r="I961" t="s">
        <v>211</v>
      </c>
      <c r="J961" t="s">
        <v>212</v>
      </c>
    </row>
    <row r="962" spans="1:10" x14ac:dyDescent="0.3">
      <c r="A962" t="s">
        <v>2824</v>
      </c>
      <c r="B962" t="s">
        <v>902</v>
      </c>
      <c r="C962" t="s">
        <v>2233</v>
      </c>
      <c r="D962" t="s">
        <v>324</v>
      </c>
      <c r="E962" t="s">
        <v>325</v>
      </c>
      <c r="F962">
        <v>1</v>
      </c>
      <c r="G962">
        <v>1</v>
      </c>
      <c r="H962" t="s">
        <v>2255</v>
      </c>
      <c r="I962" t="s">
        <v>211</v>
      </c>
      <c r="J962" t="s">
        <v>212</v>
      </c>
    </row>
    <row r="963" spans="1:10" x14ac:dyDescent="0.3">
      <c r="A963" t="s">
        <v>2825</v>
      </c>
      <c r="B963" t="s">
        <v>902</v>
      </c>
      <c r="C963" t="s">
        <v>2237</v>
      </c>
      <c r="D963" t="s">
        <v>324</v>
      </c>
      <c r="E963" t="s">
        <v>325</v>
      </c>
      <c r="F963">
        <v>1</v>
      </c>
      <c r="G963">
        <v>1</v>
      </c>
      <c r="H963" t="s">
        <v>2257</v>
      </c>
      <c r="I963" t="s">
        <v>211</v>
      </c>
      <c r="J963" t="s">
        <v>212</v>
      </c>
    </row>
    <row r="964" spans="1:10" x14ac:dyDescent="0.3">
      <c r="A964" t="s">
        <v>2826</v>
      </c>
      <c r="B964" t="s">
        <v>902</v>
      </c>
      <c r="C964" t="s">
        <v>2241</v>
      </c>
      <c r="D964" t="s">
        <v>324</v>
      </c>
      <c r="E964" t="s">
        <v>325</v>
      </c>
      <c r="F964">
        <v>1</v>
      </c>
      <c r="G964">
        <v>1</v>
      </c>
      <c r="H964" t="s">
        <v>2259</v>
      </c>
      <c r="I964" t="s">
        <v>211</v>
      </c>
      <c r="J964" t="s">
        <v>212</v>
      </c>
    </row>
    <row r="965" spans="1:10" x14ac:dyDescent="0.3">
      <c r="A965" t="s">
        <v>2827</v>
      </c>
      <c r="B965" t="s">
        <v>902</v>
      </c>
      <c r="C965" t="s">
        <v>2244</v>
      </c>
      <c r="D965" t="s">
        <v>324</v>
      </c>
      <c r="E965" t="s">
        <v>325</v>
      </c>
      <c r="F965">
        <v>1</v>
      </c>
      <c r="G965">
        <v>1</v>
      </c>
      <c r="H965" t="s">
        <v>2261</v>
      </c>
      <c r="I965" t="s">
        <v>211</v>
      </c>
      <c r="J965" t="s">
        <v>212</v>
      </c>
    </row>
    <row r="966" spans="1:10" x14ac:dyDescent="0.3">
      <c r="A966" t="s">
        <v>2828</v>
      </c>
      <c r="B966" t="s">
        <v>902</v>
      </c>
      <c r="C966" t="s">
        <v>2247</v>
      </c>
      <c r="D966" t="s">
        <v>324</v>
      </c>
      <c r="E966" t="s">
        <v>325</v>
      </c>
      <c r="F966">
        <v>1</v>
      </c>
      <c r="G966">
        <v>1</v>
      </c>
      <c r="H966" t="s">
        <v>2263</v>
      </c>
      <c r="I966" t="s">
        <v>211</v>
      </c>
      <c r="J966" t="s">
        <v>212</v>
      </c>
    </row>
    <row r="967" spans="1:10" x14ac:dyDescent="0.3">
      <c r="A967" t="s">
        <v>2829</v>
      </c>
      <c r="B967" t="s">
        <v>905</v>
      </c>
      <c r="C967" t="s">
        <v>2225</v>
      </c>
      <c r="D967" t="s">
        <v>324</v>
      </c>
      <c r="E967" t="s">
        <v>325</v>
      </c>
      <c r="F967">
        <v>1</v>
      </c>
      <c r="G967">
        <v>1</v>
      </c>
      <c r="H967" t="s">
        <v>2251</v>
      </c>
      <c r="I967" t="s">
        <v>211</v>
      </c>
      <c r="J967" t="s">
        <v>212</v>
      </c>
    </row>
    <row r="968" spans="1:10" x14ac:dyDescent="0.3">
      <c r="A968" t="s">
        <v>2830</v>
      </c>
      <c r="B968" t="s">
        <v>905</v>
      </c>
      <c r="C968" t="s">
        <v>2230</v>
      </c>
      <c r="D968" t="s">
        <v>324</v>
      </c>
      <c r="E968" t="s">
        <v>325</v>
      </c>
      <c r="F968">
        <v>1</v>
      </c>
      <c r="G968">
        <v>1</v>
      </c>
      <c r="H968" t="s">
        <v>2253</v>
      </c>
      <c r="I968" t="s">
        <v>211</v>
      </c>
      <c r="J968" t="s">
        <v>212</v>
      </c>
    </row>
    <row r="969" spans="1:10" x14ac:dyDescent="0.3">
      <c r="A969" t="s">
        <v>2831</v>
      </c>
      <c r="B969" t="s">
        <v>905</v>
      </c>
      <c r="C969" t="s">
        <v>2233</v>
      </c>
      <c r="D969" t="s">
        <v>324</v>
      </c>
      <c r="E969" t="s">
        <v>325</v>
      </c>
      <c r="F969">
        <v>1</v>
      </c>
      <c r="G969">
        <v>1</v>
      </c>
      <c r="H969" t="s">
        <v>2255</v>
      </c>
      <c r="I969" t="s">
        <v>211</v>
      </c>
      <c r="J969" t="s">
        <v>212</v>
      </c>
    </row>
    <row r="970" spans="1:10" x14ac:dyDescent="0.3">
      <c r="A970" t="s">
        <v>2832</v>
      </c>
      <c r="B970" t="s">
        <v>905</v>
      </c>
      <c r="C970" t="s">
        <v>2237</v>
      </c>
      <c r="D970" t="s">
        <v>324</v>
      </c>
      <c r="E970" t="s">
        <v>325</v>
      </c>
      <c r="F970">
        <v>1</v>
      </c>
      <c r="G970">
        <v>1</v>
      </c>
      <c r="H970" t="s">
        <v>2257</v>
      </c>
      <c r="I970" t="s">
        <v>211</v>
      </c>
      <c r="J970" t="s">
        <v>212</v>
      </c>
    </row>
    <row r="971" spans="1:10" x14ac:dyDescent="0.3">
      <c r="A971" t="s">
        <v>2833</v>
      </c>
      <c r="B971" t="s">
        <v>905</v>
      </c>
      <c r="C971" t="s">
        <v>2241</v>
      </c>
      <c r="D971" t="s">
        <v>324</v>
      </c>
      <c r="E971" t="s">
        <v>325</v>
      </c>
      <c r="F971">
        <v>1</v>
      </c>
      <c r="G971">
        <v>1</v>
      </c>
      <c r="H971" t="s">
        <v>2259</v>
      </c>
      <c r="I971" t="s">
        <v>211</v>
      </c>
      <c r="J971" t="s">
        <v>212</v>
      </c>
    </row>
    <row r="972" spans="1:10" x14ac:dyDescent="0.3">
      <c r="A972" t="s">
        <v>2834</v>
      </c>
      <c r="B972" t="s">
        <v>905</v>
      </c>
      <c r="C972" t="s">
        <v>2244</v>
      </c>
      <c r="D972" t="s">
        <v>324</v>
      </c>
      <c r="E972" t="s">
        <v>325</v>
      </c>
      <c r="F972">
        <v>1</v>
      </c>
      <c r="G972">
        <v>1</v>
      </c>
      <c r="H972" t="s">
        <v>2261</v>
      </c>
      <c r="I972" t="s">
        <v>211</v>
      </c>
      <c r="J972" t="s">
        <v>212</v>
      </c>
    </row>
    <row r="973" spans="1:10" x14ac:dyDescent="0.3">
      <c r="A973" t="s">
        <v>2835</v>
      </c>
      <c r="B973" t="s">
        <v>905</v>
      </c>
      <c r="C973" t="s">
        <v>2247</v>
      </c>
      <c r="D973" t="s">
        <v>324</v>
      </c>
      <c r="E973" t="s">
        <v>325</v>
      </c>
      <c r="F973">
        <v>1</v>
      </c>
      <c r="G973">
        <v>1</v>
      </c>
      <c r="H973" t="s">
        <v>2263</v>
      </c>
      <c r="I973" t="s">
        <v>211</v>
      </c>
      <c r="J973" t="s">
        <v>212</v>
      </c>
    </row>
    <row r="974" spans="1:10" x14ac:dyDescent="0.3">
      <c r="A974" t="s">
        <v>2836</v>
      </c>
      <c r="B974" t="s">
        <v>909</v>
      </c>
      <c r="C974" t="s">
        <v>2225</v>
      </c>
      <c r="D974" t="s">
        <v>324</v>
      </c>
      <c r="E974" t="s">
        <v>325</v>
      </c>
      <c r="F974">
        <v>1</v>
      </c>
      <c r="G974">
        <v>1</v>
      </c>
      <c r="H974" t="s">
        <v>2251</v>
      </c>
      <c r="I974" t="s">
        <v>211</v>
      </c>
      <c r="J974" t="s">
        <v>212</v>
      </c>
    </row>
    <row r="975" spans="1:10" x14ac:dyDescent="0.3">
      <c r="A975" t="s">
        <v>2837</v>
      </c>
      <c r="B975" t="s">
        <v>909</v>
      </c>
      <c r="C975" t="s">
        <v>2230</v>
      </c>
      <c r="D975" t="s">
        <v>324</v>
      </c>
      <c r="E975" t="s">
        <v>325</v>
      </c>
      <c r="F975">
        <v>1</v>
      </c>
      <c r="G975">
        <v>1</v>
      </c>
      <c r="H975" t="s">
        <v>2253</v>
      </c>
      <c r="I975" t="s">
        <v>211</v>
      </c>
      <c r="J975" t="s">
        <v>212</v>
      </c>
    </row>
    <row r="976" spans="1:10" x14ac:dyDescent="0.3">
      <c r="A976" t="s">
        <v>2838</v>
      </c>
      <c r="B976" t="s">
        <v>909</v>
      </c>
      <c r="C976" t="s">
        <v>2233</v>
      </c>
      <c r="D976" t="s">
        <v>324</v>
      </c>
      <c r="E976" t="s">
        <v>325</v>
      </c>
      <c r="F976">
        <v>1</v>
      </c>
      <c r="G976">
        <v>1</v>
      </c>
      <c r="H976" t="s">
        <v>2255</v>
      </c>
      <c r="I976" t="s">
        <v>211</v>
      </c>
      <c r="J976" t="s">
        <v>212</v>
      </c>
    </row>
    <row r="977" spans="1:10" x14ac:dyDescent="0.3">
      <c r="A977" t="s">
        <v>2839</v>
      </c>
      <c r="B977" t="s">
        <v>909</v>
      </c>
      <c r="C977" t="s">
        <v>2237</v>
      </c>
      <c r="D977" t="s">
        <v>324</v>
      </c>
      <c r="E977" t="s">
        <v>325</v>
      </c>
      <c r="F977">
        <v>1</v>
      </c>
      <c r="G977">
        <v>1</v>
      </c>
      <c r="H977" t="s">
        <v>2257</v>
      </c>
      <c r="I977" t="s">
        <v>211</v>
      </c>
      <c r="J977" t="s">
        <v>212</v>
      </c>
    </row>
    <row r="978" spans="1:10" x14ac:dyDescent="0.3">
      <c r="A978" t="s">
        <v>2840</v>
      </c>
      <c r="B978" t="s">
        <v>909</v>
      </c>
      <c r="C978" t="s">
        <v>2241</v>
      </c>
      <c r="D978" t="s">
        <v>324</v>
      </c>
      <c r="E978" t="s">
        <v>325</v>
      </c>
      <c r="F978">
        <v>1</v>
      </c>
      <c r="G978">
        <v>1</v>
      </c>
      <c r="H978" t="s">
        <v>2259</v>
      </c>
      <c r="I978" t="s">
        <v>211</v>
      </c>
      <c r="J978" t="s">
        <v>212</v>
      </c>
    </row>
    <row r="979" spans="1:10" x14ac:dyDescent="0.3">
      <c r="A979" t="s">
        <v>2841</v>
      </c>
      <c r="B979" t="s">
        <v>909</v>
      </c>
      <c r="C979" t="s">
        <v>2244</v>
      </c>
      <c r="D979" t="s">
        <v>324</v>
      </c>
      <c r="E979" t="s">
        <v>325</v>
      </c>
      <c r="F979">
        <v>1</v>
      </c>
      <c r="G979">
        <v>1</v>
      </c>
      <c r="H979" t="s">
        <v>2261</v>
      </c>
      <c r="I979" t="s">
        <v>211</v>
      </c>
      <c r="J979" t="s">
        <v>212</v>
      </c>
    </row>
    <row r="980" spans="1:10" x14ac:dyDescent="0.3">
      <c r="A980" t="s">
        <v>2842</v>
      </c>
      <c r="B980" t="s">
        <v>909</v>
      </c>
      <c r="C980" t="s">
        <v>2247</v>
      </c>
      <c r="D980" t="s">
        <v>324</v>
      </c>
      <c r="E980" t="s">
        <v>325</v>
      </c>
      <c r="F980">
        <v>1</v>
      </c>
      <c r="G980">
        <v>1</v>
      </c>
      <c r="H980" t="s">
        <v>2263</v>
      </c>
      <c r="I980" t="s">
        <v>211</v>
      </c>
      <c r="J980" t="s">
        <v>212</v>
      </c>
    </row>
    <row r="981" spans="1:10" x14ac:dyDescent="0.3">
      <c r="A981" t="s">
        <v>2843</v>
      </c>
      <c r="B981" t="s">
        <v>2844</v>
      </c>
      <c r="C981" t="s">
        <v>2225</v>
      </c>
      <c r="D981" t="s">
        <v>324</v>
      </c>
      <c r="E981" t="s">
        <v>325</v>
      </c>
      <c r="F981">
        <v>1</v>
      </c>
      <c r="G981">
        <v>1</v>
      </c>
      <c r="H981" t="s">
        <v>2251</v>
      </c>
      <c r="I981" t="s">
        <v>211</v>
      </c>
      <c r="J981" t="s">
        <v>212</v>
      </c>
    </row>
    <row r="982" spans="1:10" x14ac:dyDescent="0.3">
      <c r="A982" t="s">
        <v>2845</v>
      </c>
      <c r="B982" t="s">
        <v>2844</v>
      </c>
      <c r="C982" t="s">
        <v>2230</v>
      </c>
      <c r="D982" t="s">
        <v>324</v>
      </c>
      <c r="E982" t="s">
        <v>325</v>
      </c>
      <c r="F982">
        <v>1</v>
      </c>
      <c r="G982">
        <v>1</v>
      </c>
      <c r="H982" t="s">
        <v>2253</v>
      </c>
      <c r="I982" t="s">
        <v>211</v>
      </c>
      <c r="J982" t="s">
        <v>212</v>
      </c>
    </row>
    <row r="983" spans="1:10" x14ac:dyDescent="0.3">
      <c r="A983" t="s">
        <v>2846</v>
      </c>
      <c r="B983" t="s">
        <v>2844</v>
      </c>
      <c r="C983" t="s">
        <v>2233</v>
      </c>
      <c r="D983" t="s">
        <v>324</v>
      </c>
      <c r="E983" t="s">
        <v>325</v>
      </c>
      <c r="F983">
        <v>1</v>
      </c>
      <c r="G983">
        <v>1</v>
      </c>
      <c r="H983" t="s">
        <v>2255</v>
      </c>
      <c r="I983" t="s">
        <v>211</v>
      </c>
      <c r="J983" t="s">
        <v>212</v>
      </c>
    </row>
    <row r="984" spans="1:10" x14ac:dyDescent="0.3">
      <c r="A984" t="s">
        <v>2847</v>
      </c>
      <c r="B984" t="s">
        <v>2844</v>
      </c>
      <c r="C984" t="s">
        <v>2237</v>
      </c>
      <c r="D984" t="s">
        <v>324</v>
      </c>
      <c r="E984" t="s">
        <v>325</v>
      </c>
      <c r="F984">
        <v>1</v>
      </c>
      <c r="G984">
        <v>1</v>
      </c>
      <c r="H984" t="s">
        <v>2257</v>
      </c>
      <c r="I984" t="s">
        <v>211</v>
      </c>
      <c r="J984" t="s">
        <v>212</v>
      </c>
    </row>
    <row r="985" spans="1:10" x14ac:dyDescent="0.3">
      <c r="A985" t="s">
        <v>2848</v>
      </c>
      <c r="B985" t="s">
        <v>2844</v>
      </c>
      <c r="C985" t="s">
        <v>2241</v>
      </c>
      <c r="D985" t="s">
        <v>324</v>
      </c>
      <c r="E985" t="s">
        <v>325</v>
      </c>
      <c r="F985">
        <v>1</v>
      </c>
      <c r="G985">
        <v>1</v>
      </c>
      <c r="H985" t="s">
        <v>2259</v>
      </c>
      <c r="I985" t="s">
        <v>211</v>
      </c>
      <c r="J985" t="s">
        <v>212</v>
      </c>
    </row>
    <row r="986" spans="1:10" x14ac:dyDescent="0.3">
      <c r="A986" t="s">
        <v>2849</v>
      </c>
      <c r="B986" t="s">
        <v>2844</v>
      </c>
      <c r="C986" t="s">
        <v>2244</v>
      </c>
      <c r="D986" t="s">
        <v>324</v>
      </c>
      <c r="E986" t="s">
        <v>325</v>
      </c>
      <c r="F986">
        <v>1</v>
      </c>
      <c r="G986">
        <v>1</v>
      </c>
      <c r="H986" t="s">
        <v>2261</v>
      </c>
      <c r="I986" t="s">
        <v>211</v>
      </c>
      <c r="J986" t="s">
        <v>212</v>
      </c>
    </row>
    <row r="987" spans="1:10" x14ac:dyDescent="0.3">
      <c r="A987" t="s">
        <v>2850</v>
      </c>
      <c r="B987" t="s">
        <v>2844</v>
      </c>
      <c r="C987" t="s">
        <v>2247</v>
      </c>
      <c r="D987" t="s">
        <v>324</v>
      </c>
      <c r="E987" t="s">
        <v>325</v>
      </c>
      <c r="F987">
        <v>1</v>
      </c>
      <c r="G987">
        <v>1</v>
      </c>
      <c r="H987" t="s">
        <v>2263</v>
      </c>
      <c r="I987" t="s">
        <v>211</v>
      </c>
      <c r="J987" t="s">
        <v>212</v>
      </c>
    </row>
    <row r="988" spans="1:10" x14ac:dyDescent="0.3">
      <c r="A988" t="s">
        <v>2851</v>
      </c>
      <c r="B988" t="s">
        <v>2852</v>
      </c>
      <c r="C988" t="s">
        <v>2225</v>
      </c>
      <c r="D988" t="s">
        <v>324</v>
      </c>
      <c r="E988" t="s">
        <v>325</v>
      </c>
      <c r="F988">
        <v>1</v>
      </c>
      <c r="G988">
        <v>1</v>
      </c>
      <c r="H988" t="s">
        <v>2251</v>
      </c>
      <c r="I988" t="s">
        <v>211</v>
      </c>
      <c r="J988" t="s">
        <v>212</v>
      </c>
    </row>
    <row r="989" spans="1:10" x14ac:dyDescent="0.3">
      <c r="A989" t="s">
        <v>2853</v>
      </c>
      <c r="B989" t="s">
        <v>2852</v>
      </c>
      <c r="C989" t="s">
        <v>2230</v>
      </c>
      <c r="D989" t="s">
        <v>324</v>
      </c>
      <c r="E989" t="s">
        <v>325</v>
      </c>
      <c r="F989">
        <v>1</v>
      </c>
      <c r="G989">
        <v>1</v>
      </c>
      <c r="H989" t="s">
        <v>2253</v>
      </c>
      <c r="I989" t="s">
        <v>211</v>
      </c>
      <c r="J989" t="s">
        <v>212</v>
      </c>
    </row>
    <row r="990" spans="1:10" x14ac:dyDescent="0.3">
      <c r="A990" t="s">
        <v>2854</v>
      </c>
      <c r="B990" t="s">
        <v>2852</v>
      </c>
      <c r="C990" t="s">
        <v>2233</v>
      </c>
      <c r="D990" t="s">
        <v>324</v>
      </c>
      <c r="E990" t="s">
        <v>325</v>
      </c>
      <c r="F990">
        <v>1</v>
      </c>
      <c r="G990">
        <v>1</v>
      </c>
      <c r="H990" t="s">
        <v>2255</v>
      </c>
      <c r="I990" t="s">
        <v>211</v>
      </c>
      <c r="J990" t="s">
        <v>212</v>
      </c>
    </row>
    <row r="991" spans="1:10" x14ac:dyDescent="0.3">
      <c r="A991" t="s">
        <v>2855</v>
      </c>
      <c r="B991" t="s">
        <v>2852</v>
      </c>
      <c r="C991" t="s">
        <v>2237</v>
      </c>
      <c r="D991" t="s">
        <v>324</v>
      </c>
      <c r="E991" t="s">
        <v>325</v>
      </c>
      <c r="F991">
        <v>1</v>
      </c>
      <c r="G991">
        <v>1</v>
      </c>
      <c r="H991" t="s">
        <v>2257</v>
      </c>
      <c r="I991" t="s">
        <v>211</v>
      </c>
      <c r="J991" t="s">
        <v>212</v>
      </c>
    </row>
    <row r="992" spans="1:10" x14ac:dyDescent="0.3">
      <c r="A992" t="s">
        <v>2856</v>
      </c>
      <c r="B992" t="s">
        <v>2852</v>
      </c>
      <c r="C992" t="s">
        <v>2241</v>
      </c>
      <c r="D992" t="s">
        <v>324</v>
      </c>
      <c r="E992" t="s">
        <v>325</v>
      </c>
      <c r="F992">
        <v>1</v>
      </c>
      <c r="G992">
        <v>1</v>
      </c>
      <c r="H992" t="s">
        <v>2259</v>
      </c>
      <c r="I992" t="s">
        <v>211</v>
      </c>
      <c r="J992" t="s">
        <v>212</v>
      </c>
    </row>
    <row r="993" spans="1:10" x14ac:dyDescent="0.3">
      <c r="A993" t="s">
        <v>2857</v>
      </c>
      <c r="B993" t="s">
        <v>2852</v>
      </c>
      <c r="C993" t="s">
        <v>2244</v>
      </c>
      <c r="D993" t="s">
        <v>324</v>
      </c>
      <c r="E993" t="s">
        <v>325</v>
      </c>
      <c r="F993">
        <v>1</v>
      </c>
      <c r="G993">
        <v>1</v>
      </c>
      <c r="H993" t="s">
        <v>2261</v>
      </c>
      <c r="I993" t="s">
        <v>211</v>
      </c>
      <c r="J993" t="s">
        <v>212</v>
      </c>
    </row>
    <row r="994" spans="1:10" x14ac:dyDescent="0.3">
      <c r="A994" t="s">
        <v>2858</v>
      </c>
      <c r="B994" t="s">
        <v>2852</v>
      </c>
      <c r="C994" t="s">
        <v>2247</v>
      </c>
      <c r="D994" t="s">
        <v>324</v>
      </c>
      <c r="E994" t="s">
        <v>325</v>
      </c>
      <c r="F994">
        <v>1</v>
      </c>
      <c r="G994">
        <v>1</v>
      </c>
      <c r="H994" t="s">
        <v>2263</v>
      </c>
      <c r="I994" t="s">
        <v>211</v>
      </c>
      <c r="J994" t="s">
        <v>212</v>
      </c>
    </row>
    <row r="995" spans="1:10" x14ac:dyDescent="0.3">
      <c r="A995" t="s">
        <v>2859</v>
      </c>
      <c r="B995" t="s">
        <v>2860</v>
      </c>
      <c r="C995" t="s">
        <v>2225</v>
      </c>
      <c r="D995" t="s">
        <v>324</v>
      </c>
      <c r="E995" t="s">
        <v>325</v>
      </c>
      <c r="F995">
        <v>1</v>
      </c>
      <c r="G995">
        <v>1</v>
      </c>
      <c r="H995" t="s">
        <v>2251</v>
      </c>
      <c r="I995" t="s">
        <v>211</v>
      </c>
      <c r="J995" t="s">
        <v>212</v>
      </c>
    </row>
    <row r="996" spans="1:10" x14ac:dyDescent="0.3">
      <c r="A996" t="s">
        <v>2861</v>
      </c>
      <c r="B996" t="s">
        <v>2860</v>
      </c>
      <c r="C996" t="s">
        <v>2230</v>
      </c>
      <c r="D996" t="s">
        <v>324</v>
      </c>
      <c r="E996" t="s">
        <v>325</v>
      </c>
      <c r="F996">
        <v>1</v>
      </c>
      <c r="G996">
        <v>1</v>
      </c>
      <c r="H996" t="s">
        <v>2253</v>
      </c>
      <c r="I996" t="s">
        <v>211</v>
      </c>
      <c r="J996" t="s">
        <v>212</v>
      </c>
    </row>
    <row r="997" spans="1:10" x14ac:dyDescent="0.3">
      <c r="A997" t="s">
        <v>2862</v>
      </c>
      <c r="B997" t="s">
        <v>2860</v>
      </c>
      <c r="C997" t="s">
        <v>2233</v>
      </c>
      <c r="D997" t="s">
        <v>324</v>
      </c>
      <c r="E997" t="s">
        <v>325</v>
      </c>
      <c r="F997">
        <v>1</v>
      </c>
      <c r="G997">
        <v>1</v>
      </c>
      <c r="H997" t="s">
        <v>2255</v>
      </c>
      <c r="I997" t="s">
        <v>211</v>
      </c>
      <c r="J997" t="s">
        <v>212</v>
      </c>
    </row>
    <row r="998" spans="1:10" x14ac:dyDescent="0.3">
      <c r="A998" t="s">
        <v>2863</v>
      </c>
      <c r="B998" t="s">
        <v>2860</v>
      </c>
      <c r="C998" t="s">
        <v>2237</v>
      </c>
      <c r="D998" t="s">
        <v>324</v>
      </c>
      <c r="E998" t="s">
        <v>325</v>
      </c>
      <c r="F998">
        <v>1</v>
      </c>
      <c r="G998">
        <v>1</v>
      </c>
      <c r="H998" t="s">
        <v>2257</v>
      </c>
      <c r="I998" t="s">
        <v>211</v>
      </c>
      <c r="J998" t="s">
        <v>212</v>
      </c>
    </row>
    <row r="999" spans="1:10" x14ac:dyDescent="0.3">
      <c r="A999" t="s">
        <v>2864</v>
      </c>
      <c r="B999" t="s">
        <v>2860</v>
      </c>
      <c r="C999" t="s">
        <v>2241</v>
      </c>
      <c r="D999" t="s">
        <v>324</v>
      </c>
      <c r="E999" t="s">
        <v>325</v>
      </c>
      <c r="F999">
        <v>1</v>
      </c>
      <c r="G999">
        <v>1</v>
      </c>
      <c r="H999" t="s">
        <v>2259</v>
      </c>
      <c r="I999" t="s">
        <v>211</v>
      </c>
      <c r="J999" t="s">
        <v>212</v>
      </c>
    </row>
    <row r="1000" spans="1:10" x14ac:dyDescent="0.3">
      <c r="A1000" t="s">
        <v>2865</v>
      </c>
      <c r="B1000" t="s">
        <v>2860</v>
      </c>
      <c r="C1000" t="s">
        <v>2244</v>
      </c>
      <c r="D1000" t="s">
        <v>324</v>
      </c>
      <c r="E1000" t="s">
        <v>325</v>
      </c>
      <c r="F1000">
        <v>1</v>
      </c>
      <c r="G1000">
        <v>1</v>
      </c>
      <c r="H1000" t="s">
        <v>2261</v>
      </c>
      <c r="I1000" t="s">
        <v>211</v>
      </c>
      <c r="J1000" t="s">
        <v>212</v>
      </c>
    </row>
    <row r="1001" spans="1:10" x14ac:dyDescent="0.3">
      <c r="A1001" t="s">
        <v>2866</v>
      </c>
      <c r="B1001" t="s">
        <v>2860</v>
      </c>
      <c r="C1001" t="s">
        <v>2247</v>
      </c>
      <c r="D1001" t="s">
        <v>324</v>
      </c>
      <c r="E1001" t="s">
        <v>325</v>
      </c>
      <c r="F1001">
        <v>1</v>
      </c>
      <c r="G1001">
        <v>1</v>
      </c>
      <c r="H1001" t="s">
        <v>2263</v>
      </c>
      <c r="I1001" t="s">
        <v>211</v>
      </c>
      <c r="J1001" t="s">
        <v>212</v>
      </c>
    </row>
    <row r="1002" spans="1:10" x14ac:dyDescent="0.3">
      <c r="A1002" t="s">
        <v>2867</v>
      </c>
      <c r="B1002" t="s">
        <v>2868</v>
      </c>
      <c r="C1002" t="s">
        <v>2225</v>
      </c>
      <c r="D1002" t="s">
        <v>324</v>
      </c>
      <c r="E1002" t="s">
        <v>325</v>
      </c>
      <c r="F1002">
        <v>1</v>
      </c>
      <c r="G1002">
        <v>1</v>
      </c>
      <c r="H1002" t="s">
        <v>2251</v>
      </c>
      <c r="I1002" t="s">
        <v>211</v>
      </c>
      <c r="J1002" t="s">
        <v>212</v>
      </c>
    </row>
    <row r="1003" spans="1:10" x14ac:dyDescent="0.3">
      <c r="A1003" t="s">
        <v>2869</v>
      </c>
      <c r="B1003" t="s">
        <v>2868</v>
      </c>
      <c r="C1003" t="s">
        <v>2230</v>
      </c>
      <c r="D1003" t="s">
        <v>324</v>
      </c>
      <c r="E1003" t="s">
        <v>325</v>
      </c>
      <c r="F1003">
        <v>1</v>
      </c>
      <c r="G1003">
        <v>1</v>
      </c>
      <c r="H1003" t="s">
        <v>2253</v>
      </c>
      <c r="I1003" t="s">
        <v>211</v>
      </c>
      <c r="J1003" t="s">
        <v>212</v>
      </c>
    </row>
    <row r="1004" spans="1:10" x14ac:dyDescent="0.3">
      <c r="A1004" t="s">
        <v>2870</v>
      </c>
      <c r="B1004" t="s">
        <v>2868</v>
      </c>
      <c r="C1004" t="s">
        <v>2233</v>
      </c>
      <c r="D1004" t="s">
        <v>324</v>
      </c>
      <c r="E1004" t="s">
        <v>325</v>
      </c>
      <c r="F1004">
        <v>1</v>
      </c>
      <c r="G1004">
        <v>1</v>
      </c>
      <c r="H1004" t="s">
        <v>2255</v>
      </c>
      <c r="I1004" t="s">
        <v>211</v>
      </c>
      <c r="J1004" t="s">
        <v>212</v>
      </c>
    </row>
    <row r="1005" spans="1:10" x14ac:dyDescent="0.3">
      <c r="A1005" t="s">
        <v>2871</v>
      </c>
      <c r="B1005" t="s">
        <v>2868</v>
      </c>
      <c r="C1005" t="s">
        <v>2237</v>
      </c>
      <c r="D1005" t="s">
        <v>324</v>
      </c>
      <c r="E1005" t="s">
        <v>325</v>
      </c>
      <c r="F1005">
        <v>1</v>
      </c>
      <c r="G1005">
        <v>1</v>
      </c>
      <c r="H1005" t="s">
        <v>2257</v>
      </c>
      <c r="I1005" t="s">
        <v>211</v>
      </c>
      <c r="J1005" t="s">
        <v>212</v>
      </c>
    </row>
    <row r="1006" spans="1:10" x14ac:dyDescent="0.3">
      <c r="A1006" t="s">
        <v>2872</v>
      </c>
      <c r="B1006" t="s">
        <v>2868</v>
      </c>
      <c r="C1006" t="s">
        <v>2241</v>
      </c>
      <c r="D1006" t="s">
        <v>324</v>
      </c>
      <c r="E1006" t="s">
        <v>325</v>
      </c>
      <c r="F1006">
        <v>1</v>
      </c>
      <c r="G1006">
        <v>1</v>
      </c>
      <c r="H1006" t="s">
        <v>2259</v>
      </c>
      <c r="I1006" t="s">
        <v>211</v>
      </c>
      <c r="J1006" t="s">
        <v>212</v>
      </c>
    </row>
    <row r="1007" spans="1:10" x14ac:dyDescent="0.3">
      <c r="A1007" t="s">
        <v>2873</v>
      </c>
      <c r="B1007" t="s">
        <v>2868</v>
      </c>
      <c r="C1007" t="s">
        <v>2244</v>
      </c>
      <c r="D1007" t="s">
        <v>324</v>
      </c>
      <c r="E1007" t="s">
        <v>325</v>
      </c>
      <c r="F1007">
        <v>1</v>
      </c>
      <c r="G1007">
        <v>1</v>
      </c>
      <c r="H1007" t="s">
        <v>2261</v>
      </c>
      <c r="I1007" t="s">
        <v>211</v>
      </c>
      <c r="J1007" t="s">
        <v>212</v>
      </c>
    </row>
    <row r="1008" spans="1:10" x14ac:dyDescent="0.3">
      <c r="A1008" t="s">
        <v>2874</v>
      </c>
      <c r="B1008" t="s">
        <v>2868</v>
      </c>
      <c r="C1008" t="s">
        <v>2247</v>
      </c>
      <c r="D1008" t="s">
        <v>324</v>
      </c>
      <c r="E1008" t="s">
        <v>325</v>
      </c>
      <c r="F1008">
        <v>1</v>
      </c>
      <c r="G1008">
        <v>1</v>
      </c>
      <c r="H1008" t="s">
        <v>2263</v>
      </c>
      <c r="I1008" t="s">
        <v>211</v>
      </c>
      <c r="J1008" t="s">
        <v>212</v>
      </c>
    </row>
    <row r="1009" spans="1:10" x14ac:dyDescent="0.3">
      <c r="A1009" t="s">
        <v>2875</v>
      </c>
      <c r="B1009" t="s">
        <v>2876</v>
      </c>
      <c r="C1009" t="s">
        <v>2225</v>
      </c>
      <c r="D1009" t="s">
        <v>324</v>
      </c>
      <c r="E1009" t="s">
        <v>325</v>
      </c>
      <c r="F1009">
        <v>1</v>
      </c>
      <c r="G1009">
        <v>1</v>
      </c>
      <c r="H1009" t="s">
        <v>2251</v>
      </c>
      <c r="I1009" t="s">
        <v>211</v>
      </c>
      <c r="J1009" t="s">
        <v>212</v>
      </c>
    </row>
    <row r="1010" spans="1:10" x14ac:dyDescent="0.3">
      <c r="A1010" t="s">
        <v>2877</v>
      </c>
      <c r="B1010" t="s">
        <v>2876</v>
      </c>
      <c r="C1010" t="s">
        <v>2230</v>
      </c>
      <c r="D1010" t="s">
        <v>324</v>
      </c>
      <c r="E1010" t="s">
        <v>325</v>
      </c>
      <c r="F1010">
        <v>1</v>
      </c>
      <c r="G1010">
        <v>1</v>
      </c>
      <c r="H1010" t="s">
        <v>2253</v>
      </c>
      <c r="I1010" t="s">
        <v>211</v>
      </c>
      <c r="J1010" t="s">
        <v>212</v>
      </c>
    </row>
    <row r="1011" spans="1:10" x14ac:dyDescent="0.3">
      <c r="A1011" t="s">
        <v>2878</v>
      </c>
      <c r="B1011" t="s">
        <v>2876</v>
      </c>
      <c r="C1011" t="s">
        <v>2233</v>
      </c>
      <c r="D1011" t="s">
        <v>324</v>
      </c>
      <c r="E1011" t="s">
        <v>325</v>
      </c>
      <c r="F1011">
        <v>1</v>
      </c>
      <c r="G1011">
        <v>1</v>
      </c>
      <c r="H1011" t="s">
        <v>2255</v>
      </c>
      <c r="I1011" t="s">
        <v>211</v>
      </c>
      <c r="J1011" t="s">
        <v>212</v>
      </c>
    </row>
    <row r="1012" spans="1:10" x14ac:dyDescent="0.3">
      <c r="A1012" t="s">
        <v>2879</v>
      </c>
      <c r="B1012" t="s">
        <v>2876</v>
      </c>
      <c r="C1012" t="s">
        <v>2237</v>
      </c>
      <c r="D1012" t="s">
        <v>324</v>
      </c>
      <c r="E1012" t="s">
        <v>325</v>
      </c>
      <c r="F1012">
        <v>1</v>
      </c>
      <c r="G1012">
        <v>1</v>
      </c>
      <c r="H1012" t="s">
        <v>2257</v>
      </c>
      <c r="I1012" t="s">
        <v>211</v>
      </c>
      <c r="J1012" t="s">
        <v>212</v>
      </c>
    </row>
    <row r="1013" spans="1:10" x14ac:dyDescent="0.3">
      <c r="A1013" t="s">
        <v>2880</v>
      </c>
      <c r="B1013" t="s">
        <v>2876</v>
      </c>
      <c r="C1013" t="s">
        <v>2241</v>
      </c>
      <c r="D1013" t="s">
        <v>324</v>
      </c>
      <c r="E1013" t="s">
        <v>325</v>
      </c>
      <c r="F1013">
        <v>1</v>
      </c>
      <c r="G1013">
        <v>1</v>
      </c>
      <c r="H1013" t="s">
        <v>2259</v>
      </c>
      <c r="I1013" t="s">
        <v>211</v>
      </c>
      <c r="J1013" t="s">
        <v>212</v>
      </c>
    </row>
    <row r="1014" spans="1:10" x14ac:dyDescent="0.3">
      <c r="A1014" t="s">
        <v>2881</v>
      </c>
      <c r="B1014" t="s">
        <v>2876</v>
      </c>
      <c r="C1014" t="s">
        <v>2244</v>
      </c>
      <c r="D1014" t="s">
        <v>324</v>
      </c>
      <c r="E1014" t="s">
        <v>325</v>
      </c>
      <c r="F1014">
        <v>1</v>
      </c>
      <c r="G1014">
        <v>1</v>
      </c>
      <c r="H1014" t="s">
        <v>2261</v>
      </c>
      <c r="I1014" t="s">
        <v>211</v>
      </c>
      <c r="J1014" t="s">
        <v>212</v>
      </c>
    </row>
    <row r="1015" spans="1:10" x14ac:dyDescent="0.3">
      <c r="A1015" t="s">
        <v>2882</v>
      </c>
      <c r="B1015" t="s">
        <v>2876</v>
      </c>
      <c r="C1015" t="s">
        <v>2247</v>
      </c>
      <c r="D1015" t="s">
        <v>324</v>
      </c>
      <c r="E1015" t="s">
        <v>325</v>
      </c>
      <c r="F1015">
        <v>1</v>
      </c>
      <c r="G1015">
        <v>1</v>
      </c>
      <c r="H1015" t="s">
        <v>2263</v>
      </c>
      <c r="I1015" t="s">
        <v>211</v>
      </c>
      <c r="J1015" t="s">
        <v>212</v>
      </c>
    </row>
    <row r="1016" spans="1:10" x14ac:dyDescent="0.3">
      <c r="A1016" t="s">
        <v>2883</v>
      </c>
      <c r="B1016" t="s">
        <v>952</v>
      </c>
      <c r="C1016" t="s">
        <v>2225</v>
      </c>
      <c r="D1016" t="s">
        <v>324</v>
      </c>
      <c r="E1016" t="s">
        <v>325</v>
      </c>
      <c r="F1016">
        <v>1</v>
      </c>
      <c r="G1016">
        <v>1</v>
      </c>
      <c r="H1016" t="s">
        <v>2251</v>
      </c>
      <c r="I1016" t="s">
        <v>211</v>
      </c>
      <c r="J1016" t="s">
        <v>212</v>
      </c>
    </row>
    <row r="1017" spans="1:10" x14ac:dyDescent="0.3">
      <c r="A1017" t="s">
        <v>2884</v>
      </c>
      <c r="B1017" t="s">
        <v>952</v>
      </c>
      <c r="C1017" t="s">
        <v>2230</v>
      </c>
      <c r="D1017" t="s">
        <v>324</v>
      </c>
      <c r="E1017" t="s">
        <v>325</v>
      </c>
      <c r="F1017">
        <v>1</v>
      </c>
      <c r="G1017">
        <v>1</v>
      </c>
      <c r="H1017" t="s">
        <v>2253</v>
      </c>
      <c r="I1017" t="s">
        <v>211</v>
      </c>
      <c r="J1017" t="s">
        <v>212</v>
      </c>
    </row>
    <row r="1018" spans="1:10" x14ac:dyDescent="0.3">
      <c r="A1018" t="s">
        <v>2885</v>
      </c>
      <c r="B1018" t="s">
        <v>952</v>
      </c>
      <c r="C1018" t="s">
        <v>2233</v>
      </c>
      <c r="D1018" t="s">
        <v>324</v>
      </c>
      <c r="E1018" t="s">
        <v>325</v>
      </c>
      <c r="F1018">
        <v>1</v>
      </c>
      <c r="G1018">
        <v>1</v>
      </c>
      <c r="H1018" t="s">
        <v>2255</v>
      </c>
      <c r="I1018" t="s">
        <v>211</v>
      </c>
      <c r="J1018" t="s">
        <v>212</v>
      </c>
    </row>
    <row r="1019" spans="1:10" x14ac:dyDescent="0.3">
      <c r="A1019" t="s">
        <v>2886</v>
      </c>
      <c r="B1019" t="s">
        <v>952</v>
      </c>
      <c r="C1019" t="s">
        <v>2237</v>
      </c>
      <c r="D1019" t="s">
        <v>324</v>
      </c>
      <c r="E1019" t="s">
        <v>325</v>
      </c>
      <c r="F1019">
        <v>1</v>
      </c>
      <c r="G1019">
        <v>1</v>
      </c>
      <c r="H1019" t="s">
        <v>2257</v>
      </c>
      <c r="I1019" t="s">
        <v>211</v>
      </c>
      <c r="J1019" t="s">
        <v>212</v>
      </c>
    </row>
    <row r="1020" spans="1:10" x14ac:dyDescent="0.3">
      <c r="A1020" t="s">
        <v>2887</v>
      </c>
      <c r="B1020" t="s">
        <v>952</v>
      </c>
      <c r="C1020" t="s">
        <v>2241</v>
      </c>
      <c r="D1020" t="s">
        <v>324</v>
      </c>
      <c r="E1020" t="s">
        <v>325</v>
      </c>
      <c r="F1020">
        <v>1</v>
      </c>
      <c r="G1020">
        <v>1</v>
      </c>
      <c r="H1020" t="s">
        <v>2259</v>
      </c>
      <c r="I1020" t="s">
        <v>211</v>
      </c>
      <c r="J1020" t="s">
        <v>212</v>
      </c>
    </row>
    <row r="1021" spans="1:10" x14ac:dyDescent="0.3">
      <c r="A1021" t="s">
        <v>2888</v>
      </c>
      <c r="B1021" t="s">
        <v>952</v>
      </c>
      <c r="C1021" t="s">
        <v>2244</v>
      </c>
      <c r="D1021" t="s">
        <v>324</v>
      </c>
      <c r="E1021" t="s">
        <v>325</v>
      </c>
      <c r="F1021">
        <v>1</v>
      </c>
      <c r="G1021">
        <v>1</v>
      </c>
      <c r="H1021" t="s">
        <v>2261</v>
      </c>
      <c r="I1021" t="s">
        <v>211</v>
      </c>
      <c r="J1021" t="s">
        <v>212</v>
      </c>
    </row>
    <row r="1022" spans="1:10" x14ac:dyDescent="0.3">
      <c r="A1022" t="s">
        <v>2889</v>
      </c>
      <c r="B1022" t="s">
        <v>952</v>
      </c>
      <c r="C1022" t="s">
        <v>2247</v>
      </c>
      <c r="D1022" t="s">
        <v>324</v>
      </c>
      <c r="E1022" t="s">
        <v>325</v>
      </c>
      <c r="F1022">
        <v>1</v>
      </c>
      <c r="G1022">
        <v>1</v>
      </c>
      <c r="H1022" t="s">
        <v>2263</v>
      </c>
      <c r="I1022" t="s">
        <v>211</v>
      </c>
      <c r="J1022" t="s">
        <v>212</v>
      </c>
    </row>
    <row r="1023" spans="1:10" x14ac:dyDescent="0.3">
      <c r="A1023" t="s">
        <v>2890</v>
      </c>
      <c r="B1023" t="s">
        <v>955</v>
      </c>
      <c r="C1023" t="s">
        <v>2225</v>
      </c>
      <c r="D1023" t="s">
        <v>324</v>
      </c>
      <c r="E1023" t="s">
        <v>325</v>
      </c>
      <c r="F1023">
        <v>1</v>
      </c>
      <c r="G1023">
        <v>1</v>
      </c>
      <c r="H1023" t="s">
        <v>2251</v>
      </c>
      <c r="I1023" t="s">
        <v>211</v>
      </c>
      <c r="J1023" t="s">
        <v>212</v>
      </c>
    </row>
    <row r="1024" spans="1:10" x14ac:dyDescent="0.3">
      <c r="A1024" t="s">
        <v>2891</v>
      </c>
      <c r="B1024" t="s">
        <v>955</v>
      </c>
      <c r="C1024" t="s">
        <v>2230</v>
      </c>
      <c r="D1024" t="s">
        <v>324</v>
      </c>
      <c r="E1024" t="s">
        <v>325</v>
      </c>
      <c r="F1024">
        <v>1</v>
      </c>
      <c r="G1024">
        <v>1</v>
      </c>
      <c r="H1024" t="s">
        <v>2253</v>
      </c>
      <c r="I1024" t="s">
        <v>211</v>
      </c>
      <c r="J1024" t="s">
        <v>212</v>
      </c>
    </row>
    <row r="1025" spans="1:10" x14ac:dyDescent="0.3">
      <c r="A1025" t="s">
        <v>2892</v>
      </c>
      <c r="B1025" t="s">
        <v>955</v>
      </c>
      <c r="C1025" t="s">
        <v>2233</v>
      </c>
      <c r="D1025" t="s">
        <v>324</v>
      </c>
      <c r="E1025" t="s">
        <v>325</v>
      </c>
      <c r="F1025">
        <v>1</v>
      </c>
      <c r="G1025">
        <v>1</v>
      </c>
      <c r="H1025" t="s">
        <v>2255</v>
      </c>
      <c r="I1025" t="s">
        <v>211</v>
      </c>
      <c r="J1025" t="s">
        <v>212</v>
      </c>
    </row>
    <row r="1026" spans="1:10" x14ac:dyDescent="0.3">
      <c r="A1026" t="s">
        <v>2893</v>
      </c>
      <c r="B1026" t="s">
        <v>955</v>
      </c>
      <c r="C1026" t="s">
        <v>2237</v>
      </c>
      <c r="D1026" t="s">
        <v>324</v>
      </c>
      <c r="E1026" t="s">
        <v>325</v>
      </c>
      <c r="F1026">
        <v>1</v>
      </c>
      <c r="G1026">
        <v>1</v>
      </c>
      <c r="H1026" t="s">
        <v>2257</v>
      </c>
      <c r="I1026" t="s">
        <v>211</v>
      </c>
      <c r="J1026" t="s">
        <v>212</v>
      </c>
    </row>
    <row r="1027" spans="1:10" x14ac:dyDescent="0.3">
      <c r="A1027" t="s">
        <v>2894</v>
      </c>
      <c r="B1027" t="s">
        <v>955</v>
      </c>
      <c r="C1027" t="s">
        <v>2241</v>
      </c>
      <c r="D1027" t="s">
        <v>324</v>
      </c>
      <c r="E1027" t="s">
        <v>325</v>
      </c>
      <c r="F1027">
        <v>1</v>
      </c>
      <c r="G1027">
        <v>1</v>
      </c>
      <c r="H1027" t="s">
        <v>2259</v>
      </c>
      <c r="I1027" t="s">
        <v>211</v>
      </c>
      <c r="J1027" t="s">
        <v>212</v>
      </c>
    </row>
    <row r="1028" spans="1:10" x14ac:dyDescent="0.3">
      <c r="A1028" t="s">
        <v>2895</v>
      </c>
      <c r="B1028" t="s">
        <v>955</v>
      </c>
      <c r="C1028" t="s">
        <v>2244</v>
      </c>
      <c r="D1028" t="s">
        <v>324</v>
      </c>
      <c r="E1028" t="s">
        <v>325</v>
      </c>
      <c r="F1028">
        <v>1</v>
      </c>
      <c r="G1028">
        <v>1</v>
      </c>
      <c r="H1028" t="s">
        <v>2261</v>
      </c>
      <c r="I1028" t="s">
        <v>211</v>
      </c>
      <c r="J1028" t="s">
        <v>212</v>
      </c>
    </row>
    <row r="1029" spans="1:10" x14ac:dyDescent="0.3">
      <c r="A1029" t="s">
        <v>2896</v>
      </c>
      <c r="B1029" t="s">
        <v>955</v>
      </c>
      <c r="C1029" t="s">
        <v>2247</v>
      </c>
      <c r="D1029" t="s">
        <v>324</v>
      </c>
      <c r="E1029" t="s">
        <v>325</v>
      </c>
      <c r="F1029">
        <v>1</v>
      </c>
      <c r="G1029">
        <v>1</v>
      </c>
      <c r="H1029" t="s">
        <v>2263</v>
      </c>
      <c r="I1029" t="s">
        <v>211</v>
      </c>
      <c r="J1029" t="s">
        <v>212</v>
      </c>
    </row>
    <row r="1030" spans="1:10" x14ac:dyDescent="0.3">
      <c r="A1030" t="s">
        <v>2897</v>
      </c>
      <c r="B1030" t="s">
        <v>985</v>
      </c>
      <c r="C1030" t="s">
        <v>2225</v>
      </c>
      <c r="D1030" t="s">
        <v>324</v>
      </c>
      <c r="E1030" t="s">
        <v>325</v>
      </c>
      <c r="F1030">
        <v>1</v>
      </c>
      <c r="G1030">
        <v>1</v>
      </c>
      <c r="H1030" t="s">
        <v>2251</v>
      </c>
      <c r="I1030" t="s">
        <v>211</v>
      </c>
      <c r="J1030" t="s">
        <v>212</v>
      </c>
    </row>
    <row r="1031" spans="1:10" x14ac:dyDescent="0.3">
      <c r="A1031" t="s">
        <v>2898</v>
      </c>
      <c r="B1031" t="s">
        <v>985</v>
      </c>
      <c r="C1031" t="s">
        <v>2230</v>
      </c>
      <c r="D1031" t="s">
        <v>324</v>
      </c>
      <c r="E1031" t="s">
        <v>325</v>
      </c>
      <c r="F1031">
        <v>1</v>
      </c>
      <c r="G1031">
        <v>1</v>
      </c>
      <c r="H1031" t="s">
        <v>2253</v>
      </c>
      <c r="I1031" t="s">
        <v>211</v>
      </c>
      <c r="J1031" t="s">
        <v>212</v>
      </c>
    </row>
    <row r="1032" spans="1:10" x14ac:dyDescent="0.3">
      <c r="A1032" t="s">
        <v>2899</v>
      </c>
      <c r="B1032" t="s">
        <v>985</v>
      </c>
      <c r="C1032" t="s">
        <v>2233</v>
      </c>
      <c r="D1032" t="s">
        <v>324</v>
      </c>
      <c r="E1032" t="s">
        <v>325</v>
      </c>
      <c r="F1032">
        <v>1</v>
      </c>
      <c r="G1032">
        <v>1</v>
      </c>
      <c r="H1032" t="s">
        <v>2255</v>
      </c>
      <c r="I1032" t="s">
        <v>211</v>
      </c>
      <c r="J1032" t="s">
        <v>212</v>
      </c>
    </row>
    <row r="1033" spans="1:10" x14ac:dyDescent="0.3">
      <c r="A1033" t="s">
        <v>2900</v>
      </c>
      <c r="B1033" t="s">
        <v>985</v>
      </c>
      <c r="C1033" t="s">
        <v>2237</v>
      </c>
      <c r="D1033" t="s">
        <v>324</v>
      </c>
      <c r="E1033" t="s">
        <v>325</v>
      </c>
      <c r="F1033">
        <v>1</v>
      </c>
      <c r="G1033">
        <v>1</v>
      </c>
      <c r="H1033" t="s">
        <v>2257</v>
      </c>
      <c r="I1033" t="s">
        <v>211</v>
      </c>
      <c r="J1033" t="s">
        <v>212</v>
      </c>
    </row>
    <row r="1034" spans="1:10" x14ac:dyDescent="0.3">
      <c r="A1034" t="s">
        <v>2901</v>
      </c>
      <c r="B1034" t="s">
        <v>985</v>
      </c>
      <c r="C1034" t="s">
        <v>2241</v>
      </c>
      <c r="D1034" t="s">
        <v>324</v>
      </c>
      <c r="E1034" t="s">
        <v>325</v>
      </c>
      <c r="F1034">
        <v>1</v>
      </c>
      <c r="G1034">
        <v>1</v>
      </c>
      <c r="H1034" t="s">
        <v>2259</v>
      </c>
      <c r="I1034" t="s">
        <v>211</v>
      </c>
      <c r="J1034" t="s">
        <v>212</v>
      </c>
    </row>
    <row r="1035" spans="1:10" x14ac:dyDescent="0.3">
      <c r="A1035" t="s">
        <v>2902</v>
      </c>
      <c r="B1035" t="s">
        <v>985</v>
      </c>
      <c r="C1035" t="s">
        <v>2244</v>
      </c>
      <c r="D1035" t="s">
        <v>324</v>
      </c>
      <c r="E1035" t="s">
        <v>325</v>
      </c>
      <c r="F1035">
        <v>1</v>
      </c>
      <c r="G1035">
        <v>1</v>
      </c>
      <c r="H1035" t="s">
        <v>2261</v>
      </c>
      <c r="I1035" t="s">
        <v>211</v>
      </c>
      <c r="J1035" t="s">
        <v>212</v>
      </c>
    </row>
    <row r="1036" spans="1:10" x14ac:dyDescent="0.3">
      <c r="A1036" t="s">
        <v>2903</v>
      </c>
      <c r="B1036" t="s">
        <v>985</v>
      </c>
      <c r="C1036" t="s">
        <v>2247</v>
      </c>
      <c r="D1036" t="s">
        <v>324</v>
      </c>
      <c r="E1036" t="s">
        <v>325</v>
      </c>
      <c r="F1036">
        <v>1</v>
      </c>
      <c r="G1036">
        <v>1</v>
      </c>
      <c r="H1036" t="s">
        <v>2263</v>
      </c>
      <c r="I1036" t="s">
        <v>211</v>
      </c>
      <c r="J1036" t="s">
        <v>212</v>
      </c>
    </row>
    <row r="1037" spans="1:10" x14ac:dyDescent="0.3">
      <c r="A1037" t="s">
        <v>2904</v>
      </c>
      <c r="B1037" t="s">
        <v>2905</v>
      </c>
      <c r="C1037" t="s">
        <v>2225</v>
      </c>
      <c r="D1037" t="s">
        <v>324</v>
      </c>
      <c r="E1037" t="s">
        <v>325</v>
      </c>
      <c r="F1037">
        <v>1</v>
      </c>
      <c r="G1037">
        <v>1</v>
      </c>
      <c r="H1037" t="s">
        <v>2251</v>
      </c>
      <c r="I1037" t="s">
        <v>211</v>
      </c>
      <c r="J1037" t="s">
        <v>212</v>
      </c>
    </row>
    <row r="1038" spans="1:10" x14ac:dyDescent="0.3">
      <c r="A1038" t="s">
        <v>2906</v>
      </c>
      <c r="B1038" t="s">
        <v>2905</v>
      </c>
      <c r="C1038" t="s">
        <v>2230</v>
      </c>
      <c r="D1038" t="s">
        <v>324</v>
      </c>
      <c r="E1038" t="s">
        <v>325</v>
      </c>
      <c r="F1038">
        <v>1</v>
      </c>
      <c r="G1038">
        <v>1</v>
      </c>
      <c r="H1038" t="s">
        <v>2253</v>
      </c>
      <c r="I1038" t="s">
        <v>211</v>
      </c>
      <c r="J1038" t="s">
        <v>212</v>
      </c>
    </row>
    <row r="1039" spans="1:10" x14ac:dyDescent="0.3">
      <c r="A1039" t="s">
        <v>2907</v>
      </c>
      <c r="B1039" t="s">
        <v>2905</v>
      </c>
      <c r="C1039" t="s">
        <v>2233</v>
      </c>
      <c r="D1039" t="s">
        <v>324</v>
      </c>
      <c r="E1039" t="s">
        <v>325</v>
      </c>
      <c r="F1039">
        <v>1</v>
      </c>
      <c r="G1039">
        <v>1</v>
      </c>
      <c r="H1039" t="s">
        <v>2255</v>
      </c>
      <c r="I1039" t="s">
        <v>211</v>
      </c>
      <c r="J1039" t="s">
        <v>212</v>
      </c>
    </row>
    <row r="1040" spans="1:10" x14ac:dyDescent="0.3">
      <c r="A1040" t="s">
        <v>2908</v>
      </c>
      <c r="B1040" t="s">
        <v>2905</v>
      </c>
      <c r="C1040" t="s">
        <v>2237</v>
      </c>
      <c r="D1040" t="s">
        <v>324</v>
      </c>
      <c r="E1040" t="s">
        <v>325</v>
      </c>
      <c r="F1040">
        <v>1</v>
      </c>
      <c r="G1040">
        <v>1</v>
      </c>
      <c r="H1040" t="s">
        <v>2257</v>
      </c>
      <c r="I1040" t="s">
        <v>211</v>
      </c>
      <c r="J1040" t="s">
        <v>212</v>
      </c>
    </row>
    <row r="1041" spans="1:10" x14ac:dyDescent="0.3">
      <c r="A1041" t="s">
        <v>2909</v>
      </c>
      <c r="B1041" t="s">
        <v>2905</v>
      </c>
      <c r="C1041" t="s">
        <v>2241</v>
      </c>
      <c r="D1041" t="s">
        <v>324</v>
      </c>
      <c r="E1041" t="s">
        <v>325</v>
      </c>
      <c r="F1041">
        <v>1</v>
      </c>
      <c r="G1041">
        <v>1</v>
      </c>
      <c r="H1041" t="s">
        <v>2259</v>
      </c>
      <c r="I1041" t="s">
        <v>211</v>
      </c>
      <c r="J1041" t="s">
        <v>212</v>
      </c>
    </row>
    <row r="1042" spans="1:10" x14ac:dyDescent="0.3">
      <c r="A1042" t="s">
        <v>2910</v>
      </c>
      <c r="B1042" t="s">
        <v>2905</v>
      </c>
      <c r="C1042" t="s">
        <v>2244</v>
      </c>
      <c r="D1042" t="s">
        <v>324</v>
      </c>
      <c r="E1042" t="s">
        <v>325</v>
      </c>
      <c r="F1042">
        <v>1</v>
      </c>
      <c r="G1042">
        <v>1</v>
      </c>
      <c r="H1042" t="s">
        <v>2261</v>
      </c>
      <c r="I1042" t="s">
        <v>211</v>
      </c>
      <c r="J1042" t="s">
        <v>212</v>
      </c>
    </row>
    <row r="1043" spans="1:10" x14ac:dyDescent="0.3">
      <c r="A1043" t="s">
        <v>2911</v>
      </c>
      <c r="B1043" t="s">
        <v>2905</v>
      </c>
      <c r="C1043" t="s">
        <v>2247</v>
      </c>
      <c r="D1043" t="s">
        <v>324</v>
      </c>
      <c r="E1043" t="s">
        <v>325</v>
      </c>
      <c r="F1043">
        <v>1</v>
      </c>
      <c r="G1043">
        <v>1</v>
      </c>
      <c r="H1043" t="s">
        <v>2263</v>
      </c>
      <c r="I1043" t="s">
        <v>211</v>
      </c>
      <c r="J1043" t="s">
        <v>212</v>
      </c>
    </row>
    <row r="1044" spans="1:10" x14ac:dyDescent="0.3">
      <c r="A1044" t="s">
        <v>2912</v>
      </c>
      <c r="B1044" t="s">
        <v>958</v>
      </c>
      <c r="C1044" t="s">
        <v>2225</v>
      </c>
      <c r="D1044" t="s">
        <v>324</v>
      </c>
      <c r="E1044" t="s">
        <v>325</v>
      </c>
      <c r="F1044">
        <v>1</v>
      </c>
      <c r="G1044">
        <v>1</v>
      </c>
      <c r="H1044" t="s">
        <v>2251</v>
      </c>
      <c r="I1044" t="s">
        <v>211</v>
      </c>
      <c r="J1044" t="s">
        <v>212</v>
      </c>
    </row>
    <row r="1045" spans="1:10" x14ac:dyDescent="0.3">
      <c r="A1045" t="s">
        <v>2913</v>
      </c>
      <c r="B1045" t="s">
        <v>958</v>
      </c>
      <c r="C1045" t="s">
        <v>2230</v>
      </c>
      <c r="D1045" t="s">
        <v>324</v>
      </c>
      <c r="E1045" t="s">
        <v>325</v>
      </c>
      <c r="F1045">
        <v>1</v>
      </c>
      <c r="G1045">
        <v>1</v>
      </c>
      <c r="H1045" t="s">
        <v>2253</v>
      </c>
      <c r="I1045" t="s">
        <v>211</v>
      </c>
      <c r="J1045" t="s">
        <v>212</v>
      </c>
    </row>
    <row r="1046" spans="1:10" x14ac:dyDescent="0.3">
      <c r="A1046" t="s">
        <v>2914</v>
      </c>
      <c r="B1046" t="s">
        <v>958</v>
      </c>
      <c r="C1046" t="s">
        <v>2233</v>
      </c>
      <c r="D1046" t="s">
        <v>324</v>
      </c>
      <c r="E1046" t="s">
        <v>325</v>
      </c>
      <c r="F1046">
        <v>1</v>
      </c>
      <c r="G1046">
        <v>1</v>
      </c>
      <c r="H1046" t="s">
        <v>2255</v>
      </c>
      <c r="I1046" t="s">
        <v>211</v>
      </c>
      <c r="J1046" t="s">
        <v>212</v>
      </c>
    </row>
    <row r="1047" spans="1:10" x14ac:dyDescent="0.3">
      <c r="A1047" t="s">
        <v>2915</v>
      </c>
      <c r="B1047" t="s">
        <v>958</v>
      </c>
      <c r="C1047" t="s">
        <v>2237</v>
      </c>
      <c r="D1047" t="s">
        <v>324</v>
      </c>
      <c r="E1047" t="s">
        <v>325</v>
      </c>
      <c r="F1047">
        <v>1</v>
      </c>
      <c r="G1047">
        <v>1</v>
      </c>
      <c r="H1047" t="s">
        <v>2257</v>
      </c>
      <c r="I1047" t="s">
        <v>211</v>
      </c>
      <c r="J1047" t="s">
        <v>212</v>
      </c>
    </row>
    <row r="1048" spans="1:10" x14ac:dyDescent="0.3">
      <c r="A1048" t="s">
        <v>2916</v>
      </c>
      <c r="B1048" t="s">
        <v>958</v>
      </c>
      <c r="C1048" t="s">
        <v>2241</v>
      </c>
      <c r="D1048" t="s">
        <v>324</v>
      </c>
      <c r="E1048" t="s">
        <v>325</v>
      </c>
      <c r="F1048">
        <v>1</v>
      </c>
      <c r="G1048">
        <v>1</v>
      </c>
      <c r="H1048" t="s">
        <v>2259</v>
      </c>
      <c r="I1048" t="s">
        <v>211</v>
      </c>
      <c r="J1048" t="s">
        <v>212</v>
      </c>
    </row>
    <row r="1049" spans="1:10" x14ac:dyDescent="0.3">
      <c r="A1049" t="s">
        <v>2917</v>
      </c>
      <c r="B1049" t="s">
        <v>958</v>
      </c>
      <c r="C1049" t="s">
        <v>2244</v>
      </c>
      <c r="D1049" t="s">
        <v>324</v>
      </c>
      <c r="E1049" t="s">
        <v>325</v>
      </c>
      <c r="F1049">
        <v>1</v>
      </c>
      <c r="G1049">
        <v>1</v>
      </c>
      <c r="H1049" t="s">
        <v>2261</v>
      </c>
      <c r="I1049" t="s">
        <v>211</v>
      </c>
      <c r="J1049" t="s">
        <v>212</v>
      </c>
    </row>
    <row r="1050" spans="1:10" x14ac:dyDescent="0.3">
      <c r="A1050" t="s">
        <v>2918</v>
      </c>
      <c r="B1050" t="s">
        <v>958</v>
      </c>
      <c r="C1050" t="s">
        <v>2247</v>
      </c>
      <c r="D1050" t="s">
        <v>324</v>
      </c>
      <c r="E1050" t="s">
        <v>325</v>
      </c>
      <c r="F1050">
        <v>1</v>
      </c>
      <c r="G1050">
        <v>1</v>
      </c>
      <c r="H1050" t="s">
        <v>2263</v>
      </c>
      <c r="I1050" t="s">
        <v>211</v>
      </c>
      <c r="J1050" t="s">
        <v>212</v>
      </c>
    </row>
    <row r="1051" spans="1:10" x14ac:dyDescent="0.3">
      <c r="A1051" t="s">
        <v>2932</v>
      </c>
      <c r="B1051" t="s">
        <v>2919</v>
      </c>
      <c r="C1051" t="s">
        <v>2033</v>
      </c>
      <c r="D1051" t="s">
        <v>1153</v>
      </c>
      <c r="E1051" t="s">
        <v>2052</v>
      </c>
      <c r="F1051">
        <v>1</v>
      </c>
      <c r="G1051">
        <v>1</v>
      </c>
      <c r="H1051" t="s">
        <v>2933</v>
      </c>
      <c r="I1051" t="s">
        <v>211</v>
      </c>
      <c r="J1051" t="s">
        <v>212</v>
      </c>
    </row>
    <row r="1052" spans="1:10" x14ac:dyDescent="0.3">
      <c r="A1052" t="s">
        <v>2934</v>
      </c>
      <c r="B1052" t="s">
        <v>2919</v>
      </c>
      <c r="C1052" t="s">
        <v>2046</v>
      </c>
      <c r="D1052" t="s">
        <v>1153</v>
      </c>
      <c r="E1052" t="s">
        <v>220</v>
      </c>
      <c r="F1052">
        <v>1</v>
      </c>
      <c r="G1052">
        <v>1</v>
      </c>
      <c r="H1052" t="s">
        <v>2935</v>
      </c>
      <c r="I1052" t="s">
        <v>211</v>
      </c>
      <c r="J1052" t="s">
        <v>212</v>
      </c>
    </row>
    <row r="1053" spans="1:10" x14ac:dyDescent="0.3">
      <c r="A1053" t="s">
        <v>2936</v>
      </c>
      <c r="B1053" t="s">
        <v>2924</v>
      </c>
      <c r="C1053" t="s">
        <v>2919</v>
      </c>
      <c r="D1053" t="s">
        <v>1153</v>
      </c>
      <c r="E1053" t="s">
        <v>2052</v>
      </c>
      <c r="F1053">
        <v>1</v>
      </c>
      <c r="G1053">
        <v>1</v>
      </c>
      <c r="H1053" t="s">
        <v>2937</v>
      </c>
      <c r="I1053" t="s">
        <v>211</v>
      </c>
      <c r="J1053" t="s">
        <v>212</v>
      </c>
    </row>
    <row r="1054" spans="1:10" x14ac:dyDescent="0.3">
      <c r="A1054" t="s">
        <v>2938</v>
      </c>
      <c r="B1054" t="s">
        <v>2924</v>
      </c>
      <c r="C1054" t="s">
        <v>2033</v>
      </c>
      <c r="D1054" t="s">
        <v>1153</v>
      </c>
      <c r="E1054" t="s">
        <v>2052</v>
      </c>
      <c r="F1054">
        <v>1</v>
      </c>
      <c r="G1054">
        <v>1</v>
      </c>
      <c r="H1054" t="s">
        <v>2939</v>
      </c>
      <c r="I1054" t="s">
        <v>211</v>
      </c>
      <c r="J1054" t="s">
        <v>212</v>
      </c>
    </row>
    <row r="1055" spans="1:10" x14ac:dyDescent="0.3">
      <c r="A1055" t="s">
        <v>2940</v>
      </c>
      <c r="B1055" t="s">
        <v>2924</v>
      </c>
      <c r="C1055" t="s">
        <v>2039</v>
      </c>
      <c r="D1055" t="s">
        <v>1153</v>
      </c>
      <c r="E1055" t="s">
        <v>2052</v>
      </c>
      <c r="F1055">
        <v>1</v>
      </c>
      <c r="G1055">
        <v>1</v>
      </c>
      <c r="H1055" t="s">
        <v>2941</v>
      </c>
      <c r="I1055" t="s">
        <v>211</v>
      </c>
      <c r="J1055" t="s">
        <v>212</v>
      </c>
    </row>
    <row r="1056" spans="1:10" x14ac:dyDescent="0.3">
      <c r="A1056" t="s">
        <v>2942</v>
      </c>
      <c r="B1056" t="s">
        <v>2924</v>
      </c>
      <c r="C1056" t="s">
        <v>2042</v>
      </c>
      <c r="D1056" t="s">
        <v>1153</v>
      </c>
      <c r="E1056" t="s">
        <v>2052</v>
      </c>
      <c r="F1056">
        <v>1</v>
      </c>
      <c r="G1056">
        <v>1</v>
      </c>
      <c r="H1056" t="s">
        <v>2943</v>
      </c>
      <c r="I1056" t="s">
        <v>211</v>
      </c>
      <c r="J1056" t="s">
        <v>212</v>
      </c>
    </row>
    <row r="1057" spans="1:10" x14ac:dyDescent="0.3">
      <c r="A1057" t="s">
        <v>2944</v>
      </c>
      <c r="B1057" t="s">
        <v>2924</v>
      </c>
      <c r="C1057" t="s">
        <v>1720</v>
      </c>
      <c r="D1057" t="s">
        <v>1153</v>
      </c>
      <c r="E1057" t="s">
        <v>2052</v>
      </c>
      <c r="F1057">
        <v>1</v>
      </c>
      <c r="G1057">
        <v>1</v>
      </c>
      <c r="H1057" t="s">
        <v>2945</v>
      </c>
      <c r="I1057" t="s">
        <v>211</v>
      </c>
      <c r="J1057" t="s">
        <v>212</v>
      </c>
    </row>
    <row r="1058" spans="1:10" x14ac:dyDescent="0.3">
      <c r="A1058" t="s">
        <v>2946</v>
      </c>
      <c r="B1058" t="s">
        <v>2928</v>
      </c>
      <c r="C1058" t="s">
        <v>2225</v>
      </c>
      <c r="D1058" t="s">
        <v>324</v>
      </c>
      <c r="E1058" t="s">
        <v>325</v>
      </c>
      <c r="F1058">
        <v>1</v>
      </c>
      <c r="G1058">
        <v>1</v>
      </c>
      <c r="H1058" t="s">
        <v>2947</v>
      </c>
      <c r="I1058" t="s">
        <v>211</v>
      </c>
      <c r="J1058" t="s">
        <v>212</v>
      </c>
    </row>
    <row r="1059" spans="1:10" x14ac:dyDescent="0.3">
      <c r="A1059" t="s">
        <v>2948</v>
      </c>
      <c r="B1059" t="s">
        <v>2928</v>
      </c>
      <c r="C1059" t="s">
        <v>2230</v>
      </c>
      <c r="D1059" t="s">
        <v>324</v>
      </c>
      <c r="E1059" t="s">
        <v>325</v>
      </c>
      <c r="F1059">
        <v>1</v>
      </c>
      <c r="G1059">
        <v>1</v>
      </c>
      <c r="H1059" t="s">
        <v>2949</v>
      </c>
      <c r="I1059" t="s">
        <v>211</v>
      </c>
      <c r="J1059" t="s">
        <v>212</v>
      </c>
    </row>
    <row r="1060" spans="1:10" x14ac:dyDescent="0.3">
      <c r="A1060" t="s">
        <v>2950</v>
      </c>
      <c r="B1060" t="s">
        <v>2928</v>
      </c>
      <c r="C1060" t="s">
        <v>2233</v>
      </c>
      <c r="D1060" t="s">
        <v>324</v>
      </c>
      <c r="E1060" t="s">
        <v>325</v>
      </c>
      <c r="F1060">
        <v>1</v>
      </c>
      <c r="G1060">
        <v>1</v>
      </c>
      <c r="H1060" t="s">
        <v>2951</v>
      </c>
      <c r="I1060" t="s">
        <v>211</v>
      </c>
      <c r="J1060" t="s">
        <v>212</v>
      </c>
    </row>
    <row r="1061" spans="1:10" x14ac:dyDescent="0.3">
      <c r="A1061" t="s">
        <v>2952</v>
      </c>
      <c r="B1061" t="s">
        <v>2928</v>
      </c>
      <c r="C1061" t="s">
        <v>2247</v>
      </c>
      <c r="D1061" t="s">
        <v>324</v>
      </c>
      <c r="E1061" t="s">
        <v>325</v>
      </c>
      <c r="F1061">
        <v>1</v>
      </c>
      <c r="G1061">
        <v>1</v>
      </c>
      <c r="H1061" t="s">
        <v>2953</v>
      </c>
      <c r="I1061" t="s">
        <v>211</v>
      </c>
      <c r="J1061" t="s">
        <v>212</v>
      </c>
    </row>
    <row r="1062" spans="1:10" x14ac:dyDescent="0.3">
      <c r="A1062" t="s">
        <v>2954</v>
      </c>
      <c r="B1062" t="s">
        <v>2928</v>
      </c>
      <c r="C1062" t="s">
        <v>2244</v>
      </c>
      <c r="D1062" t="s">
        <v>324</v>
      </c>
      <c r="E1062" t="s">
        <v>325</v>
      </c>
      <c r="F1062">
        <v>1</v>
      </c>
      <c r="G1062">
        <v>1</v>
      </c>
      <c r="H1062" t="s">
        <v>2955</v>
      </c>
      <c r="I1062" t="s">
        <v>211</v>
      </c>
      <c r="J1062" t="s">
        <v>212</v>
      </c>
    </row>
    <row r="1063" spans="1:10" x14ac:dyDescent="0.3">
      <c r="A1063" t="s">
        <v>2956</v>
      </c>
      <c r="B1063" t="s">
        <v>2928</v>
      </c>
      <c r="C1063" t="s">
        <v>2919</v>
      </c>
      <c r="D1063" t="s">
        <v>1153</v>
      </c>
      <c r="E1063" t="s">
        <v>2957</v>
      </c>
      <c r="F1063">
        <v>1</v>
      </c>
      <c r="G1063">
        <v>1</v>
      </c>
      <c r="H1063" t="s">
        <v>2958</v>
      </c>
      <c r="I1063" t="s">
        <v>211</v>
      </c>
      <c r="J1063" t="s">
        <v>212</v>
      </c>
    </row>
    <row r="1064" spans="1:10" x14ac:dyDescent="0.3">
      <c r="A1064" t="s">
        <v>2959</v>
      </c>
      <c r="B1064" t="s">
        <v>2919</v>
      </c>
      <c r="C1064" t="s">
        <v>2152</v>
      </c>
      <c r="D1064" t="s">
        <v>1153</v>
      </c>
      <c r="E1064" t="s">
        <v>220</v>
      </c>
      <c r="F1064">
        <v>1</v>
      </c>
      <c r="G1064">
        <v>1</v>
      </c>
      <c r="H1064" t="s">
        <v>2960</v>
      </c>
      <c r="I1064" t="s">
        <v>211</v>
      </c>
      <c r="J1064" t="s">
        <v>212</v>
      </c>
    </row>
    <row r="1065" spans="1:10" x14ac:dyDescent="0.3">
      <c r="A1065" t="s">
        <v>2961</v>
      </c>
      <c r="B1065" t="s">
        <v>2919</v>
      </c>
      <c r="C1065" t="s">
        <v>2156</v>
      </c>
      <c r="D1065" t="s">
        <v>1153</v>
      </c>
      <c r="E1065" t="s">
        <v>220</v>
      </c>
      <c r="F1065">
        <v>1</v>
      </c>
      <c r="G1065">
        <v>1</v>
      </c>
      <c r="H1065" t="s">
        <v>2962</v>
      </c>
      <c r="I1065" t="s">
        <v>211</v>
      </c>
      <c r="J1065" t="s">
        <v>212</v>
      </c>
    </row>
  </sheetData>
  <conditionalFormatting sqref="I2:I164">
    <cfRule type="cellIs" dxfId="8" priority="1" operator="equal">
      <formula>"continues"</formula>
    </cfRule>
    <cfRule type="cellIs" dxfId="7" priority="2" operator="equal">
      <formula>"dead_end"</formula>
    </cfRule>
    <cfRule type="cellIs" dxfId="6" priority="3" operator="equal">
      <formula>"problematic"</formula>
    </cfRule>
    <cfRule type="cellIs" dxfId="5" priority="4" operator="equal">
      <formula>"explanatory_terminal"</formula>
    </cfRule>
  </conditionalFormatting>
  <dataValidations count="4">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xr:uid="{00000000-0002-0000-0100-000000000000}">
      <formula1>"forces,requires,enables,constrains,contradicts,collapses_to,grounds,propagates_to,supports,maps_to,describes,causes,precedes,references,derives_from,attacks"</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xr:uid="{00000000-0002-0000-0100-000001000000}">
      <formula1>"entity,role,evidence,time,ops,context,provenance"</formula1>
    </dataValidation>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xr:uid="{00000000-0002-0000-0100-000002000000}">
      <formula1>"continues,dead_end,problematic,explanatory_terminal,collapses,deferred,untested"</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xr:uid="{00000000-0002-0000-0100-000003000000}">
      <formula1>"self_refutation,infinite_regress,empirical_contradiction,logical_incoherence,explanatory_terminal,none"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sheetPr>
  <dimension ref="A1:N22"/>
  <sheetViews>
    <sheetView workbookViewId="0">
      <pane xSplit="4" ySplit="1" topLeftCell="E2" activePane="bottomRight" state="frozen"/>
      <selection pane="topRight"/>
      <selection pane="bottomLeft"/>
      <selection pane="bottomRight"/>
    </sheetView>
  </sheetViews>
  <sheetFormatPr defaultRowHeight="14.4" x14ac:dyDescent="0.3"/>
  <cols>
    <col min="1" max="1" width="10" customWidth="1"/>
    <col min="2" max="2" width="12" customWidth="1"/>
    <col min="3" max="4" width="10" customWidth="1"/>
    <col min="5" max="5" width="30" customWidth="1"/>
    <col min="6" max="6" width="20" customWidth="1"/>
    <col min="7" max="7" width="8" customWidth="1"/>
    <col min="8" max="8" width="14" customWidth="1"/>
    <col min="9" max="9" width="50" customWidth="1"/>
    <col min="10" max="14" width="10" customWidth="1"/>
  </cols>
  <sheetData>
    <row r="1" spans="1:14" ht="41.4" x14ac:dyDescent="0.3">
      <c r="A1" s="1" t="s">
        <v>348</v>
      </c>
      <c r="B1" s="1" t="s">
        <v>195</v>
      </c>
      <c r="C1" s="1" t="s">
        <v>349</v>
      </c>
      <c r="D1" s="1" t="s">
        <v>350</v>
      </c>
      <c r="E1" s="1" t="s">
        <v>351</v>
      </c>
      <c r="F1" s="1" t="s">
        <v>352</v>
      </c>
      <c r="G1" s="1" t="s">
        <v>353</v>
      </c>
      <c r="H1" s="1" t="s">
        <v>354</v>
      </c>
      <c r="I1" s="1" t="s">
        <v>355</v>
      </c>
      <c r="J1" s="1" t="s">
        <v>356</v>
      </c>
      <c r="K1" s="1" t="s">
        <v>357</v>
      </c>
      <c r="L1" s="1" t="s">
        <v>358</v>
      </c>
      <c r="M1" s="1" t="s">
        <v>359</v>
      </c>
      <c r="N1" s="1" t="s">
        <v>360</v>
      </c>
    </row>
    <row r="2" spans="1:14" ht="26.4" x14ac:dyDescent="0.3">
      <c r="A2" s="3" t="s">
        <v>361</v>
      </c>
      <c r="B2" s="3" t="s">
        <v>26</v>
      </c>
      <c r="C2" s="3"/>
      <c r="D2" s="3" t="s">
        <v>362</v>
      </c>
      <c r="E2" s="3" t="s">
        <v>363</v>
      </c>
      <c r="F2" s="3" t="s">
        <v>364</v>
      </c>
      <c r="G2" s="3" t="s">
        <v>365</v>
      </c>
      <c r="H2" s="3" t="s">
        <v>366</v>
      </c>
      <c r="I2" s="3" t="s">
        <v>367</v>
      </c>
      <c r="J2" s="3">
        <v>1</v>
      </c>
      <c r="K2" s="3">
        <v>1</v>
      </c>
      <c r="L2" s="3">
        <v>1</v>
      </c>
      <c r="M2" s="3">
        <v>4</v>
      </c>
      <c r="N2" s="3"/>
    </row>
    <row r="3" spans="1:14" ht="26.4" x14ac:dyDescent="0.3">
      <c r="A3" s="4" t="s">
        <v>368</v>
      </c>
      <c r="B3" s="4" t="s">
        <v>30</v>
      </c>
      <c r="C3" s="4"/>
      <c r="D3" s="4" t="s">
        <v>369</v>
      </c>
      <c r="E3" s="4" t="s">
        <v>370</v>
      </c>
      <c r="F3" s="4" t="s">
        <v>371</v>
      </c>
      <c r="G3" s="4" t="s">
        <v>372</v>
      </c>
      <c r="H3" s="4" t="s">
        <v>373</v>
      </c>
      <c r="I3" s="4" t="s">
        <v>374</v>
      </c>
      <c r="J3" s="4">
        <v>0.95</v>
      </c>
      <c r="K3" s="4">
        <v>0.9</v>
      </c>
      <c r="L3" s="4">
        <v>1</v>
      </c>
      <c r="M3" s="4">
        <v>4</v>
      </c>
      <c r="N3" s="4"/>
    </row>
    <row r="4" spans="1:14" ht="26.4" x14ac:dyDescent="0.3">
      <c r="A4" s="3" t="s">
        <v>375</v>
      </c>
      <c r="B4" s="3" t="s">
        <v>174</v>
      </c>
      <c r="C4" s="3"/>
      <c r="D4" s="3" t="s">
        <v>369</v>
      </c>
      <c r="E4" s="3" t="s">
        <v>376</v>
      </c>
      <c r="F4" s="3" t="s">
        <v>364</v>
      </c>
      <c r="G4" s="3" t="s">
        <v>365</v>
      </c>
      <c r="H4" s="3" t="s">
        <v>366</v>
      </c>
      <c r="I4" s="3" t="s">
        <v>377</v>
      </c>
      <c r="J4" s="3">
        <v>1</v>
      </c>
      <c r="K4" s="3">
        <v>1</v>
      </c>
      <c r="L4" s="3">
        <v>1</v>
      </c>
      <c r="M4" s="3">
        <v>4</v>
      </c>
      <c r="N4" s="3"/>
    </row>
    <row r="5" spans="1:14" ht="26.4" x14ac:dyDescent="0.3">
      <c r="A5" s="4" t="s">
        <v>378</v>
      </c>
      <c r="B5" s="4" t="s">
        <v>174</v>
      </c>
      <c r="C5" s="4"/>
      <c r="D5" s="4" t="s">
        <v>369</v>
      </c>
      <c r="E5" s="4" t="s">
        <v>379</v>
      </c>
      <c r="F5" s="4" t="s">
        <v>380</v>
      </c>
      <c r="G5" s="4" t="s">
        <v>381</v>
      </c>
      <c r="H5" s="4" t="s">
        <v>382</v>
      </c>
      <c r="I5" s="4" t="s">
        <v>383</v>
      </c>
      <c r="J5" s="4">
        <v>0.95</v>
      </c>
      <c r="K5" s="4">
        <v>0.95</v>
      </c>
      <c r="L5" s="4">
        <v>0.95</v>
      </c>
      <c r="M5" s="4">
        <v>4</v>
      </c>
      <c r="N5" s="4"/>
    </row>
    <row r="6" spans="1:14" ht="26.4" x14ac:dyDescent="0.3">
      <c r="A6" s="3" t="s">
        <v>384</v>
      </c>
      <c r="B6" s="3" t="s">
        <v>174</v>
      </c>
      <c r="C6" s="3"/>
      <c r="D6" s="3" t="s">
        <v>369</v>
      </c>
      <c r="E6" s="3" t="s">
        <v>385</v>
      </c>
      <c r="F6" s="3" t="s">
        <v>386</v>
      </c>
      <c r="G6" s="3" t="s">
        <v>387</v>
      </c>
      <c r="H6" s="3" t="s">
        <v>388</v>
      </c>
      <c r="I6" s="3" t="s">
        <v>389</v>
      </c>
      <c r="J6" s="3">
        <v>0.99</v>
      </c>
      <c r="K6" s="3">
        <v>0.99</v>
      </c>
      <c r="L6" s="3">
        <v>0.99</v>
      </c>
      <c r="M6" s="3">
        <v>4</v>
      </c>
      <c r="N6" s="3" t="s">
        <v>390</v>
      </c>
    </row>
    <row r="7" spans="1:14" ht="26.4" x14ac:dyDescent="0.3">
      <c r="A7" s="4" t="s">
        <v>391</v>
      </c>
      <c r="B7" s="4" t="s">
        <v>174</v>
      </c>
      <c r="C7" s="4"/>
      <c r="D7" s="4" t="s">
        <v>369</v>
      </c>
      <c r="E7" s="4" t="s">
        <v>392</v>
      </c>
      <c r="F7" s="4" t="s">
        <v>393</v>
      </c>
      <c r="G7" s="4" t="s">
        <v>394</v>
      </c>
      <c r="H7" s="4" t="s">
        <v>395</v>
      </c>
      <c r="I7" s="4" t="s">
        <v>396</v>
      </c>
      <c r="J7" s="4">
        <v>1</v>
      </c>
      <c r="K7" s="4">
        <v>1</v>
      </c>
      <c r="L7" s="4">
        <v>1</v>
      </c>
      <c r="M7" s="4">
        <v>4</v>
      </c>
      <c r="N7" s="4"/>
    </row>
    <row r="8" spans="1:14" ht="26.4" x14ac:dyDescent="0.3">
      <c r="A8" s="3" t="s">
        <v>397</v>
      </c>
      <c r="B8" s="3" t="s">
        <v>61</v>
      </c>
      <c r="C8" s="3"/>
      <c r="D8" s="3" t="s">
        <v>369</v>
      </c>
      <c r="E8" s="3" t="s">
        <v>398</v>
      </c>
      <c r="F8" s="3" t="s">
        <v>399</v>
      </c>
      <c r="G8" s="3" t="s">
        <v>400</v>
      </c>
      <c r="H8" s="3" t="s">
        <v>395</v>
      </c>
      <c r="I8" s="3" t="s">
        <v>401</v>
      </c>
      <c r="J8" s="3">
        <v>1</v>
      </c>
      <c r="K8" s="3">
        <v>0.95</v>
      </c>
      <c r="L8" s="3">
        <v>1</v>
      </c>
      <c r="M8" s="3">
        <v>4</v>
      </c>
      <c r="N8" s="3"/>
    </row>
    <row r="9" spans="1:14" ht="26.4" x14ac:dyDescent="0.3">
      <c r="A9" s="4" t="s">
        <v>402</v>
      </c>
      <c r="B9" s="4" t="s">
        <v>76</v>
      </c>
      <c r="C9" s="4"/>
      <c r="D9" s="4" t="s">
        <v>362</v>
      </c>
      <c r="E9" s="4" t="s">
        <v>403</v>
      </c>
      <c r="F9" s="4" t="s">
        <v>404</v>
      </c>
      <c r="G9" s="4" t="s">
        <v>405</v>
      </c>
      <c r="H9" s="4" t="s">
        <v>382</v>
      </c>
      <c r="I9" s="4" t="s">
        <v>406</v>
      </c>
      <c r="J9" s="4">
        <v>0.99</v>
      </c>
      <c r="K9" s="4">
        <v>0.99</v>
      </c>
      <c r="L9" s="4">
        <v>0.99</v>
      </c>
      <c r="M9" s="4">
        <v>4</v>
      </c>
      <c r="N9" s="4"/>
    </row>
    <row r="10" spans="1:14" ht="26.4" x14ac:dyDescent="0.3">
      <c r="A10" s="3" t="s">
        <v>407</v>
      </c>
      <c r="B10" s="3" t="s">
        <v>92</v>
      </c>
      <c r="C10" s="3"/>
      <c r="D10" s="3" t="s">
        <v>362</v>
      </c>
      <c r="E10" s="3" t="s">
        <v>408</v>
      </c>
      <c r="F10" s="3" t="s">
        <v>364</v>
      </c>
      <c r="G10" s="3" t="s">
        <v>365</v>
      </c>
      <c r="H10" s="3" t="s">
        <v>366</v>
      </c>
      <c r="I10" s="3" t="s">
        <v>409</v>
      </c>
      <c r="J10" s="3">
        <v>1</v>
      </c>
      <c r="K10" s="3">
        <v>1</v>
      </c>
      <c r="L10" s="3">
        <v>1</v>
      </c>
      <c r="M10" s="3">
        <v>4</v>
      </c>
      <c r="N10" s="3"/>
    </row>
    <row r="11" spans="1:14" ht="26.4" x14ac:dyDescent="0.3">
      <c r="A11" s="4" t="s">
        <v>410</v>
      </c>
      <c r="B11" s="4" t="s">
        <v>120</v>
      </c>
      <c r="C11" s="4"/>
      <c r="D11" s="4" t="s">
        <v>362</v>
      </c>
      <c r="E11" s="4" t="s">
        <v>411</v>
      </c>
      <c r="F11" s="4" t="s">
        <v>380</v>
      </c>
      <c r="G11" s="4" t="s">
        <v>412</v>
      </c>
      <c r="H11" s="4" t="s">
        <v>388</v>
      </c>
      <c r="I11" s="4" t="s">
        <v>413</v>
      </c>
      <c r="J11" s="4">
        <v>0.99</v>
      </c>
      <c r="K11" s="4">
        <v>0.99</v>
      </c>
      <c r="L11" s="4">
        <v>0.99</v>
      </c>
      <c r="M11" s="4">
        <v>4</v>
      </c>
      <c r="N11" s="4" t="s">
        <v>414</v>
      </c>
    </row>
    <row r="12" spans="1:14" ht="26.4" x14ac:dyDescent="0.3">
      <c r="A12" s="3" t="s">
        <v>415</v>
      </c>
      <c r="B12" s="3" t="s">
        <v>126</v>
      </c>
      <c r="C12" s="3"/>
      <c r="D12" s="3" t="s">
        <v>362</v>
      </c>
      <c r="E12" s="3" t="s">
        <v>416</v>
      </c>
      <c r="F12" s="3" t="s">
        <v>417</v>
      </c>
      <c r="G12" s="3" t="s">
        <v>418</v>
      </c>
      <c r="H12" s="3" t="s">
        <v>366</v>
      </c>
      <c r="I12" s="3" t="s">
        <v>419</v>
      </c>
      <c r="J12" s="3">
        <v>1</v>
      </c>
      <c r="K12" s="3">
        <v>0.95</v>
      </c>
      <c r="L12" s="3">
        <v>1</v>
      </c>
      <c r="M12" s="3">
        <v>4</v>
      </c>
      <c r="N12" s="3"/>
    </row>
    <row r="13" spans="1:14" ht="26.4" x14ac:dyDescent="0.3">
      <c r="A13" s="4" t="s">
        <v>420</v>
      </c>
      <c r="B13" s="4" t="s">
        <v>147</v>
      </c>
      <c r="C13" s="4"/>
      <c r="D13" s="4" t="s">
        <v>362</v>
      </c>
      <c r="E13" s="4" t="s">
        <v>421</v>
      </c>
      <c r="F13" s="4" t="s">
        <v>422</v>
      </c>
      <c r="G13" s="4" t="s">
        <v>365</v>
      </c>
      <c r="H13" s="4" t="s">
        <v>395</v>
      </c>
      <c r="I13" s="4" t="s">
        <v>423</v>
      </c>
      <c r="J13" s="4">
        <v>0.9</v>
      </c>
      <c r="K13" s="4">
        <v>0.8</v>
      </c>
      <c r="L13" s="4">
        <v>0.9</v>
      </c>
      <c r="M13" s="4">
        <v>3</v>
      </c>
      <c r="N13" s="4"/>
    </row>
    <row r="14" spans="1:14" ht="26.4" x14ac:dyDescent="0.3">
      <c r="A14" s="3" t="s">
        <v>424</v>
      </c>
      <c r="B14" s="3" t="s">
        <v>190</v>
      </c>
      <c r="C14" s="3"/>
      <c r="D14" s="3" t="s">
        <v>369</v>
      </c>
      <c r="E14" s="3" t="s">
        <v>425</v>
      </c>
      <c r="F14" s="3" t="s">
        <v>426</v>
      </c>
      <c r="G14" s="3" t="s">
        <v>427</v>
      </c>
      <c r="H14" s="3" t="s">
        <v>388</v>
      </c>
      <c r="I14" s="3" t="s">
        <v>428</v>
      </c>
      <c r="J14" s="3">
        <v>0.85</v>
      </c>
      <c r="K14" s="3">
        <v>0.8</v>
      </c>
      <c r="L14" s="3">
        <v>0.7</v>
      </c>
      <c r="M14" s="3">
        <v>3</v>
      </c>
      <c r="N14" s="3" t="s">
        <v>429</v>
      </c>
    </row>
    <row r="15" spans="1:14" ht="26.4" x14ac:dyDescent="0.3">
      <c r="A15" s="4" t="s">
        <v>430</v>
      </c>
      <c r="B15" s="4" t="s">
        <v>190</v>
      </c>
      <c r="C15" s="4"/>
      <c r="D15" s="4" t="s">
        <v>369</v>
      </c>
      <c r="E15" s="4" t="s">
        <v>431</v>
      </c>
      <c r="F15" s="4" t="s">
        <v>432</v>
      </c>
      <c r="G15" s="4" t="s">
        <v>433</v>
      </c>
      <c r="H15" s="4" t="s">
        <v>388</v>
      </c>
      <c r="I15" s="4" t="s">
        <v>434</v>
      </c>
      <c r="J15" s="4">
        <v>0.8</v>
      </c>
      <c r="K15" s="4">
        <v>0.75</v>
      </c>
      <c r="L15" s="4">
        <v>0.7</v>
      </c>
      <c r="M15" s="4">
        <v>3</v>
      </c>
      <c r="N15" s="4" t="s">
        <v>435</v>
      </c>
    </row>
    <row r="16" spans="1:14" ht="39.6" x14ac:dyDescent="0.3">
      <c r="A16" s="57" t="s">
        <v>2192</v>
      </c>
      <c r="B16" s="57" t="s">
        <v>2152</v>
      </c>
      <c r="C16" t="s">
        <v>2168</v>
      </c>
      <c r="D16" s="57" t="s">
        <v>369</v>
      </c>
      <c r="E16" s="57" t="s">
        <v>2193</v>
      </c>
      <c r="F16" s="57" t="s">
        <v>2194</v>
      </c>
      <c r="G16" s="57" t="s">
        <v>2195</v>
      </c>
      <c r="H16" s="57" t="s">
        <v>2196</v>
      </c>
      <c r="I16" s="57" t="s">
        <v>2197</v>
      </c>
      <c r="J16" s="57">
        <v>0.8</v>
      </c>
      <c r="K16" s="57">
        <v>1</v>
      </c>
      <c r="L16" s="57">
        <v>1</v>
      </c>
      <c r="M16" s="57">
        <v>4</v>
      </c>
      <c r="N16" s="57" t="s">
        <v>2198</v>
      </c>
    </row>
    <row r="17" spans="1:14" ht="39.6" x14ac:dyDescent="0.3">
      <c r="A17" s="58" t="s">
        <v>2199</v>
      </c>
      <c r="B17" s="58" t="s">
        <v>2147</v>
      </c>
      <c r="C17" t="s">
        <v>2160</v>
      </c>
      <c r="D17" s="58" t="s">
        <v>369</v>
      </c>
      <c r="E17" s="58" t="s">
        <v>2200</v>
      </c>
      <c r="F17" s="58" t="s">
        <v>2201</v>
      </c>
      <c r="G17" s="58" t="s">
        <v>2202</v>
      </c>
      <c r="H17" s="58" t="s">
        <v>2196</v>
      </c>
      <c r="I17" s="58" t="s">
        <v>2203</v>
      </c>
      <c r="J17" s="58">
        <v>0.85</v>
      </c>
      <c r="K17" s="58">
        <v>1</v>
      </c>
      <c r="L17" s="58">
        <v>1</v>
      </c>
      <c r="M17" s="58">
        <v>4</v>
      </c>
      <c r="N17" s="58" t="s">
        <v>2198</v>
      </c>
    </row>
    <row r="18" spans="1:14" ht="26.4" x14ac:dyDescent="0.3">
      <c r="A18" s="57" t="s">
        <v>2204</v>
      </c>
      <c r="B18" s="57" t="s">
        <v>2152</v>
      </c>
      <c r="C18" t="s">
        <v>2172</v>
      </c>
      <c r="D18" s="57" t="s">
        <v>369</v>
      </c>
      <c r="E18" s="57" t="s">
        <v>2205</v>
      </c>
      <c r="F18" s="57" t="s">
        <v>2206</v>
      </c>
      <c r="G18" s="57" t="s">
        <v>2207</v>
      </c>
      <c r="H18" s="57" t="s">
        <v>2196</v>
      </c>
      <c r="I18" s="57" t="s">
        <v>2208</v>
      </c>
      <c r="J18" s="57">
        <v>0.75</v>
      </c>
      <c r="K18" s="57">
        <v>1</v>
      </c>
      <c r="L18" s="57">
        <v>1</v>
      </c>
      <c r="M18" s="57">
        <v>3</v>
      </c>
      <c r="N18" s="57" t="s">
        <v>2198</v>
      </c>
    </row>
    <row r="19" spans="1:14" ht="39.6" x14ac:dyDescent="0.3">
      <c r="A19" s="58" t="s">
        <v>2209</v>
      </c>
      <c r="B19" s="58" t="s">
        <v>2152</v>
      </c>
      <c r="C19" t="s">
        <v>2172</v>
      </c>
      <c r="D19" s="58" t="s">
        <v>369</v>
      </c>
      <c r="E19" s="58" t="s">
        <v>2210</v>
      </c>
      <c r="F19" s="58" t="s">
        <v>2211</v>
      </c>
      <c r="G19" s="58" t="s">
        <v>2212</v>
      </c>
      <c r="H19" s="58" t="s">
        <v>2196</v>
      </c>
      <c r="I19" s="58" t="s">
        <v>2213</v>
      </c>
      <c r="J19" s="58">
        <v>0.8</v>
      </c>
      <c r="K19" s="58">
        <v>1</v>
      </c>
      <c r="L19" s="58">
        <v>1</v>
      </c>
      <c r="M19" s="58">
        <v>3</v>
      </c>
      <c r="N19" s="58" t="s">
        <v>2198</v>
      </c>
    </row>
    <row r="20" spans="1:14" ht="52.8" x14ac:dyDescent="0.3">
      <c r="A20" s="57" t="s">
        <v>2214</v>
      </c>
      <c r="B20" s="57" t="s">
        <v>2152</v>
      </c>
      <c r="C20" t="s">
        <v>2176</v>
      </c>
      <c r="D20" s="57" t="s">
        <v>369</v>
      </c>
      <c r="E20" s="57" t="s">
        <v>2215</v>
      </c>
      <c r="F20" s="57" t="s">
        <v>2194</v>
      </c>
      <c r="G20" s="57" t="s">
        <v>2216</v>
      </c>
      <c r="H20" s="57" t="s">
        <v>2196</v>
      </c>
      <c r="I20" s="57" t="s">
        <v>2217</v>
      </c>
      <c r="J20" s="57">
        <v>0.8</v>
      </c>
      <c r="K20" s="57">
        <v>1</v>
      </c>
      <c r="L20" s="57">
        <v>1</v>
      </c>
      <c r="M20" s="57">
        <v>3</v>
      </c>
      <c r="N20" s="57" t="s">
        <v>2198</v>
      </c>
    </row>
    <row r="21" spans="1:14" ht="52.8" x14ac:dyDescent="0.3">
      <c r="A21" s="58" t="s">
        <v>2218</v>
      </c>
      <c r="B21" s="58" t="s">
        <v>2152</v>
      </c>
      <c r="C21" t="s">
        <v>2170</v>
      </c>
      <c r="D21" s="58" t="s">
        <v>369</v>
      </c>
      <c r="E21" s="58" t="s">
        <v>2219</v>
      </c>
      <c r="F21" s="58" t="s">
        <v>2220</v>
      </c>
      <c r="G21" s="58" t="s">
        <v>2195</v>
      </c>
      <c r="H21" s="58" t="s">
        <v>2196</v>
      </c>
      <c r="I21" s="58" t="s">
        <v>2221</v>
      </c>
      <c r="J21" s="58">
        <v>0.75</v>
      </c>
      <c r="K21" s="58">
        <v>1</v>
      </c>
      <c r="L21" s="58">
        <v>1</v>
      </c>
      <c r="M21" s="58">
        <v>3</v>
      </c>
      <c r="N21" s="58" t="s">
        <v>2198</v>
      </c>
    </row>
    <row r="22" spans="1:14" ht="39.6" x14ac:dyDescent="0.3">
      <c r="A22" s="57" t="s">
        <v>2222</v>
      </c>
      <c r="B22" s="57" t="s">
        <v>2152</v>
      </c>
      <c r="C22" t="s">
        <v>2172</v>
      </c>
      <c r="D22" s="57" t="s">
        <v>369</v>
      </c>
      <c r="E22" s="57" t="s">
        <v>2223</v>
      </c>
      <c r="F22" s="57" t="s">
        <v>2206</v>
      </c>
      <c r="G22" s="57" t="s">
        <v>2207</v>
      </c>
      <c r="H22" s="57" t="s">
        <v>2196</v>
      </c>
      <c r="I22" s="57" t="s">
        <v>2224</v>
      </c>
      <c r="J22" s="57">
        <v>0.8</v>
      </c>
      <c r="K22" s="57">
        <v>1</v>
      </c>
      <c r="L22" s="57">
        <v>1</v>
      </c>
      <c r="M22" s="57">
        <v>3</v>
      </c>
      <c r="N22" s="57" t="s">
        <v>2198</v>
      </c>
    </row>
  </sheetData>
  <conditionalFormatting sqref="J2:L200">
    <cfRule type="colorScale" priority="1">
      <colorScale>
        <cfvo type="num" val="0"/>
        <cfvo type="num" val="0.5"/>
        <cfvo type="num" val="1"/>
        <color rgb="FFF8D7DA"/>
        <color rgb="FFFFF3CD"/>
        <color rgb="FFD4EDDA"/>
      </colorScale>
    </cfRule>
  </conditionalFormatting>
  <dataValidations count="2">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xr:uid="{00000000-0002-0000-0200-000000000000}">
      <formula1>"supports,attacks,neutral"</formula1>
    </dataValidation>
    <dataValidation type="list" allowBlank="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xr:uid="{00000000-0002-0000-0200-000001000000}">
      <formula1>"experiment,mathematical_proof,logical_derivation,historical_source,scriptural_text,philosophical_argument,empirical_observation,tradition,consensus,peer_review,AI_analysis"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4A853"/>
  </sheetPr>
  <dimension ref="A1:D61"/>
  <sheetViews>
    <sheetView workbookViewId="0"/>
  </sheetViews>
  <sheetFormatPr defaultRowHeight="14.4" x14ac:dyDescent="0.3"/>
  <cols>
    <col min="1" max="1" width="5" customWidth="1"/>
    <col min="2" max="2" width="16" customWidth="1"/>
    <col min="3" max="3" width="50" customWidth="1"/>
    <col min="4" max="4" width="35" customWidth="1"/>
  </cols>
  <sheetData>
    <row r="1" spans="1:4" ht="15.6" x14ac:dyDescent="0.3">
      <c r="A1" s="5" t="s">
        <v>436</v>
      </c>
    </row>
    <row r="2" spans="1:4" x14ac:dyDescent="0.3">
      <c r="A2" s="6"/>
    </row>
    <row r="3" spans="1:4" ht="15.6" x14ac:dyDescent="0.3">
      <c r="A3" s="5" t="s">
        <v>437</v>
      </c>
    </row>
    <row r="4" spans="1:4" x14ac:dyDescent="0.3">
      <c r="A4" s="6" t="s">
        <v>438</v>
      </c>
    </row>
    <row r="5" spans="1:4" x14ac:dyDescent="0.3">
      <c r="A5" s="6" t="s">
        <v>439</v>
      </c>
    </row>
    <row r="6" spans="1:4" x14ac:dyDescent="0.3">
      <c r="A6" s="6" t="s">
        <v>440</v>
      </c>
    </row>
    <row r="7" spans="1:4" x14ac:dyDescent="0.3">
      <c r="A7" s="6"/>
    </row>
    <row r="8" spans="1:4" x14ac:dyDescent="0.3">
      <c r="A8" s="6" t="s">
        <v>441</v>
      </c>
    </row>
    <row r="9" spans="1:4" x14ac:dyDescent="0.3">
      <c r="A9" s="7" t="s">
        <v>442</v>
      </c>
      <c r="B9" s="7" t="s">
        <v>443</v>
      </c>
      <c r="C9" s="7" t="s">
        <v>444</v>
      </c>
      <c r="D9" s="7" t="s">
        <v>445</v>
      </c>
    </row>
    <row r="10" spans="1:4" x14ac:dyDescent="0.3">
      <c r="A10" s="6" t="s">
        <v>446</v>
      </c>
      <c r="B10" s="6" t="s">
        <v>447</v>
      </c>
      <c r="C10" s="6" t="s">
        <v>448</v>
      </c>
      <c r="D10" s="6" t="s">
        <v>449</v>
      </c>
    </row>
    <row r="11" spans="1:4" x14ac:dyDescent="0.3">
      <c r="A11" s="6" t="s">
        <v>450</v>
      </c>
      <c r="B11" s="6" t="s">
        <v>451</v>
      </c>
      <c r="C11" s="6" t="s">
        <v>452</v>
      </c>
      <c r="D11" s="6" t="s">
        <v>453</v>
      </c>
    </row>
    <row r="12" spans="1:4" x14ac:dyDescent="0.3">
      <c r="A12" s="6" t="s">
        <v>454</v>
      </c>
      <c r="B12" s="6" t="s">
        <v>455</v>
      </c>
      <c r="C12" s="6" t="s">
        <v>456</v>
      </c>
      <c r="D12" s="6" t="s">
        <v>457</v>
      </c>
    </row>
    <row r="13" spans="1:4" x14ac:dyDescent="0.3">
      <c r="A13" s="6" t="s">
        <v>458</v>
      </c>
      <c r="B13" s="6" t="s">
        <v>459</v>
      </c>
      <c r="C13" s="6" t="s">
        <v>460</v>
      </c>
      <c r="D13" s="6" t="s">
        <v>461</v>
      </c>
    </row>
    <row r="14" spans="1:4" x14ac:dyDescent="0.3">
      <c r="A14" s="6" t="s">
        <v>462</v>
      </c>
      <c r="B14" s="6" t="s">
        <v>463</v>
      </c>
      <c r="C14" s="6" t="s">
        <v>464</v>
      </c>
      <c r="D14" s="6" t="s">
        <v>465</v>
      </c>
    </row>
    <row r="15" spans="1:4" x14ac:dyDescent="0.3">
      <c r="A15" s="6" t="s">
        <v>466</v>
      </c>
      <c r="B15" s="6" t="s">
        <v>467</v>
      </c>
      <c r="C15" s="6" t="s">
        <v>468</v>
      </c>
      <c r="D15" s="6" t="s">
        <v>469</v>
      </c>
    </row>
    <row r="16" spans="1:4" x14ac:dyDescent="0.3">
      <c r="A16" s="6" t="s">
        <v>470</v>
      </c>
      <c r="B16" s="6" t="s">
        <v>471</v>
      </c>
      <c r="C16" s="6" t="s">
        <v>472</v>
      </c>
      <c r="D16" s="6" t="s">
        <v>473</v>
      </c>
    </row>
    <row r="17" spans="1:4" x14ac:dyDescent="0.3">
      <c r="A17" s="6" t="s">
        <v>474</v>
      </c>
      <c r="B17" s="6" t="s">
        <v>475</v>
      </c>
      <c r="C17" s="6" t="s">
        <v>476</v>
      </c>
      <c r="D17" s="6" t="s">
        <v>477</v>
      </c>
    </row>
    <row r="18" spans="1:4" x14ac:dyDescent="0.3">
      <c r="A18" s="6"/>
    </row>
    <row r="19" spans="1:4" x14ac:dyDescent="0.3">
      <c r="A19" s="6" t="s">
        <v>478</v>
      </c>
    </row>
    <row r="20" spans="1:4" x14ac:dyDescent="0.3">
      <c r="A20" s="6" t="s">
        <v>479</v>
      </c>
    </row>
    <row r="21" spans="1:4" x14ac:dyDescent="0.3">
      <c r="A21" s="6" t="s">
        <v>480</v>
      </c>
    </row>
    <row r="22" spans="1:4" x14ac:dyDescent="0.3">
      <c r="A22" s="6" t="s">
        <v>481</v>
      </c>
    </row>
    <row r="23" spans="1:4" x14ac:dyDescent="0.3">
      <c r="A23" s="6"/>
    </row>
    <row r="24" spans="1:4" ht="15.6" x14ac:dyDescent="0.3">
      <c r="A24" s="5" t="s">
        <v>482</v>
      </c>
    </row>
    <row r="25" spans="1:4" x14ac:dyDescent="0.3">
      <c r="A25" s="6" t="s">
        <v>483</v>
      </c>
    </row>
    <row r="26" spans="1:4" x14ac:dyDescent="0.3">
      <c r="A26" s="6" t="s">
        <v>484</v>
      </c>
    </row>
    <row r="27" spans="1:4" x14ac:dyDescent="0.3">
      <c r="A27" s="6" t="s">
        <v>485</v>
      </c>
    </row>
    <row r="28" spans="1:4" x14ac:dyDescent="0.3">
      <c r="A28" s="6"/>
    </row>
    <row r="29" spans="1:4" x14ac:dyDescent="0.3">
      <c r="A29" s="6" t="s">
        <v>486</v>
      </c>
    </row>
    <row r="30" spans="1:4" x14ac:dyDescent="0.3">
      <c r="A30" s="6" t="s">
        <v>487</v>
      </c>
    </row>
    <row r="31" spans="1:4" x14ac:dyDescent="0.3">
      <c r="A31" s="6" t="s">
        <v>488</v>
      </c>
    </row>
    <row r="32" spans="1:4" x14ac:dyDescent="0.3">
      <c r="A32" s="6" t="s">
        <v>489</v>
      </c>
    </row>
    <row r="33" spans="1:1" x14ac:dyDescent="0.3">
      <c r="A33" s="6" t="s">
        <v>490</v>
      </c>
    </row>
    <row r="34" spans="1:1" x14ac:dyDescent="0.3">
      <c r="A34" s="6"/>
    </row>
    <row r="35" spans="1:1" ht="15.6" x14ac:dyDescent="0.3">
      <c r="A35" s="5" t="s">
        <v>491</v>
      </c>
    </row>
    <row r="36" spans="1:1" x14ac:dyDescent="0.3">
      <c r="A36" s="6" t="s">
        <v>492</v>
      </c>
    </row>
    <row r="37" spans="1:1" x14ac:dyDescent="0.3">
      <c r="A37" s="6" t="s">
        <v>493</v>
      </c>
    </row>
    <row r="38" spans="1:1" x14ac:dyDescent="0.3">
      <c r="A38" s="6" t="s">
        <v>494</v>
      </c>
    </row>
    <row r="39" spans="1:1" x14ac:dyDescent="0.3">
      <c r="A39" s="6" t="s">
        <v>495</v>
      </c>
    </row>
    <row r="40" spans="1:1" x14ac:dyDescent="0.3">
      <c r="A40" s="6"/>
    </row>
    <row r="41" spans="1:1" ht="15.6" x14ac:dyDescent="0.3">
      <c r="A41" s="5" t="s">
        <v>496</v>
      </c>
    </row>
    <row r="42" spans="1:1" x14ac:dyDescent="0.3">
      <c r="A42" s="6" t="s">
        <v>497</v>
      </c>
    </row>
    <row r="43" spans="1:1" x14ac:dyDescent="0.3">
      <c r="A43" s="6" t="s">
        <v>498</v>
      </c>
    </row>
    <row r="44" spans="1:1" x14ac:dyDescent="0.3">
      <c r="A44" s="6" t="s">
        <v>499</v>
      </c>
    </row>
    <row r="45" spans="1:1" x14ac:dyDescent="0.3">
      <c r="A45" s="6" t="s">
        <v>500</v>
      </c>
    </row>
    <row r="46" spans="1:1" x14ac:dyDescent="0.3">
      <c r="A46" s="6" t="s">
        <v>501</v>
      </c>
    </row>
    <row r="47" spans="1:1" x14ac:dyDescent="0.3">
      <c r="A47" s="6" t="s">
        <v>502</v>
      </c>
    </row>
    <row r="48" spans="1:1" x14ac:dyDescent="0.3">
      <c r="A48" s="6" t="s">
        <v>503</v>
      </c>
    </row>
    <row r="49" spans="1:1" x14ac:dyDescent="0.3">
      <c r="A49" s="6" t="s">
        <v>504</v>
      </c>
    </row>
    <row r="50" spans="1:1" x14ac:dyDescent="0.3">
      <c r="A50" s="6" t="s">
        <v>505</v>
      </c>
    </row>
    <row r="51" spans="1:1" x14ac:dyDescent="0.3">
      <c r="A51" s="6" t="s">
        <v>506</v>
      </c>
    </row>
    <row r="52" spans="1:1" x14ac:dyDescent="0.3">
      <c r="A52" s="6" t="s">
        <v>507</v>
      </c>
    </row>
    <row r="53" spans="1:1" x14ac:dyDescent="0.3">
      <c r="A53" s="6" t="s">
        <v>508</v>
      </c>
    </row>
    <row r="54" spans="1:1" x14ac:dyDescent="0.3">
      <c r="A54" s="6" t="s">
        <v>509</v>
      </c>
    </row>
    <row r="55" spans="1:1" x14ac:dyDescent="0.3">
      <c r="A55" s="6" t="s">
        <v>510</v>
      </c>
    </row>
    <row r="56" spans="1:1" x14ac:dyDescent="0.3">
      <c r="A56" s="6" t="s">
        <v>511</v>
      </c>
    </row>
    <row r="57" spans="1:1" x14ac:dyDescent="0.3">
      <c r="A57" s="6"/>
    </row>
    <row r="58" spans="1:1" ht="15.6" x14ac:dyDescent="0.3">
      <c r="A58" s="5" t="s">
        <v>512</v>
      </c>
    </row>
    <row r="59" spans="1:1" x14ac:dyDescent="0.3">
      <c r="A59" s="6" t="s">
        <v>513</v>
      </c>
    </row>
    <row r="60" spans="1:1" x14ac:dyDescent="0.3">
      <c r="A60" s="6" t="s">
        <v>514</v>
      </c>
    </row>
    <row r="61" spans="1:1" x14ac:dyDescent="0.3">
      <c r="A61" s="6" t="s">
        <v>515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1540E-9AAF-42A4-AFEE-CDE734B0E23A}">
  <dimension ref="A1:AC52"/>
  <sheetViews>
    <sheetView workbookViewId="0">
      <pane xSplit="3" ySplit="1" topLeftCell="D6" activePane="bottomRight" state="frozen"/>
      <selection pane="topRight" activeCell="D1" sqref="D1"/>
      <selection pane="bottomLeft" activeCell="A2" sqref="A2"/>
      <selection pane="bottomRight"/>
    </sheetView>
  </sheetViews>
  <sheetFormatPr defaultRowHeight="14.4" x14ac:dyDescent="0.3"/>
  <cols>
    <col min="1" max="1" width="13.88671875" customWidth="1"/>
    <col min="2" max="2" width="28.6640625" customWidth="1"/>
    <col min="3" max="3" width="7.44140625" customWidth="1"/>
    <col min="4" max="27" width="12.5546875" customWidth="1"/>
    <col min="28" max="29" width="40.77734375" customWidth="1"/>
  </cols>
  <sheetData>
    <row r="1" spans="1:29" ht="40.049999999999997" customHeight="1" x14ac:dyDescent="0.3">
      <c r="A1" s="9" t="s">
        <v>0</v>
      </c>
      <c r="B1" s="9" t="s">
        <v>1708</v>
      </c>
      <c r="C1" s="9" t="s">
        <v>8</v>
      </c>
      <c r="D1" s="9" t="s">
        <v>1745</v>
      </c>
      <c r="E1" s="10" t="s">
        <v>1746</v>
      </c>
      <c r="F1" s="10" t="s">
        <v>1747</v>
      </c>
      <c r="G1" s="10" t="s">
        <v>1748</v>
      </c>
      <c r="H1" s="10" t="s">
        <v>1749</v>
      </c>
      <c r="I1" s="10" t="s">
        <v>1750</v>
      </c>
      <c r="J1" s="10" t="s">
        <v>1751</v>
      </c>
      <c r="K1" s="11" t="s">
        <v>1752</v>
      </c>
      <c r="L1" s="11" t="s">
        <v>1753</v>
      </c>
      <c r="M1" s="11" t="s">
        <v>1754</v>
      </c>
      <c r="N1" s="12" t="s">
        <v>1755</v>
      </c>
      <c r="O1" s="12" t="s">
        <v>1756</v>
      </c>
      <c r="P1" s="12" t="s">
        <v>1757</v>
      </c>
      <c r="Q1" s="13" t="s">
        <v>1758</v>
      </c>
      <c r="R1" s="13" t="s">
        <v>1759</v>
      </c>
      <c r="S1" s="14" t="s">
        <v>1760</v>
      </c>
      <c r="T1" s="14" t="s">
        <v>1761</v>
      </c>
      <c r="U1" s="14" t="s">
        <v>1762</v>
      </c>
      <c r="V1" s="15" t="s">
        <v>1763</v>
      </c>
      <c r="W1" s="15" t="s">
        <v>1764</v>
      </c>
      <c r="X1" s="15" t="s">
        <v>1765</v>
      </c>
      <c r="Y1" s="15" t="s">
        <v>1766</v>
      </c>
      <c r="Z1" s="15" t="s">
        <v>1767</v>
      </c>
      <c r="AA1" s="16" t="s">
        <v>1768</v>
      </c>
      <c r="AB1" s="9" t="s">
        <v>1709</v>
      </c>
      <c r="AC1" s="9" t="s">
        <v>1710</v>
      </c>
    </row>
    <row r="2" spans="1:29" ht="49.95" customHeight="1" x14ac:dyDescent="0.3">
      <c r="A2" s="17" t="s">
        <v>174</v>
      </c>
      <c r="B2" s="17" t="s">
        <v>175</v>
      </c>
      <c r="C2" s="17">
        <v>1</v>
      </c>
      <c r="D2" s="17" t="s">
        <v>1711</v>
      </c>
      <c r="E2" s="17" t="s">
        <v>1711</v>
      </c>
      <c r="F2" s="17" t="s">
        <v>1711</v>
      </c>
      <c r="G2" s="17" t="s">
        <v>1711</v>
      </c>
      <c r="H2" s="17" t="s">
        <v>1711</v>
      </c>
      <c r="I2" s="17" t="s">
        <v>1711</v>
      </c>
      <c r="J2" s="17" t="s">
        <v>1711</v>
      </c>
      <c r="K2" s="17" t="s">
        <v>1711</v>
      </c>
      <c r="L2" s="17" t="s">
        <v>1711</v>
      </c>
      <c r="M2" s="17" t="s">
        <v>1711</v>
      </c>
      <c r="N2" s="17" t="s">
        <v>1711</v>
      </c>
      <c r="O2" s="17" t="s">
        <v>1712</v>
      </c>
      <c r="P2" s="17" t="s">
        <v>1711</v>
      </c>
      <c r="Q2" s="17" t="s">
        <v>1711</v>
      </c>
      <c r="R2" s="17" t="s">
        <v>1711</v>
      </c>
      <c r="S2" s="17" t="s">
        <v>1711</v>
      </c>
      <c r="T2" s="17" t="s">
        <v>1711</v>
      </c>
      <c r="U2" s="17" t="s">
        <v>1711</v>
      </c>
      <c r="V2" s="17" t="s">
        <v>1711</v>
      </c>
      <c r="W2" s="17" t="s">
        <v>1711</v>
      </c>
      <c r="X2" s="17" t="s">
        <v>1711</v>
      </c>
      <c r="Y2" s="17" t="s">
        <v>1711</v>
      </c>
      <c r="Z2" s="17" t="s">
        <v>1711</v>
      </c>
      <c r="AA2" s="17" t="s">
        <v>1711</v>
      </c>
      <c r="AB2" s="17" t="s">
        <v>1769</v>
      </c>
      <c r="AC2" s="17" t="s">
        <v>1770</v>
      </c>
    </row>
    <row r="3" spans="1:29" ht="49.95" customHeight="1" x14ac:dyDescent="0.3">
      <c r="A3" s="17" t="s">
        <v>179</v>
      </c>
      <c r="B3" s="17" t="s">
        <v>40</v>
      </c>
      <c r="C3" s="17">
        <v>2</v>
      </c>
      <c r="D3" s="17" t="s">
        <v>1711</v>
      </c>
      <c r="E3" s="17" t="s">
        <v>1711</v>
      </c>
      <c r="F3" s="17" t="s">
        <v>1711</v>
      </c>
      <c r="G3" s="17" t="s">
        <v>1711</v>
      </c>
      <c r="H3" s="17" t="s">
        <v>1711</v>
      </c>
      <c r="I3" s="17" t="s">
        <v>1711</v>
      </c>
      <c r="J3" s="17" t="s">
        <v>1711</v>
      </c>
      <c r="K3" s="17" t="s">
        <v>1711</v>
      </c>
      <c r="L3" s="17" t="s">
        <v>1711</v>
      </c>
      <c r="M3" s="17" t="s">
        <v>1711</v>
      </c>
      <c r="N3" s="17" t="s">
        <v>1711</v>
      </c>
      <c r="O3" s="17" t="s">
        <v>1712</v>
      </c>
      <c r="P3" s="17" t="s">
        <v>1711</v>
      </c>
      <c r="Q3" s="17" t="s">
        <v>1711</v>
      </c>
      <c r="R3" s="17" t="s">
        <v>1711</v>
      </c>
      <c r="S3" s="17" t="s">
        <v>1711</v>
      </c>
      <c r="T3" s="17" t="s">
        <v>1711</v>
      </c>
      <c r="U3" s="17" t="s">
        <v>1711</v>
      </c>
      <c r="V3" s="17" t="s">
        <v>1711</v>
      </c>
      <c r="W3" s="17" t="s">
        <v>1711</v>
      </c>
      <c r="X3" s="17" t="s">
        <v>1711</v>
      </c>
      <c r="Y3" s="17" t="s">
        <v>1711</v>
      </c>
      <c r="Z3" s="17" t="s">
        <v>1711</v>
      </c>
      <c r="AA3" s="17" t="s">
        <v>1711</v>
      </c>
      <c r="AB3" s="17" t="s">
        <v>1771</v>
      </c>
      <c r="AC3" s="17"/>
    </row>
    <row r="4" spans="1:29" ht="49.95" customHeight="1" x14ac:dyDescent="0.3">
      <c r="A4" s="17" t="s">
        <v>181</v>
      </c>
      <c r="B4" s="17" t="s">
        <v>182</v>
      </c>
      <c r="C4" s="17">
        <v>3</v>
      </c>
      <c r="D4" s="17" t="s">
        <v>1711</v>
      </c>
      <c r="E4" s="17" t="s">
        <v>1711</v>
      </c>
      <c r="F4" s="17" t="s">
        <v>1711</v>
      </c>
      <c r="G4" s="17" t="s">
        <v>1711</v>
      </c>
      <c r="H4" s="17" t="s">
        <v>1711</v>
      </c>
      <c r="I4" s="17" t="s">
        <v>1712</v>
      </c>
      <c r="J4" s="17" t="s">
        <v>1711</v>
      </c>
      <c r="K4" s="17" t="s">
        <v>1711</v>
      </c>
      <c r="L4" s="17" t="s">
        <v>1711</v>
      </c>
      <c r="M4" s="17" t="s">
        <v>1711</v>
      </c>
      <c r="N4" s="17" t="s">
        <v>1712</v>
      </c>
      <c r="O4" s="17" t="s">
        <v>1712</v>
      </c>
      <c r="P4" s="17" t="s">
        <v>1714</v>
      </c>
      <c r="Q4" s="17" t="s">
        <v>1711</v>
      </c>
      <c r="R4" s="17" t="s">
        <v>1711</v>
      </c>
      <c r="S4" s="17" t="s">
        <v>1711</v>
      </c>
      <c r="T4" s="17" t="s">
        <v>1711</v>
      </c>
      <c r="U4" s="17" t="s">
        <v>1714</v>
      </c>
      <c r="V4" s="17" t="s">
        <v>1711</v>
      </c>
      <c r="W4" s="17" t="s">
        <v>1711</v>
      </c>
      <c r="X4" s="17" t="s">
        <v>1712</v>
      </c>
      <c r="Y4" s="17" t="s">
        <v>1713</v>
      </c>
      <c r="Z4" s="17" t="s">
        <v>1712</v>
      </c>
      <c r="AA4" s="17" t="s">
        <v>1711</v>
      </c>
      <c r="AB4" s="17" t="s">
        <v>1772</v>
      </c>
      <c r="AC4" s="17" t="s">
        <v>1773</v>
      </c>
    </row>
    <row r="5" spans="1:29" ht="49.95" customHeight="1" x14ac:dyDescent="0.3">
      <c r="A5" s="17" t="s">
        <v>516</v>
      </c>
      <c r="B5" s="17" t="s">
        <v>517</v>
      </c>
      <c r="C5" s="17">
        <v>4</v>
      </c>
      <c r="D5" s="17" t="s">
        <v>1711</v>
      </c>
      <c r="E5" s="17" t="s">
        <v>1711</v>
      </c>
      <c r="F5" s="17" t="s">
        <v>1711</v>
      </c>
      <c r="G5" s="17" t="s">
        <v>1711</v>
      </c>
      <c r="H5" s="17" t="s">
        <v>1711</v>
      </c>
      <c r="I5" s="17" t="s">
        <v>1712</v>
      </c>
      <c r="J5" s="17" t="s">
        <v>1711</v>
      </c>
      <c r="K5" s="17" t="s">
        <v>1711</v>
      </c>
      <c r="L5" s="17" t="s">
        <v>1711</v>
      </c>
      <c r="M5" s="17" t="s">
        <v>1711</v>
      </c>
      <c r="N5" s="17" t="s">
        <v>1712</v>
      </c>
      <c r="O5" s="17" t="s">
        <v>1712</v>
      </c>
      <c r="P5" s="17" t="s">
        <v>1715</v>
      </c>
      <c r="Q5" s="17" t="s">
        <v>1711</v>
      </c>
      <c r="R5" s="17" t="s">
        <v>1711</v>
      </c>
      <c r="S5" s="17" t="s">
        <v>1711</v>
      </c>
      <c r="T5" s="17" t="s">
        <v>1711</v>
      </c>
      <c r="U5" s="17" t="s">
        <v>1711</v>
      </c>
      <c r="V5" s="17" t="s">
        <v>1711</v>
      </c>
      <c r="W5" s="17" t="s">
        <v>1711</v>
      </c>
      <c r="X5" s="17" t="s">
        <v>1711</v>
      </c>
      <c r="Y5" s="17" t="s">
        <v>1713</v>
      </c>
      <c r="Z5" s="17" t="s">
        <v>1715</v>
      </c>
      <c r="AA5" s="17" t="s">
        <v>1711</v>
      </c>
      <c r="AB5" s="17" t="s">
        <v>1774</v>
      </c>
      <c r="AC5" s="17" t="s">
        <v>1775</v>
      </c>
    </row>
    <row r="6" spans="1:29" ht="49.95" customHeight="1" x14ac:dyDescent="0.3">
      <c r="A6" s="17" t="s">
        <v>521</v>
      </c>
      <c r="B6" s="17" t="s">
        <v>522</v>
      </c>
      <c r="C6" s="17">
        <v>5</v>
      </c>
      <c r="D6" s="17" t="s">
        <v>1711</v>
      </c>
      <c r="E6" s="17" t="s">
        <v>1711</v>
      </c>
      <c r="F6" s="17" t="s">
        <v>1711</v>
      </c>
      <c r="G6" s="17" t="s">
        <v>1711</v>
      </c>
      <c r="H6" s="17" t="s">
        <v>1711</v>
      </c>
      <c r="I6" s="17" t="s">
        <v>1711</v>
      </c>
      <c r="J6" s="17" t="s">
        <v>1711</v>
      </c>
      <c r="K6" s="17" t="s">
        <v>1711</v>
      </c>
      <c r="L6" s="17" t="s">
        <v>1711</v>
      </c>
      <c r="M6" s="17" t="s">
        <v>1711</v>
      </c>
      <c r="N6" s="17" t="s">
        <v>1715</v>
      </c>
      <c r="O6" s="17" t="s">
        <v>1715</v>
      </c>
      <c r="P6" s="17" t="s">
        <v>1715</v>
      </c>
      <c r="Q6" s="17" t="s">
        <v>1711</v>
      </c>
      <c r="R6" s="17" t="s">
        <v>1711</v>
      </c>
      <c r="S6" s="17" t="s">
        <v>1711</v>
      </c>
      <c r="T6" s="17" t="s">
        <v>1711</v>
      </c>
      <c r="U6" s="17" t="s">
        <v>1711</v>
      </c>
      <c r="V6" s="17" t="s">
        <v>1711</v>
      </c>
      <c r="W6" s="17" t="s">
        <v>1711</v>
      </c>
      <c r="X6" s="17" t="s">
        <v>1711</v>
      </c>
      <c r="Y6" s="17" t="s">
        <v>1711</v>
      </c>
      <c r="Z6" s="17" t="s">
        <v>1715</v>
      </c>
      <c r="AA6" s="17" t="s">
        <v>1711</v>
      </c>
      <c r="AB6" s="17" t="s">
        <v>1776</v>
      </c>
      <c r="AC6" s="17"/>
    </row>
    <row r="7" spans="1:29" ht="49.95" customHeight="1" x14ac:dyDescent="0.3">
      <c r="A7" s="17" t="s">
        <v>524</v>
      </c>
      <c r="B7" s="17" t="s">
        <v>525</v>
      </c>
      <c r="C7" s="17">
        <v>6</v>
      </c>
      <c r="D7" s="17" t="s">
        <v>1711</v>
      </c>
      <c r="E7" s="17" t="s">
        <v>1711</v>
      </c>
      <c r="F7" s="17" t="s">
        <v>1711</v>
      </c>
      <c r="G7" s="17" t="s">
        <v>1711</v>
      </c>
      <c r="H7" s="17" t="s">
        <v>1711</v>
      </c>
      <c r="I7" s="17" t="s">
        <v>1713</v>
      </c>
      <c r="J7" s="17" t="s">
        <v>1711</v>
      </c>
      <c r="K7" s="17" t="s">
        <v>1711</v>
      </c>
      <c r="L7" s="17" t="s">
        <v>1711</v>
      </c>
      <c r="M7" s="17" t="s">
        <v>1711</v>
      </c>
      <c r="N7" s="17" t="s">
        <v>1714</v>
      </c>
      <c r="O7" s="17" t="s">
        <v>1713</v>
      </c>
      <c r="P7" s="17" t="s">
        <v>1714</v>
      </c>
      <c r="Q7" s="17" t="s">
        <v>1712</v>
      </c>
      <c r="R7" s="17" t="s">
        <v>1711</v>
      </c>
      <c r="S7" s="17" t="s">
        <v>1712</v>
      </c>
      <c r="T7" s="17" t="s">
        <v>1712</v>
      </c>
      <c r="U7" s="17" t="s">
        <v>1714</v>
      </c>
      <c r="V7" s="17" t="s">
        <v>1711</v>
      </c>
      <c r="W7" s="17" t="s">
        <v>1711</v>
      </c>
      <c r="X7" s="17" t="s">
        <v>1712</v>
      </c>
      <c r="Y7" s="17" t="s">
        <v>1713</v>
      </c>
      <c r="Z7" s="17" t="s">
        <v>1715</v>
      </c>
      <c r="AA7" s="17" t="s">
        <v>1711</v>
      </c>
      <c r="AB7" s="17" t="s">
        <v>1777</v>
      </c>
      <c r="AC7" s="17" t="s">
        <v>1778</v>
      </c>
    </row>
    <row r="8" spans="1:29" ht="49.95" customHeight="1" x14ac:dyDescent="0.3">
      <c r="A8" s="17" t="s">
        <v>529</v>
      </c>
      <c r="B8" s="17" t="s">
        <v>1779</v>
      </c>
      <c r="C8" s="17">
        <v>7</v>
      </c>
      <c r="D8" s="17" t="s">
        <v>1711</v>
      </c>
      <c r="E8" s="17" t="s">
        <v>1711</v>
      </c>
      <c r="F8" s="17" t="s">
        <v>1711</v>
      </c>
      <c r="G8" s="17" t="s">
        <v>1711</v>
      </c>
      <c r="H8" s="17" t="s">
        <v>1711</v>
      </c>
      <c r="I8" s="17" t="s">
        <v>1713</v>
      </c>
      <c r="J8" s="17" t="s">
        <v>1711</v>
      </c>
      <c r="K8" s="17" t="s">
        <v>1711</v>
      </c>
      <c r="L8" s="17" t="s">
        <v>1711</v>
      </c>
      <c r="M8" s="17" t="s">
        <v>1711</v>
      </c>
      <c r="N8" s="17" t="s">
        <v>1714</v>
      </c>
      <c r="O8" s="17" t="s">
        <v>1713</v>
      </c>
      <c r="P8" s="17" t="s">
        <v>1714</v>
      </c>
      <c r="Q8" s="17" t="s">
        <v>1712</v>
      </c>
      <c r="R8" s="17" t="s">
        <v>1711</v>
      </c>
      <c r="S8" s="17" t="s">
        <v>1711</v>
      </c>
      <c r="T8" s="17" t="s">
        <v>1712</v>
      </c>
      <c r="U8" s="17" t="s">
        <v>1714</v>
      </c>
      <c r="V8" s="17" t="s">
        <v>1711</v>
      </c>
      <c r="W8" s="17" t="s">
        <v>1711</v>
      </c>
      <c r="X8" s="17" t="s">
        <v>1712</v>
      </c>
      <c r="Y8" s="17" t="s">
        <v>1713</v>
      </c>
      <c r="Z8" s="17" t="s">
        <v>1715</v>
      </c>
      <c r="AA8" s="17" t="s">
        <v>1711</v>
      </c>
      <c r="AB8" s="17" t="s">
        <v>1780</v>
      </c>
      <c r="AC8" s="17"/>
    </row>
    <row r="9" spans="1:29" ht="49.95" customHeight="1" x14ac:dyDescent="0.3">
      <c r="A9" s="17" t="s">
        <v>532</v>
      </c>
      <c r="B9" s="17" t="s">
        <v>533</v>
      </c>
      <c r="C9" s="17">
        <v>8</v>
      </c>
      <c r="D9" s="17" t="s">
        <v>1711</v>
      </c>
      <c r="E9" s="17" t="s">
        <v>1711</v>
      </c>
      <c r="F9" s="17" t="s">
        <v>1711</v>
      </c>
      <c r="G9" s="17" t="s">
        <v>1711</v>
      </c>
      <c r="H9" s="17" t="s">
        <v>1711</v>
      </c>
      <c r="I9" s="17" t="s">
        <v>1711</v>
      </c>
      <c r="J9" s="17" t="s">
        <v>1711</v>
      </c>
      <c r="K9" s="17" t="s">
        <v>1711</v>
      </c>
      <c r="L9" s="17" t="s">
        <v>1711</v>
      </c>
      <c r="M9" s="17" t="s">
        <v>1711</v>
      </c>
      <c r="N9" s="17" t="s">
        <v>1714</v>
      </c>
      <c r="O9" s="17" t="s">
        <v>1713</v>
      </c>
      <c r="P9" s="17" t="s">
        <v>1714</v>
      </c>
      <c r="Q9" s="17" t="s">
        <v>1712</v>
      </c>
      <c r="R9" s="17" t="s">
        <v>1711</v>
      </c>
      <c r="S9" s="17" t="s">
        <v>1711</v>
      </c>
      <c r="T9" s="17" t="s">
        <v>1711</v>
      </c>
      <c r="U9" s="17" t="s">
        <v>1715</v>
      </c>
      <c r="V9" s="17" t="s">
        <v>1712</v>
      </c>
      <c r="W9" s="17" t="s">
        <v>1712</v>
      </c>
      <c r="X9" s="17" t="s">
        <v>1712</v>
      </c>
      <c r="Y9" s="17" t="s">
        <v>1713</v>
      </c>
      <c r="Z9" s="17" t="s">
        <v>1715</v>
      </c>
      <c r="AA9" s="17" t="s">
        <v>1711</v>
      </c>
      <c r="AB9" s="17" t="s">
        <v>1781</v>
      </c>
      <c r="AC9" s="17" t="s">
        <v>1782</v>
      </c>
    </row>
    <row r="10" spans="1:29" ht="49.95" customHeight="1" x14ac:dyDescent="0.3">
      <c r="A10" s="17" t="s">
        <v>184</v>
      </c>
      <c r="B10" s="17" t="s">
        <v>1716</v>
      </c>
      <c r="C10" s="17">
        <v>8</v>
      </c>
      <c r="D10" s="17" t="s">
        <v>1711</v>
      </c>
      <c r="E10" s="17" t="s">
        <v>1711</v>
      </c>
      <c r="F10" s="17" t="s">
        <v>1711</v>
      </c>
      <c r="G10" s="17" t="s">
        <v>1711</v>
      </c>
      <c r="H10" s="17" t="s">
        <v>1711</v>
      </c>
      <c r="I10" s="17" t="s">
        <v>1712</v>
      </c>
      <c r="J10" s="17" t="s">
        <v>1711</v>
      </c>
      <c r="K10" s="17" t="s">
        <v>1711</v>
      </c>
      <c r="L10" s="17" t="s">
        <v>1711</v>
      </c>
      <c r="M10" s="17" t="s">
        <v>1711</v>
      </c>
      <c r="N10" s="17" t="s">
        <v>1714</v>
      </c>
      <c r="O10" s="17" t="s">
        <v>1713</v>
      </c>
      <c r="P10" s="17" t="s">
        <v>1714</v>
      </c>
      <c r="Q10" s="17" t="s">
        <v>1712</v>
      </c>
      <c r="R10" s="17" t="s">
        <v>1714</v>
      </c>
      <c r="S10" s="17" t="s">
        <v>1711</v>
      </c>
      <c r="T10" s="17" t="s">
        <v>1711</v>
      </c>
      <c r="U10" s="17" t="s">
        <v>1715</v>
      </c>
      <c r="V10" s="17" t="s">
        <v>1712</v>
      </c>
      <c r="W10" s="17" t="s">
        <v>1712</v>
      </c>
      <c r="X10" s="17" t="s">
        <v>1712</v>
      </c>
      <c r="Y10" s="17" t="s">
        <v>1713</v>
      </c>
      <c r="Z10" s="17" t="s">
        <v>1713</v>
      </c>
      <c r="AA10" s="17" t="s">
        <v>1711</v>
      </c>
      <c r="AB10" s="17" t="s">
        <v>1783</v>
      </c>
      <c r="AC10" s="17" t="s">
        <v>1784</v>
      </c>
    </row>
    <row r="11" spans="1:29" ht="49.95" customHeight="1" x14ac:dyDescent="0.3">
      <c r="A11" s="17" t="s">
        <v>537</v>
      </c>
      <c r="B11" s="17" t="s">
        <v>1785</v>
      </c>
      <c r="C11" s="17">
        <v>8</v>
      </c>
      <c r="D11" s="17" t="s">
        <v>1711</v>
      </c>
      <c r="E11" s="17" t="s">
        <v>1712</v>
      </c>
      <c r="F11" s="17" t="s">
        <v>1712</v>
      </c>
      <c r="G11" s="17" t="s">
        <v>1712</v>
      </c>
      <c r="H11" s="17" t="s">
        <v>1712</v>
      </c>
      <c r="I11" s="17" t="s">
        <v>1713</v>
      </c>
      <c r="J11" s="17" t="s">
        <v>1712</v>
      </c>
      <c r="K11" s="17" t="s">
        <v>1712</v>
      </c>
      <c r="L11" s="17" t="s">
        <v>1712</v>
      </c>
      <c r="M11" s="17" t="s">
        <v>1712</v>
      </c>
      <c r="N11" s="17" t="s">
        <v>1712</v>
      </c>
      <c r="O11" s="17" t="s">
        <v>1713</v>
      </c>
      <c r="P11" s="17" t="s">
        <v>1714</v>
      </c>
      <c r="Q11" s="17" t="s">
        <v>1712</v>
      </c>
      <c r="R11" s="17" t="s">
        <v>1714</v>
      </c>
      <c r="S11" s="17" t="s">
        <v>1712</v>
      </c>
      <c r="T11" s="17" t="s">
        <v>1714</v>
      </c>
      <c r="U11" s="17" t="s">
        <v>1714</v>
      </c>
      <c r="V11" s="17" t="s">
        <v>1712</v>
      </c>
      <c r="W11" s="17" t="s">
        <v>1712</v>
      </c>
      <c r="X11" s="17" t="s">
        <v>1715</v>
      </c>
      <c r="Y11" s="17" t="s">
        <v>1713</v>
      </c>
      <c r="Z11" s="17" t="s">
        <v>1713</v>
      </c>
      <c r="AA11" s="17" t="s">
        <v>1712</v>
      </c>
      <c r="AB11" s="17" t="s">
        <v>1786</v>
      </c>
      <c r="AC11" s="17" t="s">
        <v>1787</v>
      </c>
    </row>
    <row r="12" spans="1:29" ht="49.95" customHeight="1" x14ac:dyDescent="0.3">
      <c r="A12" s="17" t="s">
        <v>187</v>
      </c>
      <c r="B12" s="17" t="s">
        <v>188</v>
      </c>
      <c r="C12" s="17">
        <v>14</v>
      </c>
      <c r="D12" s="17" t="s">
        <v>1711</v>
      </c>
      <c r="E12" s="17" t="s">
        <v>1711</v>
      </c>
      <c r="F12" s="17" t="s">
        <v>1711</v>
      </c>
      <c r="G12" s="17" t="s">
        <v>1711</v>
      </c>
      <c r="H12" s="17" t="s">
        <v>1711</v>
      </c>
      <c r="I12" s="17" t="s">
        <v>1711</v>
      </c>
      <c r="J12" s="17" t="s">
        <v>1711</v>
      </c>
      <c r="K12" s="17" t="s">
        <v>1711</v>
      </c>
      <c r="L12" s="17" t="s">
        <v>1711</v>
      </c>
      <c r="M12" s="17" t="s">
        <v>1711</v>
      </c>
      <c r="N12" s="17" t="s">
        <v>1711</v>
      </c>
      <c r="O12" s="17" t="s">
        <v>1712</v>
      </c>
      <c r="P12" s="17" t="s">
        <v>1711</v>
      </c>
      <c r="Q12" s="17" t="s">
        <v>1711</v>
      </c>
      <c r="R12" s="17" t="s">
        <v>1711</v>
      </c>
      <c r="S12" s="17" t="s">
        <v>1711</v>
      </c>
      <c r="T12" s="17" t="s">
        <v>1711</v>
      </c>
      <c r="U12" s="17" t="s">
        <v>1711</v>
      </c>
      <c r="V12" s="17" t="s">
        <v>1711</v>
      </c>
      <c r="W12" s="17" t="s">
        <v>1711</v>
      </c>
      <c r="X12" s="17" t="s">
        <v>1711</v>
      </c>
      <c r="Y12" s="17" t="s">
        <v>1713</v>
      </c>
      <c r="Z12" s="17" t="s">
        <v>1712</v>
      </c>
      <c r="AA12" s="17" t="s">
        <v>1711</v>
      </c>
      <c r="AB12" s="17" t="s">
        <v>1788</v>
      </c>
      <c r="AC12" s="17" t="s">
        <v>1789</v>
      </c>
    </row>
    <row r="13" spans="1:29" ht="49.95" customHeight="1" x14ac:dyDescent="0.3">
      <c r="A13" s="17" t="s">
        <v>560</v>
      </c>
      <c r="B13" s="17" t="s">
        <v>1790</v>
      </c>
      <c r="C13" s="17">
        <v>15</v>
      </c>
      <c r="D13" s="17" t="s">
        <v>1711</v>
      </c>
      <c r="E13" s="17" t="s">
        <v>1715</v>
      </c>
      <c r="F13" s="17" t="s">
        <v>1715</v>
      </c>
      <c r="G13" s="17" t="s">
        <v>1715</v>
      </c>
      <c r="H13" s="17" t="s">
        <v>1715</v>
      </c>
      <c r="I13" s="17" t="s">
        <v>1715</v>
      </c>
      <c r="J13" s="17" t="s">
        <v>1715</v>
      </c>
      <c r="K13" s="17" t="s">
        <v>1715</v>
      </c>
      <c r="L13" s="17" t="s">
        <v>1715</v>
      </c>
      <c r="M13" s="17" t="s">
        <v>1715</v>
      </c>
      <c r="N13" s="17" t="s">
        <v>1715</v>
      </c>
      <c r="O13" s="17" t="s">
        <v>1715</v>
      </c>
      <c r="P13" s="17" t="s">
        <v>1715</v>
      </c>
      <c r="Q13" s="17" t="s">
        <v>1715</v>
      </c>
      <c r="R13" s="17" t="s">
        <v>1712</v>
      </c>
      <c r="S13" s="17" t="s">
        <v>1712</v>
      </c>
      <c r="T13" s="17" t="s">
        <v>1715</v>
      </c>
      <c r="U13" s="17" t="s">
        <v>1715</v>
      </c>
      <c r="V13" s="17" t="s">
        <v>1715</v>
      </c>
      <c r="W13" s="17" t="s">
        <v>1715</v>
      </c>
      <c r="X13" s="17" t="s">
        <v>1715</v>
      </c>
      <c r="Y13" s="17" t="s">
        <v>1713</v>
      </c>
      <c r="Z13" s="17" t="s">
        <v>1715</v>
      </c>
      <c r="AA13" s="17" t="s">
        <v>1712</v>
      </c>
      <c r="AB13" s="17" t="s">
        <v>1791</v>
      </c>
      <c r="AC13" s="17" t="s">
        <v>1792</v>
      </c>
    </row>
    <row r="14" spans="1:29" ht="49.95" customHeight="1" x14ac:dyDescent="0.3">
      <c r="A14" s="17" t="s">
        <v>587</v>
      </c>
      <c r="B14" s="17" t="s">
        <v>588</v>
      </c>
      <c r="C14" s="17">
        <v>21</v>
      </c>
      <c r="D14" s="17" t="s">
        <v>1711</v>
      </c>
      <c r="E14" s="17" t="s">
        <v>1711</v>
      </c>
      <c r="F14" s="17" t="s">
        <v>1711</v>
      </c>
      <c r="G14" s="17" t="s">
        <v>1711</v>
      </c>
      <c r="H14" s="17" t="s">
        <v>1711</v>
      </c>
      <c r="I14" s="17" t="s">
        <v>1712</v>
      </c>
      <c r="J14" s="17" t="s">
        <v>1711</v>
      </c>
      <c r="K14" s="17" t="s">
        <v>1711</v>
      </c>
      <c r="L14" s="17" t="s">
        <v>1711</v>
      </c>
      <c r="M14" s="17" t="s">
        <v>1712</v>
      </c>
      <c r="N14" s="17" t="s">
        <v>1712</v>
      </c>
      <c r="O14" s="17" t="s">
        <v>1713</v>
      </c>
      <c r="P14" s="17" t="s">
        <v>1712</v>
      </c>
      <c r="Q14" s="17" t="s">
        <v>1711</v>
      </c>
      <c r="R14" s="17" t="s">
        <v>1713</v>
      </c>
      <c r="S14" s="17" t="s">
        <v>1712</v>
      </c>
      <c r="T14" s="17" t="s">
        <v>1712</v>
      </c>
      <c r="U14" s="17" t="s">
        <v>1711</v>
      </c>
      <c r="V14" s="17" t="s">
        <v>1712</v>
      </c>
      <c r="W14" s="17" t="s">
        <v>1712</v>
      </c>
      <c r="X14" s="17" t="s">
        <v>1712</v>
      </c>
      <c r="Y14" s="17" t="s">
        <v>1713</v>
      </c>
      <c r="Z14" s="17" t="s">
        <v>1713</v>
      </c>
      <c r="AA14" s="17" t="s">
        <v>1715</v>
      </c>
      <c r="AB14" s="17" t="s">
        <v>1793</v>
      </c>
      <c r="AC14" s="17" t="s">
        <v>1794</v>
      </c>
    </row>
    <row r="15" spans="1:29" ht="49.95" customHeight="1" x14ac:dyDescent="0.3">
      <c r="A15" s="17" t="s">
        <v>190</v>
      </c>
      <c r="B15" s="17" t="s">
        <v>1717</v>
      </c>
      <c r="C15" s="17">
        <v>29</v>
      </c>
      <c r="D15" s="17" t="s">
        <v>1711</v>
      </c>
      <c r="E15" s="17" t="s">
        <v>1711</v>
      </c>
      <c r="F15" s="17" t="s">
        <v>1711</v>
      </c>
      <c r="G15" s="17" t="s">
        <v>1711</v>
      </c>
      <c r="H15" s="17" t="s">
        <v>1711</v>
      </c>
      <c r="I15" s="17" t="s">
        <v>1711</v>
      </c>
      <c r="J15" s="17" t="s">
        <v>1711</v>
      </c>
      <c r="K15" s="17" t="s">
        <v>1711</v>
      </c>
      <c r="L15" s="17" t="s">
        <v>1711</v>
      </c>
      <c r="M15" s="17" t="s">
        <v>1711</v>
      </c>
      <c r="N15" s="17" t="s">
        <v>1711</v>
      </c>
      <c r="O15" s="17" t="s">
        <v>1713</v>
      </c>
      <c r="P15" s="17" t="s">
        <v>1712</v>
      </c>
      <c r="Q15" s="17" t="s">
        <v>1712</v>
      </c>
      <c r="R15" s="17" t="s">
        <v>1711</v>
      </c>
      <c r="S15" s="17" t="s">
        <v>1712</v>
      </c>
      <c r="T15" s="17" t="s">
        <v>1712</v>
      </c>
      <c r="U15" s="17" t="s">
        <v>1712</v>
      </c>
      <c r="V15" s="17" t="s">
        <v>1711</v>
      </c>
      <c r="W15" s="17" t="s">
        <v>1711</v>
      </c>
      <c r="X15" s="17" t="s">
        <v>1712</v>
      </c>
      <c r="Y15" s="17" t="s">
        <v>1713</v>
      </c>
      <c r="Z15" s="17" t="s">
        <v>1712</v>
      </c>
      <c r="AA15" s="17" t="s">
        <v>1711</v>
      </c>
      <c r="AB15" s="17" t="s">
        <v>1795</v>
      </c>
      <c r="AC15" s="17" t="s">
        <v>1796</v>
      </c>
    </row>
    <row r="16" spans="1:29" ht="49.95" customHeight="1" x14ac:dyDescent="0.3">
      <c r="A16" s="17" t="s">
        <v>621</v>
      </c>
      <c r="B16" s="17" t="s">
        <v>622</v>
      </c>
      <c r="C16" s="17">
        <v>30</v>
      </c>
      <c r="D16" s="17" t="s">
        <v>1711</v>
      </c>
      <c r="E16" s="17" t="s">
        <v>1711</v>
      </c>
      <c r="F16" s="17" t="s">
        <v>1711</v>
      </c>
      <c r="G16" s="17" t="s">
        <v>1711</v>
      </c>
      <c r="H16" s="17" t="s">
        <v>1711</v>
      </c>
      <c r="I16" s="17" t="s">
        <v>1711</v>
      </c>
      <c r="J16" s="17" t="s">
        <v>1712</v>
      </c>
      <c r="K16" s="17" t="s">
        <v>1712</v>
      </c>
      <c r="L16" s="17" t="s">
        <v>1712</v>
      </c>
      <c r="M16" s="17" t="s">
        <v>1712</v>
      </c>
      <c r="N16" s="17" t="s">
        <v>1714</v>
      </c>
      <c r="O16" s="17" t="s">
        <v>1713</v>
      </c>
      <c r="P16" s="17" t="s">
        <v>1714</v>
      </c>
      <c r="Q16" s="17" t="s">
        <v>1715</v>
      </c>
      <c r="R16" s="17" t="s">
        <v>1711</v>
      </c>
      <c r="S16" s="17" t="s">
        <v>1712</v>
      </c>
      <c r="T16" s="17" t="s">
        <v>1712</v>
      </c>
      <c r="U16" s="17" t="s">
        <v>1715</v>
      </c>
      <c r="V16" s="17" t="s">
        <v>1711</v>
      </c>
      <c r="W16" s="17" t="s">
        <v>1711</v>
      </c>
      <c r="X16" s="17" t="s">
        <v>1712</v>
      </c>
      <c r="Y16" s="17" t="s">
        <v>1713</v>
      </c>
      <c r="Z16" s="17" t="s">
        <v>1715</v>
      </c>
      <c r="AA16" s="17" t="s">
        <v>1711</v>
      </c>
      <c r="AB16" s="17" t="s">
        <v>1797</v>
      </c>
      <c r="AC16" s="17"/>
    </row>
    <row r="17" spans="1:29" ht="49.95" customHeight="1" x14ac:dyDescent="0.3">
      <c r="A17" s="17" t="s">
        <v>626</v>
      </c>
      <c r="B17" s="17" t="s">
        <v>627</v>
      </c>
      <c r="C17" s="17">
        <v>31</v>
      </c>
      <c r="D17" s="17" t="s">
        <v>1711</v>
      </c>
      <c r="E17" s="17" t="s">
        <v>1711</v>
      </c>
      <c r="F17" s="17" t="s">
        <v>1711</v>
      </c>
      <c r="G17" s="17" t="s">
        <v>1711</v>
      </c>
      <c r="H17" s="17" t="s">
        <v>1711</v>
      </c>
      <c r="I17" s="17" t="s">
        <v>1711</v>
      </c>
      <c r="J17" s="17" t="s">
        <v>1711</v>
      </c>
      <c r="K17" s="17" t="s">
        <v>1711</v>
      </c>
      <c r="L17" s="17" t="s">
        <v>1711</v>
      </c>
      <c r="M17" s="17" t="s">
        <v>1711</v>
      </c>
      <c r="N17" s="17" t="s">
        <v>1714</v>
      </c>
      <c r="O17" s="17" t="s">
        <v>1714</v>
      </c>
      <c r="P17" s="17" t="s">
        <v>1714</v>
      </c>
      <c r="Q17" s="17" t="s">
        <v>1711</v>
      </c>
      <c r="R17" s="17" t="s">
        <v>1711</v>
      </c>
      <c r="S17" s="17" t="s">
        <v>1712</v>
      </c>
      <c r="T17" s="17" t="s">
        <v>1712</v>
      </c>
      <c r="U17" s="17" t="s">
        <v>1712</v>
      </c>
      <c r="V17" s="17" t="s">
        <v>1711</v>
      </c>
      <c r="W17" s="17" t="s">
        <v>1711</v>
      </c>
      <c r="X17" s="17" t="s">
        <v>1711</v>
      </c>
      <c r="Y17" s="17" t="s">
        <v>1714</v>
      </c>
      <c r="Z17" s="17" t="s">
        <v>1714</v>
      </c>
      <c r="AA17" s="17" t="s">
        <v>1711</v>
      </c>
      <c r="AB17" s="17" t="s">
        <v>1798</v>
      </c>
      <c r="AC17" s="17"/>
    </row>
    <row r="18" spans="1:29" ht="49.95" customHeight="1" x14ac:dyDescent="0.3">
      <c r="A18" s="17" t="s">
        <v>658</v>
      </c>
      <c r="B18" s="17" t="s">
        <v>659</v>
      </c>
      <c r="C18" s="17">
        <v>38</v>
      </c>
      <c r="D18" s="17" t="s">
        <v>1711</v>
      </c>
      <c r="E18" s="17" t="s">
        <v>1711</v>
      </c>
      <c r="F18" s="17" t="s">
        <v>1711</v>
      </c>
      <c r="G18" s="17" t="s">
        <v>1711</v>
      </c>
      <c r="H18" s="17" t="s">
        <v>1711</v>
      </c>
      <c r="I18" s="17" t="s">
        <v>1711</v>
      </c>
      <c r="J18" s="17" t="s">
        <v>1712</v>
      </c>
      <c r="K18" s="17" t="s">
        <v>1715</v>
      </c>
      <c r="L18" s="17" t="s">
        <v>1715</v>
      </c>
      <c r="M18" s="17" t="s">
        <v>1715</v>
      </c>
      <c r="N18" s="17" t="s">
        <v>1715</v>
      </c>
      <c r="O18" s="17" t="s">
        <v>1713</v>
      </c>
      <c r="P18" s="17" t="s">
        <v>1715</v>
      </c>
      <c r="Q18" s="17" t="s">
        <v>1715</v>
      </c>
      <c r="R18" s="17" t="s">
        <v>1711</v>
      </c>
      <c r="S18" s="17" t="s">
        <v>1715</v>
      </c>
      <c r="T18" s="17" t="s">
        <v>1715</v>
      </c>
      <c r="U18" s="17" t="s">
        <v>1715</v>
      </c>
      <c r="V18" s="17" t="s">
        <v>1712</v>
      </c>
      <c r="W18" s="17" t="s">
        <v>1712</v>
      </c>
      <c r="X18" s="17" t="s">
        <v>1712</v>
      </c>
      <c r="Y18" s="17" t="s">
        <v>1713</v>
      </c>
      <c r="Z18" s="17" t="s">
        <v>1715</v>
      </c>
      <c r="AA18" s="17" t="s">
        <v>1711</v>
      </c>
      <c r="AB18" s="17" t="s">
        <v>1799</v>
      </c>
      <c r="AC18" s="17" t="s">
        <v>1800</v>
      </c>
    </row>
    <row r="19" spans="1:29" ht="49.95" customHeight="1" x14ac:dyDescent="0.3">
      <c r="A19" s="17" t="s">
        <v>661</v>
      </c>
      <c r="B19" s="17" t="s">
        <v>662</v>
      </c>
      <c r="C19" s="17">
        <v>39</v>
      </c>
      <c r="D19" s="17" t="s">
        <v>1711</v>
      </c>
      <c r="E19" s="17" t="s">
        <v>1711</v>
      </c>
      <c r="F19" s="17" t="s">
        <v>1711</v>
      </c>
      <c r="G19" s="17" t="s">
        <v>1711</v>
      </c>
      <c r="H19" s="17" t="s">
        <v>1711</v>
      </c>
      <c r="I19" s="17" t="s">
        <v>1711</v>
      </c>
      <c r="J19" s="17" t="s">
        <v>1711</v>
      </c>
      <c r="K19" s="17" t="s">
        <v>1715</v>
      </c>
      <c r="L19" s="17" t="s">
        <v>1715</v>
      </c>
      <c r="M19" s="17" t="s">
        <v>1715</v>
      </c>
      <c r="N19" s="17" t="s">
        <v>1715</v>
      </c>
      <c r="O19" s="17" t="s">
        <v>1715</v>
      </c>
      <c r="P19" s="17" t="s">
        <v>1715</v>
      </c>
      <c r="Q19" s="17" t="s">
        <v>1715</v>
      </c>
      <c r="R19" s="17" t="s">
        <v>1711</v>
      </c>
      <c r="S19" s="17" t="s">
        <v>1715</v>
      </c>
      <c r="T19" s="17" t="s">
        <v>1715</v>
      </c>
      <c r="U19" s="17" t="s">
        <v>1711</v>
      </c>
      <c r="V19" s="17" t="s">
        <v>1712</v>
      </c>
      <c r="W19" s="17" t="s">
        <v>1712</v>
      </c>
      <c r="X19" s="17" t="s">
        <v>1711</v>
      </c>
      <c r="Y19" s="17" t="s">
        <v>1713</v>
      </c>
      <c r="Z19" s="17" t="s">
        <v>1715</v>
      </c>
      <c r="AA19" s="17" t="s">
        <v>1711</v>
      </c>
      <c r="AB19" s="17" t="s">
        <v>1801</v>
      </c>
      <c r="AC19" s="17"/>
    </row>
    <row r="20" spans="1:29" ht="49.95" customHeight="1" x14ac:dyDescent="0.3">
      <c r="A20" s="17" t="s">
        <v>682</v>
      </c>
      <c r="B20" s="17" t="s">
        <v>683</v>
      </c>
      <c r="C20" s="17">
        <v>44</v>
      </c>
      <c r="D20" s="17" t="s">
        <v>1711</v>
      </c>
      <c r="E20" s="17" t="s">
        <v>1711</v>
      </c>
      <c r="F20" s="17" t="s">
        <v>1711</v>
      </c>
      <c r="G20" s="17" t="s">
        <v>1711</v>
      </c>
      <c r="H20" s="17" t="s">
        <v>1711</v>
      </c>
      <c r="I20" s="17" t="s">
        <v>1711</v>
      </c>
      <c r="J20" s="17" t="s">
        <v>1712</v>
      </c>
      <c r="K20" s="17" t="s">
        <v>1715</v>
      </c>
      <c r="L20" s="17" t="s">
        <v>1715</v>
      </c>
      <c r="M20" s="17" t="s">
        <v>1715</v>
      </c>
      <c r="N20" s="17" t="s">
        <v>1715</v>
      </c>
      <c r="O20" s="17" t="s">
        <v>1713</v>
      </c>
      <c r="P20" s="17" t="s">
        <v>1715</v>
      </c>
      <c r="Q20" s="17" t="s">
        <v>1712</v>
      </c>
      <c r="R20" s="17" t="s">
        <v>1711</v>
      </c>
      <c r="S20" s="17" t="s">
        <v>1712</v>
      </c>
      <c r="T20" s="17" t="s">
        <v>1712</v>
      </c>
      <c r="U20" s="17" t="s">
        <v>1715</v>
      </c>
      <c r="V20" s="17" t="s">
        <v>1712</v>
      </c>
      <c r="W20" s="17" t="s">
        <v>1712</v>
      </c>
      <c r="X20" s="17" t="s">
        <v>1715</v>
      </c>
      <c r="Y20" s="17" t="s">
        <v>1713</v>
      </c>
      <c r="Z20" s="17" t="s">
        <v>1715</v>
      </c>
      <c r="AA20" s="17" t="s">
        <v>1711</v>
      </c>
      <c r="AB20" s="17" t="s">
        <v>1802</v>
      </c>
      <c r="AC20" s="17" t="s">
        <v>1803</v>
      </c>
    </row>
    <row r="21" spans="1:29" ht="49.95" customHeight="1" x14ac:dyDescent="0.3">
      <c r="A21" s="17" t="s">
        <v>685</v>
      </c>
      <c r="B21" s="17" t="s">
        <v>686</v>
      </c>
      <c r="C21" s="17">
        <v>45</v>
      </c>
      <c r="D21" s="17" t="s">
        <v>1711</v>
      </c>
      <c r="E21" s="17" t="s">
        <v>1711</v>
      </c>
      <c r="F21" s="17" t="s">
        <v>1711</v>
      </c>
      <c r="G21" s="17" t="s">
        <v>1711</v>
      </c>
      <c r="H21" s="17" t="s">
        <v>1711</v>
      </c>
      <c r="I21" s="17" t="s">
        <v>1711</v>
      </c>
      <c r="J21" s="17" t="s">
        <v>1712</v>
      </c>
      <c r="K21" s="17" t="s">
        <v>1711</v>
      </c>
      <c r="L21" s="17" t="s">
        <v>1711</v>
      </c>
      <c r="M21" s="17" t="s">
        <v>1711</v>
      </c>
      <c r="N21" s="17" t="s">
        <v>1712</v>
      </c>
      <c r="O21" s="17" t="s">
        <v>1713</v>
      </c>
      <c r="P21" s="17" t="s">
        <v>1715</v>
      </c>
      <c r="Q21" s="17" t="s">
        <v>1712</v>
      </c>
      <c r="R21" s="17" t="s">
        <v>1712</v>
      </c>
      <c r="S21" s="17" t="s">
        <v>1715</v>
      </c>
      <c r="T21" s="17" t="s">
        <v>1715</v>
      </c>
      <c r="U21" s="17" t="s">
        <v>1715</v>
      </c>
      <c r="V21" s="17" t="s">
        <v>1712</v>
      </c>
      <c r="W21" s="17" t="s">
        <v>1712</v>
      </c>
      <c r="X21" s="17" t="s">
        <v>1715</v>
      </c>
      <c r="Y21" s="17" t="s">
        <v>1713</v>
      </c>
      <c r="Z21" s="17" t="s">
        <v>1715</v>
      </c>
      <c r="AA21" s="17" t="s">
        <v>1712</v>
      </c>
      <c r="AB21" s="17" t="s">
        <v>1804</v>
      </c>
      <c r="AC21" s="17"/>
    </row>
    <row r="22" spans="1:29" ht="49.95" customHeight="1" x14ac:dyDescent="0.3">
      <c r="A22" s="17" t="s">
        <v>695</v>
      </c>
      <c r="B22" s="17" t="s">
        <v>696</v>
      </c>
      <c r="C22" s="17">
        <v>58</v>
      </c>
      <c r="D22" s="17" t="s">
        <v>1711</v>
      </c>
      <c r="E22" s="17" t="s">
        <v>1711</v>
      </c>
      <c r="F22" s="17" t="s">
        <v>1711</v>
      </c>
      <c r="G22" s="17" t="s">
        <v>1711</v>
      </c>
      <c r="H22" s="17" t="s">
        <v>1711</v>
      </c>
      <c r="I22" s="17" t="s">
        <v>1711</v>
      </c>
      <c r="J22" s="17" t="s">
        <v>1712</v>
      </c>
      <c r="K22" s="17" t="s">
        <v>1711</v>
      </c>
      <c r="L22" s="17" t="s">
        <v>1711</v>
      </c>
      <c r="M22" s="17" t="s">
        <v>1711</v>
      </c>
      <c r="N22" s="17" t="s">
        <v>1712</v>
      </c>
      <c r="O22" s="17" t="s">
        <v>1713</v>
      </c>
      <c r="P22" s="17" t="s">
        <v>1715</v>
      </c>
      <c r="Q22" s="17" t="s">
        <v>1712</v>
      </c>
      <c r="R22" s="17" t="s">
        <v>1711</v>
      </c>
      <c r="S22" s="17" t="s">
        <v>1712</v>
      </c>
      <c r="T22" s="17" t="s">
        <v>1712</v>
      </c>
      <c r="U22" s="17" t="s">
        <v>1715</v>
      </c>
      <c r="V22" s="17" t="s">
        <v>1712</v>
      </c>
      <c r="W22" s="17" t="s">
        <v>1712</v>
      </c>
      <c r="X22" s="17" t="s">
        <v>1715</v>
      </c>
      <c r="Y22" s="17" t="s">
        <v>1713</v>
      </c>
      <c r="Z22" s="17" t="s">
        <v>1715</v>
      </c>
      <c r="AA22" s="17" t="s">
        <v>1715</v>
      </c>
      <c r="AB22" s="17" t="s">
        <v>1805</v>
      </c>
      <c r="AC22" s="17" t="s">
        <v>1806</v>
      </c>
    </row>
    <row r="23" spans="1:29" ht="49.95" customHeight="1" x14ac:dyDescent="0.3">
      <c r="A23" s="17" t="s">
        <v>699</v>
      </c>
      <c r="B23" s="17" t="s">
        <v>700</v>
      </c>
      <c r="C23" s="17">
        <v>59</v>
      </c>
      <c r="D23" s="17" t="s">
        <v>1711</v>
      </c>
      <c r="E23" s="17" t="s">
        <v>1711</v>
      </c>
      <c r="F23" s="17" t="s">
        <v>1711</v>
      </c>
      <c r="G23" s="17" t="s">
        <v>1711</v>
      </c>
      <c r="H23" s="17" t="s">
        <v>1711</v>
      </c>
      <c r="I23" s="17" t="s">
        <v>1712</v>
      </c>
      <c r="J23" s="17" t="s">
        <v>1712</v>
      </c>
      <c r="K23" s="17" t="s">
        <v>1712</v>
      </c>
      <c r="L23" s="17" t="s">
        <v>1712</v>
      </c>
      <c r="M23" s="17" t="s">
        <v>1711</v>
      </c>
      <c r="N23" s="17" t="s">
        <v>1713</v>
      </c>
      <c r="O23" s="17" t="s">
        <v>1713</v>
      </c>
      <c r="P23" s="17" t="s">
        <v>1713</v>
      </c>
      <c r="Q23" s="17" t="s">
        <v>1713</v>
      </c>
      <c r="R23" s="17" t="s">
        <v>1712</v>
      </c>
      <c r="S23" s="17" t="s">
        <v>1713</v>
      </c>
      <c r="T23" s="17" t="s">
        <v>1713</v>
      </c>
      <c r="U23" s="17" t="s">
        <v>1713</v>
      </c>
      <c r="V23" s="17" t="s">
        <v>1713</v>
      </c>
      <c r="W23" s="17" t="s">
        <v>1713</v>
      </c>
      <c r="X23" s="17" t="s">
        <v>1713</v>
      </c>
      <c r="Y23" s="17" t="s">
        <v>1713</v>
      </c>
      <c r="Z23" s="17" t="s">
        <v>1713</v>
      </c>
      <c r="AA23" s="17" t="s">
        <v>1715</v>
      </c>
      <c r="AB23" s="17" t="s">
        <v>1807</v>
      </c>
      <c r="AC23" s="17" t="s">
        <v>1808</v>
      </c>
    </row>
    <row r="24" spans="1:29" ht="49.95" customHeight="1" x14ac:dyDescent="0.3">
      <c r="A24" s="17" t="s">
        <v>703</v>
      </c>
      <c r="B24" s="17" t="s">
        <v>704</v>
      </c>
      <c r="C24" s="17">
        <v>48</v>
      </c>
      <c r="D24" s="17" t="s">
        <v>1711</v>
      </c>
      <c r="E24" s="17" t="s">
        <v>1711</v>
      </c>
      <c r="F24" s="17" t="s">
        <v>1711</v>
      </c>
      <c r="G24" s="17" t="s">
        <v>1711</v>
      </c>
      <c r="H24" s="17" t="s">
        <v>1711</v>
      </c>
      <c r="I24" s="17" t="s">
        <v>1711</v>
      </c>
      <c r="J24" s="17" t="s">
        <v>1715</v>
      </c>
      <c r="K24" s="17" t="s">
        <v>1715</v>
      </c>
      <c r="L24" s="17" t="s">
        <v>1715</v>
      </c>
      <c r="M24" s="17" t="s">
        <v>1715</v>
      </c>
      <c r="N24" s="17" t="s">
        <v>1715</v>
      </c>
      <c r="O24" s="17" t="s">
        <v>1715</v>
      </c>
      <c r="P24" s="17" t="s">
        <v>1715</v>
      </c>
      <c r="Q24" s="17" t="s">
        <v>1715</v>
      </c>
      <c r="R24" s="17" t="s">
        <v>1712</v>
      </c>
      <c r="S24" s="17" t="s">
        <v>1715</v>
      </c>
      <c r="T24" s="17" t="s">
        <v>1715</v>
      </c>
      <c r="U24" s="17" t="s">
        <v>1715</v>
      </c>
      <c r="V24" s="17" t="s">
        <v>1715</v>
      </c>
      <c r="W24" s="17" t="s">
        <v>1715</v>
      </c>
      <c r="X24" s="17" t="s">
        <v>1715</v>
      </c>
      <c r="Y24" s="17" t="s">
        <v>1713</v>
      </c>
      <c r="Z24" s="17" t="s">
        <v>1715</v>
      </c>
      <c r="AA24" s="17" t="s">
        <v>1715</v>
      </c>
      <c r="AB24" s="17" t="s">
        <v>1809</v>
      </c>
      <c r="AC24" s="17"/>
    </row>
    <row r="25" spans="1:29" ht="49.95" customHeight="1" x14ac:dyDescent="0.3">
      <c r="A25" s="17" t="s">
        <v>706</v>
      </c>
      <c r="B25" s="17" t="s">
        <v>707</v>
      </c>
      <c r="C25" s="17">
        <v>49</v>
      </c>
      <c r="D25" s="17" t="s">
        <v>1711</v>
      </c>
      <c r="E25" s="17" t="s">
        <v>1711</v>
      </c>
      <c r="F25" s="17" t="s">
        <v>1711</v>
      </c>
      <c r="G25" s="17" t="s">
        <v>1713</v>
      </c>
      <c r="H25" s="17" t="s">
        <v>1712</v>
      </c>
      <c r="I25" s="17" t="s">
        <v>1713</v>
      </c>
      <c r="J25" s="17" t="s">
        <v>1713</v>
      </c>
      <c r="K25" s="17" t="s">
        <v>1713</v>
      </c>
      <c r="L25" s="17" t="s">
        <v>1713</v>
      </c>
      <c r="M25" s="17" t="s">
        <v>1713</v>
      </c>
      <c r="N25" s="17" t="s">
        <v>1713</v>
      </c>
      <c r="O25" s="17" t="s">
        <v>1713</v>
      </c>
      <c r="P25" s="17" t="s">
        <v>1713</v>
      </c>
      <c r="Q25" s="17" t="s">
        <v>1713</v>
      </c>
      <c r="R25" s="17" t="s">
        <v>1712</v>
      </c>
      <c r="S25" s="17" t="s">
        <v>1713</v>
      </c>
      <c r="T25" s="17" t="s">
        <v>1713</v>
      </c>
      <c r="U25" s="17" t="s">
        <v>1713</v>
      </c>
      <c r="V25" s="17" t="s">
        <v>1713</v>
      </c>
      <c r="W25" s="17" t="s">
        <v>1713</v>
      </c>
      <c r="X25" s="17" t="s">
        <v>1713</v>
      </c>
      <c r="Y25" s="17" t="s">
        <v>1713</v>
      </c>
      <c r="Z25" s="17" t="s">
        <v>1713</v>
      </c>
      <c r="AA25" s="17" t="s">
        <v>1715</v>
      </c>
      <c r="AB25" s="17" t="s">
        <v>1810</v>
      </c>
      <c r="AC25" s="17" t="s">
        <v>1811</v>
      </c>
    </row>
    <row r="26" spans="1:29" ht="49.95" customHeight="1" x14ac:dyDescent="0.3">
      <c r="A26" s="17" t="s">
        <v>709</v>
      </c>
      <c r="B26" s="17" t="s">
        <v>1812</v>
      </c>
      <c r="C26" s="17">
        <v>50</v>
      </c>
      <c r="D26" s="17" t="s">
        <v>1711</v>
      </c>
      <c r="E26" s="17" t="s">
        <v>1711</v>
      </c>
      <c r="F26" s="17" t="s">
        <v>1711</v>
      </c>
      <c r="G26" s="17" t="s">
        <v>1711</v>
      </c>
      <c r="H26" s="17" t="s">
        <v>1711</v>
      </c>
      <c r="I26" s="17" t="s">
        <v>1711</v>
      </c>
      <c r="J26" s="17" t="s">
        <v>1715</v>
      </c>
      <c r="K26" s="17" t="s">
        <v>1715</v>
      </c>
      <c r="L26" s="17" t="s">
        <v>1715</v>
      </c>
      <c r="M26" s="17" t="s">
        <v>1715</v>
      </c>
      <c r="N26" s="17" t="s">
        <v>1715</v>
      </c>
      <c r="O26" s="17" t="s">
        <v>1713</v>
      </c>
      <c r="P26" s="17" t="s">
        <v>1715</v>
      </c>
      <c r="Q26" s="17" t="s">
        <v>1715</v>
      </c>
      <c r="R26" s="17" t="s">
        <v>1711</v>
      </c>
      <c r="S26" s="17" t="s">
        <v>1715</v>
      </c>
      <c r="T26" s="17" t="s">
        <v>1715</v>
      </c>
      <c r="U26" s="17" t="s">
        <v>1715</v>
      </c>
      <c r="V26" s="17" t="s">
        <v>1712</v>
      </c>
      <c r="W26" s="17" t="s">
        <v>1712</v>
      </c>
      <c r="X26" s="17" t="s">
        <v>1715</v>
      </c>
      <c r="Y26" s="17" t="s">
        <v>1712</v>
      </c>
      <c r="Z26" s="17" t="s">
        <v>1715</v>
      </c>
      <c r="AA26" s="17" t="s">
        <v>1711</v>
      </c>
      <c r="AB26" s="17" t="s">
        <v>1813</v>
      </c>
      <c r="AC26" s="17"/>
    </row>
    <row r="27" spans="1:29" ht="49.95" customHeight="1" x14ac:dyDescent="0.3">
      <c r="A27" s="17" t="s">
        <v>712</v>
      </c>
      <c r="B27" s="17" t="s">
        <v>713</v>
      </c>
      <c r="C27" s="17">
        <v>51</v>
      </c>
      <c r="D27" s="17" t="s">
        <v>1711</v>
      </c>
      <c r="E27" s="17" t="s">
        <v>1711</v>
      </c>
      <c r="F27" s="17" t="s">
        <v>1711</v>
      </c>
      <c r="G27" s="17" t="s">
        <v>1711</v>
      </c>
      <c r="H27" s="17" t="s">
        <v>1711</v>
      </c>
      <c r="I27" s="17" t="s">
        <v>1713</v>
      </c>
      <c r="J27" s="17" t="s">
        <v>1712</v>
      </c>
      <c r="K27" s="17" t="s">
        <v>1711</v>
      </c>
      <c r="L27" s="17" t="s">
        <v>1711</v>
      </c>
      <c r="M27" s="17" t="s">
        <v>1711</v>
      </c>
      <c r="N27" s="17" t="s">
        <v>1712</v>
      </c>
      <c r="O27" s="17" t="s">
        <v>1713</v>
      </c>
      <c r="P27" s="17" t="s">
        <v>1712</v>
      </c>
      <c r="Q27" s="17" t="s">
        <v>1713</v>
      </c>
      <c r="R27" s="17" t="s">
        <v>1713</v>
      </c>
      <c r="S27" s="17" t="s">
        <v>1713</v>
      </c>
      <c r="T27" s="17" t="s">
        <v>1713</v>
      </c>
      <c r="U27" s="17" t="s">
        <v>1713</v>
      </c>
      <c r="V27" s="17" t="s">
        <v>1713</v>
      </c>
      <c r="W27" s="17" t="s">
        <v>1713</v>
      </c>
      <c r="X27" s="17" t="s">
        <v>1713</v>
      </c>
      <c r="Y27" s="17" t="s">
        <v>1713</v>
      </c>
      <c r="Z27" s="17" t="s">
        <v>1713</v>
      </c>
      <c r="AA27" s="17" t="s">
        <v>1715</v>
      </c>
      <c r="AB27" s="17" t="s">
        <v>1814</v>
      </c>
      <c r="AC27" s="17" t="s">
        <v>1815</v>
      </c>
    </row>
    <row r="28" spans="1:29" ht="49.95" customHeight="1" x14ac:dyDescent="0.3">
      <c r="A28" s="17" t="s">
        <v>716</v>
      </c>
      <c r="B28" s="17" t="s">
        <v>717</v>
      </c>
      <c r="C28" s="17">
        <v>52</v>
      </c>
      <c r="D28" s="17" t="s">
        <v>1711</v>
      </c>
      <c r="E28" s="17" t="s">
        <v>1711</v>
      </c>
      <c r="F28" s="17" t="s">
        <v>1711</v>
      </c>
      <c r="G28" s="17" t="s">
        <v>1711</v>
      </c>
      <c r="H28" s="17" t="s">
        <v>1711</v>
      </c>
      <c r="I28" s="17" t="s">
        <v>1711</v>
      </c>
      <c r="J28" s="17" t="s">
        <v>1711</v>
      </c>
      <c r="K28" s="17" t="s">
        <v>1711</v>
      </c>
      <c r="L28" s="17" t="s">
        <v>1711</v>
      </c>
      <c r="M28" s="17" t="s">
        <v>1711</v>
      </c>
      <c r="N28" s="17" t="s">
        <v>1711</v>
      </c>
      <c r="O28" s="17" t="s">
        <v>1713</v>
      </c>
      <c r="P28" s="17" t="s">
        <v>1712</v>
      </c>
      <c r="Q28" s="17" t="s">
        <v>1711</v>
      </c>
      <c r="R28" s="17" t="s">
        <v>1711</v>
      </c>
      <c r="S28" s="17" t="s">
        <v>1711</v>
      </c>
      <c r="T28" s="17" t="s">
        <v>1711</v>
      </c>
      <c r="U28" s="17" t="s">
        <v>1711</v>
      </c>
      <c r="V28" s="17" t="s">
        <v>1711</v>
      </c>
      <c r="W28" s="17" t="s">
        <v>1711</v>
      </c>
      <c r="X28" s="17" t="s">
        <v>1711</v>
      </c>
      <c r="Y28" s="17" t="s">
        <v>1712</v>
      </c>
      <c r="Z28" s="17" t="s">
        <v>1715</v>
      </c>
      <c r="AA28" s="17" t="s">
        <v>1711</v>
      </c>
      <c r="AB28" s="17" t="s">
        <v>1816</v>
      </c>
      <c r="AC28" s="17" t="s">
        <v>1817</v>
      </c>
    </row>
    <row r="29" spans="1:29" ht="49.95" customHeight="1" x14ac:dyDescent="0.3">
      <c r="A29" s="17" t="s">
        <v>719</v>
      </c>
      <c r="B29" s="17" t="s">
        <v>720</v>
      </c>
      <c r="C29" s="17">
        <v>53</v>
      </c>
      <c r="D29" s="17" t="s">
        <v>1711</v>
      </c>
      <c r="E29" s="17" t="s">
        <v>1711</v>
      </c>
      <c r="F29" s="17" t="s">
        <v>1711</v>
      </c>
      <c r="G29" s="17" t="s">
        <v>1713</v>
      </c>
      <c r="H29" s="17" t="s">
        <v>1711</v>
      </c>
      <c r="I29" s="17" t="s">
        <v>1711</v>
      </c>
      <c r="J29" s="17" t="s">
        <v>1711</v>
      </c>
      <c r="K29" s="17" t="s">
        <v>1712</v>
      </c>
      <c r="L29" s="17" t="s">
        <v>1711</v>
      </c>
      <c r="M29" s="17" t="s">
        <v>1711</v>
      </c>
      <c r="N29" s="17" t="s">
        <v>1712</v>
      </c>
      <c r="O29" s="17" t="s">
        <v>1712</v>
      </c>
      <c r="P29" s="17" t="s">
        <v>1711</v>
      </c>
      <c r="Q29" s="17" t="s">
        <v>1715</v>
      </c>
      <c r="R29" s="17" t="s">
        <v>1711</v>
      </c>
      <c r="S29" s="17" t="s">
        <v>1715</v>
      </c>
      <c r="T29" s="17" t="s">
        <v>1715</v>
      </c>
      <c r="U29" s="17" t="s">
        <v>1711</v>
      </c>
      <c r="V29" s="17" t="s">
        <v>1715</v>
      </c>
      <c r="W29" s="17" t="s">
        <v>1715</v>
      </c>
      <c r="X29" s="17" t="s">
        <v>1715</v>
      </c>
      <c r="Y29" s="17" t="s">
        <v>1713</v>
      </c>
      <c r="Z29" s="17" t="s">
        <v>1711</v>
      </c>
      <c r="AA29" s="17" t="s">
        <v>1715</v>
      </c>
      <c r="AB29" s="17" t="s">
        <v>1818</v>
      </c>
      <c r="AC29" s="17" t="s">
        <v>1819</v>
      </c>
    </row>
    <row r="30" spans="1:29" ht="49.95" customHeight="1" x14ac:dyDescent="0.3">
      <c r="A30" s="17" t="s">
        <v>722</v>
      </c>
      <c r="B30" s="17" t="s">
        <v>723</v>
      </c>
      <c r="C30" s="17">
        <v>54</v>
      </c>
      <c r="D30" s="17" t="s">
        <v>1711</v>
      </c>
      <c r="E30" s="17" t="s">
        <v>1711</v>
      </c>
      <c r="F30" s="17" t="s">
        <v>1711</v>
      </c>
      <c r="G30" s="17" t="s">
        <v>1711</v>
      </c>
      <c r="H30" s="17" t="s">
        <v>1711</v>
      </c>
      <c r="I30" s="17" t="s">
        <v>1714</v>
      </c>
      <c r="J30" s="17" t="s">
        <v>1712</v>
      </c>
      <c r="K30" s="17" t="s">
        <v>1714</v>
      </c>
      <c r="L30" s="17" t="s">
        <v>1714</v>
      </c>
      <c r="M30" s="17" t="s">
        <v>1714</v>
      </c>
      <c r="N30" s="17" t="s">
        <v>1714</v>
      </c>
      <c r="O30" s="17" t="s">
        <v>1713</v>
      </c>
      <c r="P30" s="17" t="s">
        <v>1713</v>
      </c>
      <c r="Q30" s="17" t="s">
        <v>1712</v>
      </c>
      <c r="R30" s="17" t="s">
        <v>1714</v>
      </c>
      <c r="S30" s="17" t="s">
        <v>1713</v>
      </c>
      <c r="T30" s="17" t="s">
        <v>1714</v>
      </c>
      <c r="U30" s="17" t="s">
        <v>1713</v>
      </c>
      <c r="V30" s="17" t="s">
        <v>1713</v>
      </c>
      <c r="W30" s="17" t="s">
        <v>1713</v>
      </c>
      <c r="X30" s="17" t="s">
        <v>1713</v>
      </c>
      <c r="Y30" s="17" t="s">
        <v>1713</v>
      </c>
      <c r="Z30" s="17" t="s">
        <v>1713</v>
      </c>
      <c r="AA30" s="17" t="s">
        <v>1715</v>
      </c>
      <c r="AB30" s="17" t="s">
        <v>1820</v>
      </c>
      <c r="AC30" s="17" t="s">
        <v>1821</v>
      </c>
    </row>
    <row r="31" spans="1:29" ht="49.95" customHeight="1" x14ac:dyDescent="0.3">
      <c r="A31" s="17" t="s">
        <v>727</v>
      </c>
      <c r="B31" s="17" t="s">
        <v>1822</v>
      </c>
      <c r="C31" s="17">
        <v>55</v>
      </c>
      <c r="D31" s="17" t="s">
        <v>1711</v>
      </c>
      <c r="E31" s="17" t="s">
        <v>1711</v>
      </c>
      <c r="F31" s="17" t="s">
        <v>1711</v>
      </c>
      <c r="G31" s="17" t="s">
        <v>1711</v>
      </c>
      <c r="H31" s="17" t="s">
        <v>1711</v>
      </c>
      <c r="I31" s="17" t="s">
        <v>1711</v>
      </c>
      <c r="J31" s="17" t="s">
        <v>1712</v>
      </c>
      <c r="K31" s="17" t="s">
        <v>1711</v>
      </c>
      <c r="L31" s="17" t="s">
        <v>1711</v>
      </c>
      <c r="M31" s="17" t="s">
        <v>1711</v>
      </c>
      <c r="N31" s="17" t="s">
        <v>1712</v>
      </c>
      <c r="O31" s="17" t="s">
        <v>1713</v>
      </c>
      <c r="P31" s="17" t="s">
        <v>1713</v>
      </c>
      <c r="Q31" s="17" t="s">
        <v>1712</v>
      </c>
      <c r="R31" s="17" t="s">
        <v>1713</v>
      </c>
      <c r="S31" s="17" t="s">
        <v>1713</v>
      </c>
      <c r="T31" s="17" t="s">
        <v>1713</v>
      </c>
      <c r="U31" s="17" t="s">
        <v>1713</v>
      </c>
      <c r="V31" s="17" t="s">
        <v>1713</v>
      </c>
      <c r="W31" s="17" t="s">
        <v>1713</v>
      </c>
      <c r="X31" s="17" t="s">
        <v>1713</v>
      </c>
      <c r="Y31" s="17" t="s">
        <v>1713</v>
      </c>
      <c r="Z31" s="17" t="s">
        <v>1713</v>
      </c>
      <c r="AA31" s="17" t="s">
        <v>1715</v>
      </c>
      <c r="AB31" s="17" t="s">
        <v>1823</v>
      </c>
      <c r="AC31" s="17" t="s">
        <v>1824</v>
      </c>
    </row>
    <row r="32" spans="1:29" ht="49.95" customHeight="1" x14ac:dyDescent="0.3">
      <c r="A32" s="17" t="s">
        <v>732</v>
      </c>
      <c r="B32" s="17" t="s">
        <v>1825</v>
      </c>
      <c r="C32" s="17">
        <v>56</v>
      </c>
      <c r="D32" s="17" t="s">
        <v>1711</v>
      </c>
      <c r="E32" s="17" t="s">
        <v>1711</v>
      </c>
      <c r="F32" s="17" t="s">
        <v>1711</v>
      </c>
      <c r="G32" s="17" t="s">
        <v>1711</v>
      </c>
      <c r="H32" s="17" t="s">
        <v>1711</v>
      </c>
      <c r="I32" s="17" t="s">
        <v>1711</v>
      </c>
      <c r="J32" s="17" t="s">
        <v>1712</v>
      </c>
      <c r="K32" s="17" t="s">
        <v>1711</v>
      </c>
      <c r="L32" s="17" t="s">
        <v>1711</v>
      </c>
      <c r="M32" s="17" t="s">
        <v>1712</v>
      </c>
      <c r="N32" s="17" t="s">
        <v>1712</v>
      </c>
      <c r="O32" s="17" t="s">
        <v>1712</v>
      </c>
      <c r="P32" s="17" t="s">
        <v>1712</v>
      </c>
      <c r="Q32" s="17" t="s">
        <v>1715</v>
      </c>
      <c r="R32" s="17" t="s">
        <v>1712</v>
      </c>
      <c r="S32" s="17" t="s">
        <v>1712</v>
      </c>
      <c r="T32" s="17" t="s">
        <v>1712</v>
      </c>
      <c r="U32" s="17" t="s">
        <v>1712</v>
      </c>
      <c r="V32" s="17" t="s">
        <v>1715</v>
      </c>
      <c r="W32" s="17" t="s">
        <v>1715</v>
      </c>
      <c r="X32" s="17" t="s">
        <v>1715</v>
      </c>
      <c r="Y32" s="17" t="s">
        <v>1713</v>
      </c>
      <c r="Z32" s="17" t="s">
        <v>1713</v>
      </c>
      <c r="AA32" s="17" t="s">
        <v>1715</v>
      </c>
      <c r="AB32" s="17" t="s">
        <v>1826</v>
      </c>
      <c r="AC32" s="17" t="s">
        <v>1827</v>
      </c>
    </row>
    <row r="33" spans="1:29" ht="49.95" customHeight="1" x14ac:dyDescent="0.3">
      <c r="A33" s="17" t="s">
        <v>743</v>
      </c>
      <c r="B33" s="17" t="s">
        <v>1828</v>
      </c>
      <c r="C33" s="17">
        <v>56</v>
      </c>
      <c r="D33" s="17" t="s">
        <v>1711</v>
      </c>
      <c r="E33" s="17" t="s">
        <v>1715</v>
      </c>
      <c r="F33" s="17" t="s">
        <v>1715</v>
      </c>
      <c r="G33" s="17" t="s">
        <v>1715</v>
      </c>
      <c r="H33" s="17" t="s">
        <v>1715</v>
      </c>
      <c r="I33" s="17" t="s">
        <v>1715</v>
      </c>
      <c r="J33" s="17" t="s">
        <v>1715</v>
      </c>
      <c r="K33" s="17" t="s">
        <v>1715</v>
      </c>
      <c r="L33" s="17" t="s">
        <v>1715</v>
      </c>
      <c r="M33" s="17" t="s">
        <v>1715</v>
      </c>
      <c r="N33" s="17" t="s">
        <v>1715</v>
      </c>
      <c r="O33" s="17" t="s">
        <v>1715</v>
      </c>
      <c r="P33" s="17" t="s">
        <v>1715</v>
      </c>
      <c r="Q33" s="17" t="s">
        <v>1715</v>
      </c>
      <c r="R33" s="17" t="s">
        <v>1715</v>
      </c>
      <c r="S33" s="17" t="s">
        <v>1715</v>
      </c>
      <c r="T33" s="17" t="s">
        <v>1715</v>
      </c>
      <c r="U33" s="17" t="s">
        <v>1715</v>
      </c>
      <c r="V33" s="17" t="s">
        <v>1715</v>
      </c>
      <c r="W33" s="17" t="s">
        <v>1715</v>
      </c>
      <c r="X33" s="17" t="s">
        <v>1715</v>
      </c>
      <c r="Y33" s="17" t="s">
        <v>1713</v>
      </c>
      <c r="Z33" s="17" t="s">
        <v>1715</v>
      </c>
      <c r="AA33" s="17" t="s">
        <v>1715</v>
      </c>
      <c r="AB33" s="17" t="s">
        <v>1829</v>
      </c>
      <c r="AC33" s="17" t="s">
        <v>1830</v>
      </c>
    </row>
    <row r="34" spans="1:29" ht="49.95" customHeight="1" x14ac:dyDescent="0.3">
      <c r="A34" s="17" t="s">
        <v>746</v>
      </c>
      <c r="B34" s="17" t="s">
        <v>747</v>
      </c>
      <c r="C34" s="17">
        <v>57</v>
      </c>
      <c r="D34" s="17" t="s">
        <v>1711</v>
      </c>
      <c r="E34" s="17" t="s">
        <v>1711</v>
      </c>
      <c r="F34" s="17" t="s">
        <v>1711</v>
      </c>
      <c r="G34" s="17" t="s">
        <v>1711</v>
      </c>
      <c r="H34" s="17" t="s">
        <v>1711</v>
      </c>
      <c r="I34" s="17" t="s">
        <v>1712</v>
      </c>
      <c r="J34" s="17" t="s">
        <v>1712</v>
      </c>
      <c r="K34" s="17" t="s">
        <v>1712</v>
      </c>
      <c r="L34" s="17" t="s">
        <v>1712</v>
      </c>
      <c r="M34" s="17" t="s">
        <v>1712</v>
      </c>
      <c r="N34" s="17" t="s">
        <v>1713</v>
      </c>
      <c r="O34" s="17" t="s">
        <v>1713</v>
      </c>
      <c r="P34" s="17" t="s">
        <v>1713</v>
      </c>
      <c r="Q34" s="17" t="s">
        <v>1715</v>
      </c>
      <c r="R34" s="17" t="s">
        <v>1713</v>
      </c>
      <c r="S34" s="17" t="s">
        <v>1713</v>
      </c>
      <c r="T34" s="17" t="s">
        <v>1713</v>
      </c>
      <c r="U34" s="17" t="s">
        <v>1712</v>
      </c>
      <c r="V34" s="17" t="s">
        <v>1715</v>
      </c>
      <c r="W34" s="17" t="s">
        <v>1715</v>
      </c>
      <c r="X34" s="17" t="s">
        <v>1715</v>
      </c>
      <c r="Y34" s="17" t="s">
        <v>1713</v>
      </c>
      <c r="Z34" s="17" t="s">
        <v>1713</v>
      </c>
      <c r="AA34" s="17" t="s">
        <v>1715</v>
      </c>
      <c r="AB34" s="17" t="s">
        <v>1831</v>
      </c>
      <c r="AC34" s="17" t="s">
        <v>1832</v>
      </c>
    </row>
    <row r="35" spans="1:29" ht="49.95" customHeight="1" x14ac:dyDescent="0.3">
      <c r="A35" s="17" t="s">
        <v>754</v>
      </c>
      <c r="B35" s="17" t="s">
        <v>755</v>
      </c>
      <c r="C35" s="17">
        <v>59</v>
      </c>
      <c r="D35" s="17" t="s">
        <v>1711</v>
      </c>
      <c r="E35" s="17" t="s">
        <v>1711</v>
      </c>
      <c r="F35" s="17" t="s">
        <v>1711</v>
      </c>
      <c r="G35" s="17" t="s">
        <v>1711</v>
      </c>
      <c r="H35" s="17" t="s">
        <v>1711</v>
      </c>
      <c r="I35" s="17" t="s">
        <v>1712</v>
      </c>
      <c r="J35" s="17" t="s">
        <v>1712</v>
      </c>
      <c r="K35" s="17" t="s">
        <v>1712</v>
      </c>
      <c r="L35" s="17" t="s">
        <v>1712</v>
      </c>
      <c r="M35" s="17" t="s">
        <v>1712</v>
      </c>
      <c r="N35" s="17" t="s">
        <v>1713</v>
      </c>
      <c r="O35" s="17" t="s">
        <v>1713</v>
      </c>
      <c r="P35" s="17" t="s">
        <v>1713</v>
      </c>
      <c r="Q35" s="17" t="s">
        <v>1713</v>
      </c>
      <c r="R35" s="17" t="s">
        <v>1712</v>
      </c>
      <c r="S35" s="17" t="s">
        <v>1713</v>
      </c>
      <c r="T35" s="17" t="s">
        <v>1713</v>
      </c>
      <c r="U35" s="17" t="s">
        <v>1713</v>
      </c>
      <c r="V35" s="17" t="s">
        <v>1713</v>
      </c>
      <c r="W35" s="17" t="s">
        <v>1713</v>
      </c>
      <c r="X35" s="17" t="s">
        <v>1713</v>
      </c>
      <c r="Y35" s="17" t="s">
        <v>1713</v>
      </c>
      <c r="Z35" s="17" t="s">
        <v>1713</v>
      </c>
      <c r="AA35" s="17" t="s">
        <v>1715</v>
      </c>
      <c r="AB35" s="17" t="s">
        <v>1833</v>
      </c>
      <c r="AC35" s="17" t="s">
        <v>1834</v>
      </c>
    </row>
    <row r="36" spans="1:29" ht="49.95" customHeight="1" x14ac:dyDescent="0.3">
      <c r="A36" s="17" t="s">
        <v>760</v>
      </c>
      <c r="B36" s="17" t="s">
        <v>1835</v>
      </c>
      <c r="C36" s="17">
        <v>61</v>
      </c>
      <c r="D36" s="17" t="s">
        <v>1711</v>
      </c>
      <c r="E36" s="17" t="s">
        <v>1712</v>
      </c>
      <c r="F36" s="17" t="s">
        <v>1712</v>
      </c>
      <c r="G36" s="17" t="s">
        <v>1712</v>
      </c>
      <c r="H36" s="17" t="s">
        <v>1712</v>
      </c>
      <c r="I36" s="17" t="s">
        <v>1712</v>
      </c>
      <c r="J36" s="17" t="s">
        <v>1712</v>
      </c>
      <c r="K36" s="17" t="s">
        <v>1714</v>
      </c>
      <c r="L36" s="17" t="s">
        <v>1714</v>
      </c>
      <c r="M36" s="17" t="s">
        <v>1714</v>
      </c>
      <c r="N36" s="17" t="s">
        <v>1713</v>
      </c>
      <c r="O36" s="17" t="s">
        <v>1713</v>
      </c>
      <c r="P36" s="17" t="s">
        <v>1713</v>
      </c>
      <c r="Q36" s="17" t="s">
        <v>1713</v>
      </c>
      <c r="R36" s="17" t="s">
        <v>1712</v>
      </c>
      <c r="S36" s="17" t="s">
        <v>1713</v>
      </c>
      <c r="T36" s="17" t="s">
        <v>1713</v>
      </c>
      <c r="U36" s="17" t="s">
        <v>1713</v>
      </c>
      <c r="V36" s="17" t="s">
        <v>1713</v>
      </c>
      <c r="W36" s="17" t="s">
        <v>1713</v>
      </c>
      <c r="X36" s="17" t="s">
        <v>1713</v>
      </c>
      <c r="Y36" s="17" t="s">
        <v>1713</v>
      </c>
      <c r="Z36" s="17" t="s">
        <v>1713</v>
      </c>
      <c r="AA36" s="17" t="s">
        <v>1715</v>
      </c>
      <c r="AB36" s="17" t="s">
        <v>1836</v>
      </c>
      <c r="AC36" s="17" t="s">
        <v>1837</v>
      </c>
    </row>
    <row r="37" spans="1:29" ht="49.95" customHeight="1" x14ac:dyDescent="0.3">
      <c r="A37" s="17" t="s">
        <v>783</v>
      </c>
      <c r="B37" s="17" t="s">
        <v>784</v>
      </c>
      <c r="C37" s="17">
        <v>82</v>
      </c>
      <c r="D37" s="17" t="s">
        <v>1711</v>
      </c>
      <c r="E37" s="17" t="s">
        <v>1711</v>
      </c>
      <c r="F37" s="17" t="s">
        <v>1711</v>
      </c>
      <c r="G37" s="17" t="s">
        <v>1711</v>
      </c>
      <c r="H37" s="17" t="s">
        <v>1711</v>
      </c>
      <c r="I37" s="17" t="s">
        <v>1711</v>
      </c>
      <c r="J37" s="17" t="s">
        <v>1711</v>
      </c>
      <c r="K37" s="17" t="s">
        <v>1711</v>
      </c>
      <c r="L37" s="17" t="s">
        <v>1711</v>
      </c>
      <c r="M37" s="17" t="s">
        <v>1711</v>
      </c>
      <c r="N37" s="17" t="s">
        <v>1714</v>
      </c>
      <c r="O37" s="17" t="s">
        <v>1714</v>
      </c>
      <c r="P37" s="17" t="s">
        <v>1715</v>
      </c>
      <c r="Q37" s="17" t="s">
        <v>1712</v>
      </c>
      <c r="R37" s="17" t="s">
        <v>1711</v>
      </c>
      <c r="S37" s="17" t="s">
        <v>1714</v>
      </c>
      <c r="T37" s="17" t="s">
        <v>1714</v>
      </c>
      <c r="U37" s="17" t="s">
        <v>1715</v>
      </c>
      <c r="V37" s="17" t="s">
        <v>1711</v>
      </c>
      <c r="W37" s="17" t="s">
        <v>1711</v>
      </c>
      <c r="X37" s="17" t="s">
        <v>1712</v>
      </c>
      <c r="Y37" s="17" t="s">
        <v>1713</v>
      </c>
      <c r="Z37" s="17" t="s">
        <v>1712</v>
      </c>
      <c r="AA37" s="17" t="s">
        <v>1715</v>
      </c>
      <c r="AB37" s="17" t="s">
        <v>1838</v>
      </c>
      <c r="AC37" s="17" t="s">
        <v>1839</v>
      </c>
    </row>
    <row r="38" spans="1:29" ht="49.95" customHeight="1" x14ac:dyDescent="0.3">
      <c r="A38" s="17" t="s">
        <v>786</v>
      </c>
      <c r="B38" s="17" t="s">
        <v>787</v>
      </c>
      <c r="C38" s="17">
        <v>83</v>
      </c>
      <c r="D38" s="17" t="s">
        <v>1711</v>
      </c>
      <c r="E38" s="17" t="s">
        <v>1711</v>
      </c>
      <c r="F38" s="17" t="s">
        <v>1711</v>
      </c>
      <c r="G38" s="17" t="s">
        <v>1711</v>
      </c>
      <c r="H38" s="17" t="s">
        <v>1711</v>
      </c>
      <c r="I38" s="17" t="s">
        <v>1711</v>
      </c>
      <c r="J38" s="17" t="s">
        <v>1712</v>
      </c>
      <c r="K38" s="17" t="s">
        <v>1711</v>
      </c>
      <c r="L38" s="17" t="s">
        <v>1711</v>
      </c>
      <c r="M38" s="17" t="s">
        <v>1711</v>
      </c>
      <c r="N38" s="17" t="s">
        <v>1714</v>
      </c>
      <c r="O38" s="17" t="s">
        <v>1713</v>
      </c>
      <c r="P38" s="17" t="s">
        <v>1715</v>
      </c>
      <c r="Q38" s="17" t="s">
        <v>1712</v>
      </c>
      <c r="R38" s="17" t="s">
        <v>1711</v>
      </c>
      <c r="S38" s="17" t="s">
        <v>1714</v>
      </c>
      <c r="T38" s="17" t="s">
        <v>1714</v>
      </c>
      <c r="U38" s="17" t="s">
        <v>1715</v>
      </c>
      <c r="V38" s="17" t="s">
        <v>1712</v>
      </c>
      <c r="W38" s="17" t="s">
        <v>1712</v>
      </c>
      <c r="X38" s="17" t="s">
        <v>1715</v>
      </c>
      <c r="Y38" s="17" t="s">
        <v>1713</v>
      </c>
      <c r="Z38" s="17" t="s">
        <v>1713</v>
      </c>
      <c r="AA38" s="17" t="s">
        <v>1715</v>
      </c>
      <c r="AB38" s="17" t="s">
        <v>1840</v>
      </c>
      <c r="AC38" s="17" t="s">
        <v>1841</v>
      </c>
    </row>
    <row r="39" spans="1:29" ht="49.95" customHeight="1" x14ac:dyDescent="0.3">
      <c r="A39" s="17" t="s">
        <v>801</v>
      </c>
      <c r="B39" s="17" t="s">
        <v>802</v>
      </c>
      <c r="C39" s="17">
        <v>88</v>
      </c>
      <c r="D39" s="17" t="s">
        <v>1711</v>
      </c>
      <c r="E39" s="17" t="s">
        <v>1711</v>
      </c>
      <c r="F39" s="17" t="s">
        <v>1711</v>
      </c>
      <c r="G39" s="17" t="s">
        <v>1711</v>
      </c>
      <c r="H39" s="17" t="s">
        <v>1711</v>
      </c>
      <c r="I39" s="17" t="s">
        <v>1711</v>
      </c>
      <c r="J39" s="17" t="s">
        <v>1712</v>
      </c>
      <c r="K39" s="17" t="s">
        <v>1711</v>
      </c>
      <c r="L39" s="17" t="s">
        <v>1711</v>
      </c>
      <c r="M39" s="17" t="s">
        <v>1711</v>
      </c>
      <c r="N39" s="17" t="s">
        <v>1711</v>
      </c>
      <c r="O39" s="17" t="s">
        <v>1712</v>
      </c>
      <c r="P39" s="17" t="s">
        <v>1711</v>
      </c>
      <c r="Q39" s="17" t="s">
        <v>1715</v>
      </c>
      <c r="R39" s="17" t="s">
        <v>1711</v>
      </c>
      <c r="S39" s="17" t="s">
        <v>1711</v>
      </c>
      <c r="T39" s="17" t="s">
        <v>1711</v>
      </c>
      <c r="U39" s="17" t="s">
        <v>1711</v>
      </c>
      <c r="V39" s="17" t="s">
        <v>1715</v>
      </c>
      <c r="W39" s="17" t="s">
        <v>1715</v>
      </c>
      <c r="X39" s="17" t="s">
        <v>1712</v>
      </c>
      <c r="Y39" s="17" t="s">
        <v>1713</v>
      </c>
      <c r="Z39" s="17" t="s">
        <v>1713</v>
      </c>
      <c r="AA39" s="17" t="s">
        <v>1715</v>
      </c>
      <c r="AB39" s="17" t="s">
        <v>1842</v>
      </c>
      <c r="AC39" s="17" t="s">
        <v>1843</v>
      </c>
    </row>
    <row r="40" spans="1:29" ht="49.95" customHeight="1" x14ac:dyDescent="0.3">
      <c r="A40" s="17" t="s">
        <v>805</v>
      </c>
      <c r="B40" s="17" t="s">
        <v>806</v>
      </c>
      <c r="C40" s="17">
        <v>89</v>
      </c>
      <c r="D40" s="17" t="s">
        <v>1711</v>
      </c>
      <c r="E40" s="17" t="s">
        <v>1712</v>
      </c>
      <c r="F40" s="17" t="s">
        <v>1712</v>
      </c>
      <c r="G40" s="17" t="s">
        <v>1712</v>
      </c>
      <c r="H40" s="17" t="s">
        <v>1712</v>
      </c>
      <c r="I40" s="17" t="s">
        <v>1712</v>
      </c>
      <c r="J40" s="17" t="s">
        <v>1712</v>
      </c>
      <c r="K40" s="17" t="s">
        <v>1714</v>
      </c>
      <c r="L40" s="17" t="s">
        <v>1714</v>
      </c>
      <c r="M40" s="17" t="s">
        <v>1714</v>
      </c>
      <c r="N40" s="17" t="s">
        <v>1714</v>
      </c>
      <c r="O40" s="17" t="s">
        <v>1712</v>
      </c>
      <c r="P40" s="17" t="s">
        <v>1714</v>
      </c>
      <c r="Q40" s="17" t="s">
        <v>1715</v>
      </c>
      <c r="R40" s="17" t="s">
        <v>1712</v>
      </c>
      <c r="S40" s="17" t="s">
        <v>1712</v>
      </c>
      <c r="T40" s="17" t="s">
        <v>1712</v>
      </c>
      <c r="U40" s="17" t="s">
        <v>1712</v>
      </c>
      <c r="V40" s="17" t="s">
        <v>1712</v>
      </c>
      <c r="W40" s="17" t="s">
        <v>1712</v>
      </c>
      <c r="X40" s="17" t="s">
        <v>1715</v>
      </c>
      <c r="Y40" s="17" t="s">
        <v>1713</v>
      </c>
      <c r="Z40" s="17" t="s">
        <v>1713</v>
      </c>
      <c r="AA40" s="17" t="s">
        <v>1715</v>
      </c>
      <c r="AB40" s="17" t="s">
        <v>1844</v>
      </c>
      <c r="AC40" s="17" t="s">
        <v>1845</v>
      </c>
    </row>
    <row r="41" spans="1:29" ht="49.95" customHeight="1" x14ac:dyDescent="0.3">
      <c r="A41" s="17" t="s">
        <v>819</v>
      </c>
      <c r="B41" s="17" t="s">
        <v>820</v>
      </c>
      <c r="C41" s="17">
        <v>93</v>
      </c>
      <c r="D41" s="17" t="s">
        <v>1711</v>
      </c>
      <c r="E41" s="17" t="s">
        <v>1711</v>
      </c>
      <c r="F41" s="17" t="s">
        <v>1711</v>
      </c>
      <c r="G41" s="17" t="s">
        <v>1711</v>
      </c>
      <c r="H41" s="17" t="s">
        <v>1711</v>
      </c>
      <c r="I41" s="17" t="s">
        <v>1711</v>
      </c>
      <c r="J41" s="17" t="s">
        <v>1712</v>
      </c>
      <c r="K41" s="17" t="s">
        <v>1711</v>
      </c>
      <c r="L41" s="17" t="s">
        <v>1711</v>
      </c>
      <c r="M41" s="17" t="s">
        <v>1711</v>
      </c>
      <c r="N41" s="17" t="s">
        <v>1711</v>
      </c>
      <c r="O41" s="17" t="s">
        <v>1712</v>
      </c>
      <c r="P41" s="17" t="s">
        <v>1712</v>
      </c>
      <c r="Q41" s="17" t="s">
        <v>1712</v>
      </c>
      <c r="R41" s="17" t="s">
        <v>1711</v>
      </c>
      <c r="S41" s="17" t="s">
        <v>1712</v>
      </c>
      <c r="T41" s="17" t="s">
        <v>1712</v>
      </c>
      <c r="U41" s="17" t="s">
        <v>1712</v>
      </c>
      <c r="V41" s="17" t="s">
        <v>1715</v>
      </c>
      <c r="W41" s="17" t="s">
        <v>1715</v>
      </c>
      <c r="X41" s="17" t="s">
        <v>1712</v>
      </c>
      <c r="Y41" s="17" t="s">
        <v>1713</v>
      </c>
      <c r="Z41" s="17" t="s">
        <v>1713</v>
      </c>
      <c r="AA41" s="17" t="s">
        <v>1715</v>
      </c>
      <c r="AB41" s="17" t="s">
        <v>1846</v>
      </c>
      <c r="AC41" s="17"/>
    </row>
    <row r="42" spans="1:29" ht="49.95" customHeight="1" x14ac:dyDescent="0.3">
      <c r="A42" s="17" t="s">
        <v>822</v>
      </c>
      <c r="B42" s="17" t="s">
        <v>823</v>
      </c>
      <c r="C42" s="17">
        <v>94</v>
      </c>
      <c r="D42" s="17" t="s">
        <v>1711</v>
      </c>
      <c r="E42" s="17" t="s">
        <v>1711</v>
      </c>
      <c r="F42" s="17" t="s">
        <v>1711</v>
      </c>
      <c r="G42" s="17" t="s">
        <v>1711</v>
      </c>
      <c r="H42" s="17" t="s">
        <v>1711</v>
      </c>
      <c r="I42" s="17" t="s">
        <v>1712</v>
      </c>
      <c r="J42" s="17" t="s">
        <v>1713</v>
      </c>
      <c r="K42" s="17" t="s">
        <v>1711</v>
      </c>
      <c r="L42" s="17" t="s">
        <v>1712</v>
      </c>
      <c r="M42" s="17" t="s">
        <v>1712</v>
      </c>
      <c r="N42" s="17" t="s">
        <v>1712</v>
      </c>
      <c r="O42" s="17" t="s">
        <v>1713</v>
      </c>
      <c r="P42" s="17" t="s">
        <v>1713</v>
      </c>
      <c r="Q42" s="17" t="s">
        <v>1713</v>
      </c>
      <c r="R42" s="17" t="s">
        <v>1712</v>
      </c>
      <c r="S42" s="17" t="s">
        <v>1713</v>
      </c>
      <c r="T42" s="17" t="s">
        <v>1713</v>
      </c>
      <c r="U42" s="17" t="s">
        <v>1713</v>
      </c>
      <c r="V42" s="17" t="s">
        <v>1713</v>
      </c>
      <c r="W42" s="17" t="s">
        <v>1713</v>
      </c>
      <c r="X42" s="17" t="s">
        <v>1713</v>
      </c>
      <c r="Y42" s="17" t="s">
        <v>1713</v>
      </c>
      <c r="Z42" s="17" t="s">
        <v>1713</v>
      </c>
      <c r="AA42" s="17" t="s">
        <v>1715</v>
      </c>
      <c r="AB42" s="17" t="s">
        <v>1847</v>
      </c>
      <c r="AC42" s="17" t="s">
        <v>1848</v>
      </c>
    </row>
    <row r="43" spans="1:29" ht="49.95" customHeight="1" x14ac:dyDescent="0.3">
      <c r="A43" s="17" t="s">
        <v>834</v>
      </c>
      <c r="B43" s="17" t="s">
        <v>1849</v>
      </c>
      <c r="C43" s="17">
        <v>98</v>
      </c>
      <c r="D43" s="17" t="s">
        <v>1711</v>
      </c>
      <c r="E43" s="17" t="s">
        <v>1711</v>
      </c>
      <c r="F43" s="17" t="s">
        <v>1711</v>
      </c>
      <c r="G43" s="17" t="s">
        <v>1711</v>
      </c>
      <c r="H43" s="17" t="s">
        <v>1711</v>
      </c>
      <c r="I43" s="17" t="s">
        <v>1712</v>
      </c>
      <c r="J43" s="17" t="s">
        <v>1713</v>
      </c>
      <c r="K43" s="17" t="s">
        <v>1714</v>
      </c>
      <c r="L43" s="17" t="s">
        <v>1712</v>
      </c>
      <c r="M43" s="17" t="s">
        <v>1712</v>
      </c>
      <c r="N43" s="17" t="s">
        <v>1714</v>
      </c>
      <c r="O43" s="17" t="s">
        <v>1713</v>
      </c>
      <c r="P43" s="17" t="s">
        <v>1715</v>
      </c>
      <c r="Q43" s="17" t="s">
        <v>1713</v>
      </c>
      <c r="R43" s="17" t="s">
        <v>1712</v>
      </c>
      <c r="S43" s="17" t="s">
        <v>1713</v>
      </c>
      <c r="T43" s="17" t="s">
        <v>1713</v>
      </c>
      <c r="U43" s="17" t="s">
        <v>1713</v>
      </c>
      <c r="V43" s="17" t="s">
        <v>1713</v>
      </c>
      <c r="W43" s="17" t="s">
        <v>1713</v>
      </c>
      <c r="X43" s="17" t="s">
        <v>1713</v>
      </c>
      <c r="Y43" s="17" t="s">
        <v>1713</v>
      </c>
      <c r="Z43" s="17" t="s">
        <v>1713</v>
      </c>
      <c r="AA43" s="17" t="s">
        <v>1715</v>
      </c>
      <c r="AB43" s="17" t="s">
        <v>1850</v>
      </c>
      <c r="AC43" s="17"/>
    </row>
    <row r="44" spans="1:29" ht="49.95" customHeight="1" x14ac:dyDescent="0.3">
      <c r="A44" s="17" t="s">
        <v>840</v>
      </c>
      <c r="B44" s="17" t="s">
        <v>841</v>
      </c>
      <c r="C44" s="17">
        <v>100</v>
      </c>
      <c r="D44" s="17" t="s">
        <v>1711</v>
      </c>
      <c r="E44" s="17" t="s">
        <v>1715</v>
      </c>
      <c r="F44" s="17" t="s">
        <v>1715</v>
      </c>
      <c r="G44" s="17" t="s">
        <v>1715</v>
      </c>
      <c r="H44" s="17" t="s">
        <v>1715</v>
      </c>
      <c r="I44" s="17" t="s">
        <v>1715</v>
      </c>
      <c r="J44" s="17" t="s">
        <v>1715</v>
      </c>
      <c r="K44" s="17" t="s">
        <v>1715</v>
      </c>
      <c r="L44" s="17" t="s">
        <v>1715</v>
      </c>
      <c r="M44" s="17" t="s">
        <v>1715</v>
      </c>
      <c r="N44" s="17" t="s">
        <v>1715</v>
      </c>
      <c r="O44" s="17" t="s">
        <v>1715</v>
      </c>
      <c r="P44" s="17" t="s">
        <v>1715</v>
      </c>
      <c r="Q44" s="17" t="s">
        <v>1715</v>
      </c>
      <c r="R44" s="17" t="s">
        <v>1712</v>
      </c>
      <c r="S44" s="17" t="s">
        <v>1715</v>
      </c>
      <c r="T44" s="17" t="s">
        <v>1715</v>
      </c>
      <c r="U44" s="17" t="s">
        <v>1715</v>
      </c>
      <c r="V44" s="17" t="s">
        <v>1715</v>
      </c>
      <c r="W44" s="17" t="s">
        <v>1715</v>
      </c>
      <c r="X44" s="17" t="s">
        <v>1712</v>
      </c>
      <c r="Y44" s="17" t="s">
        <v>1713</v>
      </c>
      <c r="Z44" s="17" t="s">
        <v>1715</v>
      </c>
      <c r="AA44" s="17" t="s">
        <v>1715</v>
      </c>
      <c r="AB44" s="17" t="s">
        <v>1851</v>
      </c>
      <c r="AC44" s="17"/>
    </row>
    <row r="45" spans="1:29" ht="49.95" customHeight="1" x14ac:dyDescent="0.3">
      <c r="A45" s="17" t="s">
        <v>852</v>
      </c>
      <c r="B45" s="17" t="s">
        <v>1852</v>
      </c>
      <c r="C45" s="17">
        <v>104</v>
      </c>
      <c r="D45" s="17" t="s">
        <v>1711</v>
      </c>
      <c r="E45" s="17" t="s">
        <v>1715</v>
      </c>
      <c r="F45" s="17" t="s">
        <v>1715</v>
      </c>
      <c r="G45" s="17" t="s">
        <v>1715</v>
      </c>
      <c r="H45" s="17" t="s">
        <v>1715</v>
      </c>
      <c r="I45" s="17" t="s">
        <v>1715</v>
      </c>
      <c r="J45" s="17" t="s">
        <v>1715</v>
      </c>
      <c r="K45" s="17" t="s">
        <v>1715</v>
      </c>
      <c r="L45" s="17" t="s">
        <v>1715</v>
      </c>
      <c r="M45" s="17" t="s">
        <v>1715</v>
      </c>
      <c r="N45" s="17" t="s">
        <v>1715</v>
      </c>
      <c r="O45" s="17" t="s">
        <v>1715</v>
      </c>
      <c r="P45" s="17" t="s">
        <v>1715</v>
      </c>
      <c r="Q45" s="17" t="s">
        <v>1715</v>
      </c>
      <c r="R45" s="17" t="s">
        <v>1715</v>
      </c>
      <c r="S45" s="17" t="s">
        <v>1715</v>
      </c>
      <c r="T45" s="17" t="s">
        <v>1715</v>
      </c>
      <c r="U45" s="17" t="s">
        <v>1715</v>
      </c>
      <c r="V45" s="17" t="s">
        <v>1715</v>
      </c>
      <c r="W45" s="17" t="s">
        <v>1715</v>
      </c>
      <c r="X45" s="17" t="s">
        <v>1712</v>
      </c>
      <c r="Y45" s="17" t="s">
        <v>1713</v>
      </c>
      <c r="Z45" s="17" t="s">
        <v>1715</v>
      </c>
      <c r="AA45" s="17" t="s">
        <v>1715</v>
      </c>
      <c r="AB45" s="17" t="s">
        <v>1853</v>
      </c>
      <c r="AC45" s="17" t="s">
        <v>1854</v>
      </c>
    </row>
    <row r="46" spans="1:29" ht="49.95" customHeight="1" x14ac:dyDescent="0.3">
      <c r="A46" s="17" t="s">
        <v>884</v>
      </c>
      <c r="B46" s="17" t="s">
        <v>1855</v>
      </c>
      <c r="C46" s="17">
        <v>114</v>
      </c>
      <c r="D46" s="17" t="s">
        <v>1711</v>
      </c>
      <c r="E46" s="17" t="s">
        <v>1711</v>
      </c>
      <c r="F46" s="17" t="s">
        <v>1711</v>
      </c>
      <c r="G46" s="17" t="s">
        <v>1712</v>
      </c>
      <c r="H46" s="17" t="s">
        <v>1712</v>
      </c>
      <c r="I46" s="17" t="s">
        <v>1712</v>
      </c>
      <c r="J46" s="17" t="s">
        <v>1713</v>
      </c>
      <c r="K46" s="17" t="s">
        <v>1713</v>
      </c>
      <c r="L46" s="17" t="s">
        <v>1713</v>
      </c>
      <c r="M46" s="17" t="s">
        <v>1713</v>
      </c>
      <c r="N46" s="17" t="s">
        <v>1713</v>
      </c>
      <c r="O46" s="17" t="s">
        <v>1713</v>
      </c>
      <c r="P46" s="17" t="s">
        <v>1713</v>
      </c>
      <c r="Q46" s="17" t="s">
        <v>1713</v>
      </c>
      <c r="R46" s="17" t="s">
        <v>1712</v>
      </c>
      <c r="S46" s="17" t="s">
        <v>1713</v>
      </c>
      <c r="T46" s="17" t="s">
        <v>1713</v>
      </c>
      <c r="U46" s="17" t="s">
        <v>1713</v>
      </c>
      <c r="V46" s="17" t="s">
        <v>1713</v>
      </c>
      <c r="W46" s="17" t="s">
        <v>1713</v>
      </c>
      <c r="X46" s="17" t="s">
        <v>1713</v>
      </c>
      <c r="Y46" s="17" t="s">
        <v>1713</v>
      </c>
      <c r="Z46" s="17" t="s">
        <v>1713</v>
      </c>
      <c r="AA46" s="17" t="s">
        <v>1715</v>
      </c>
      <c r="AB46" s="17" t="s">
        <v>1856</v>
      </c>
      <c r="AC46" s="17" t="s">
        <v>1857</v>
      </c>
    </row>
    <row r="47" spans="1:29" ht="49.95" customHeight="1" x14ac:dyDescent="0.3">
      <c r="A47" s="17" t="s">
        <v>887</v>
      </c>
      <c r="B47" s="17" t="s">
        <v>1858</v>
      </c>
      <c r="C47" s="17">
        <v>115</v>
      </c>
      <c r="D47" s="17" t="s">
        <v>1711</v>
      </c>
      <c r="E47" s="17" t="s">
        <v>1711</v>
      </c>
      <c r="F47" s="17" t="s">
        <v>1711</v>
      </c>
      <c r="G47" s="17" t="s">
        <v>1711</v>
      </c>
      <c r="H47" s="17" t="s">
        <v>1711</v>
      </c>
      <c r="I47" s="17" t="s">
        <v>1711</v>
      </c>
      <c r="J47" s="17" t="s">
        <v>1711</v>
      </c>
      <c r="K47" s="17" t="s">
        <v>1713</v>
      </c>
      <c r="L47" s="17" t="s">
        <v>1715</v>
      </c>
      <c r="M47" s="17" t="s">
        <v>1715</v>
      </c>
      <c r="N47" s="17" t="s">
        <v>1715</v>
      </c>
      <c r="O47" s="17" t="s">
        <v>1715</v>
      </c>
      <c r="P47" s="17" t="s">
        <v>1715</v>
      </c>
      <c r="Q47" s="17" t="s">
        <v>1715</v>
      </c>
      <c r="R47" s="17" t="s">
        <v>1715</v>
      </c>
      <c r="S47" s="17" t="s">
        <v>1715</v>
      </c>
      <c r="T47" s="17" t="s">
        <v>1715</v>
      </c>
      <c r="U47" s="17" t="s">
        <v>1715</v>
      </c>
      <c r="V47" s="17" t="s">
        <v>1715</v>
      </c>
      <c r="W47" s="17" t="s">
        <v>1715</v>
      </c>
      <c r="X47" s="17" t="s">
        <v>1715</v>
      </c>
      <c r="Y47" s="17" t="s">
        <v>1715</v>
      </c>
      <c r="Z47" s="17" t="s">
        <v>1715</v>
      </c>
      <c r="AA47" s="17" t="s">
        <v>1715</v>
      </c>
      <c r="AB47" s="17" t="s">
        <v>1859</v>
      </c>
      <c r="AC47" s="17" t="s">
        <v>1860</v>
      </c>
    </row>
    <row r="48" spans="1:29" ht="49.95" customHeight="1" x14ac:dyDescent="0.3">
      <c r="A48" s="17" t="s">
        <v>893</v>
      </c>
      <c r="B48" s="17" t="s">
        <v>1861</v>
      </c>
      <c r="C48" s="17">
        <v>117</v>
      </c>
      <c r="D48" s="17" t="s">
        <v>1711</v>
      </c>
      <c r="E48" s="17" t="s">
        <v>1711</v>
      </c>
      <c r="F48" s="17" t="s">
        <v>1711</v>
      </c>
      <c r="G48" s="17" t="s">
        <v>1711</v>
      </c>
      <c r="H48" s="17" t="s">
        <v>1711</v>
      </c>
      <c r="I48" s="17" t="s">
        <v>1711</v>
      </c>
      <c r="J48" s="17" t="s">
        <v>1711</v>
      </c>
      <c r="K48" s="17" t="s">
        <v>1715</v>
      </c>
      <c r="L48" s="17" t="s">
        <v>1715</v>
      </c>
      <c r="M48" s="17" t="s">
        <v>1715</v>
      </c>
      <c r="N48" s="17" t="s">
        <v>1715</v>
      </c>
      <c r="O48" s="17" t="s">
        <v>1713</v>
      </c>
      <c r="P48" s="17" t="s">
        <v>1715</v>
      </c>
      <c r="Q48" s="17" t="s">
        <v>1715</v>
      </c>
      <c r="R48" s="17" t="s">
        <v>1715</v>
      </c>
      <c r="S48" s="17" t="s">
        <v>1715</v>
      </c>
      <c r="T48" s="17" t="s">
        <v>1715</v>
      </c>
      <c r="U48" s="17" t="s">
        <v>1715</v>
      </c>
      <c r="V48" s="17" t="s">
        <v>1715</v>
      </c>
      <c r="W48" s="17" t="s">
        <v>1715</v>
      </c>
      <c r="X48" s="17" t="s">
        <v>1715</v>
      </c>
      <c r="Y48" s="17" t="s">
        <v>1715</v>
      </c>
      <c r="Z48" s="17" t="s">
        <v>1715</v>
      </c>
      <c r="AA48" s="17" t="s">
        <v>1715</v>
      </c>
      <c r="AB48" s="17" t="s">
        <v>1862</v>
      </c>
      <c r="AC48" s="17" t="s">
        <v>1863</v>
      </c>
    </row>
    <row r="49" spans="1:29" ht="49.95" customHeight="1" x14ac:dyDescent="0.3">
      <c r="A49" s="17" t="s">
        <v>899</v>
      </c>
      <c r="B49" s="17" t="s">
        <v>1864</v>
      </c>
      <c r="C49" s="17">
        <v>119</v>
      </c>
      <c r="D49" s="17" t="s">
        <v>1711</v>
      </c>
      <c r="E49" s="17" t="s">
        <v>1711</v>
      </c>
      <c r="F49" s="17" t="s">
        <v>1711</v>
      </c>
      <c r="G49" s="17" t="s">
        <v>1711</v>
      </c>
      <c r="H49" s="17" t="s">
        <v>1711</v>
      </c>
      <c r="I49" s="17" t="s">
        <v>1711</v>
      </c>
      <c r="J49" s="17" t="s">
        <v>1711</v>
      </c>
      <c r="K49" s="17" t="s">
        <v>1715</v>
      </c>
      <c r="L49" s="17" t="s">
        <v>1715</v>
      </c>
      <c r="M49" s="17" t="s">
        <v>1715</v>
      </c>
      <c r="N49" s="17" t="s">
        <v>1715</v>
      </c>
      <c r="O49" s="17" t="s">
        <v>1715</v>
      </c>
      <c r="P49" s="17" t="s">
        <v>1715</v>
      </c>
      <c r="Q49" s="17" t="s">
        <v>1715</v>
      </c>
      <c r="R49" s="17" t="s">
        <v>1715</v>
      </c>
      <c r="S49" s="17" t="s">
        <v>1715</v>
      </c>
      <c r="T49" s="17" t="s">
        <v>1715</v>
      </c>
      <c r="U49" s="17" t="s">
        <v>1715</v>
      </c>
      <c r="V49" s="17" t="s">
        <v>1715</v>
      </c>
      <c r="W49" s="17" t="s">
        <v>1715</v>
      </c>
      <c r="X49" s="17" t="s">
        <v>1715</v>
      </c>
      <c r="Y49" s="17" t="s">
        <v>1713</v>
      </c>
      <c r="Z49" s="17" t="s">
        <v>1713</v>
      </c>
      <c r="AA49" s="17" t="s">
        <v>1715</v>
      </c>
      <c r="AB49" s="17" t="s">
        <v>1865</v>
      </c>
      <c r="AC49" s="17" t="s">
        <v>1866</v>
      </c>
    </row>
    <row r="50" spans="1:29" ht="49.95" customHeight="1" x14ac:dyDescent="0.3">
      <c r="A50" s="17" t="s">
        <v>1054</v>
      </c>
      <c r="B50" s="17" t="s">
        <v>1055</v>
      </c>
      <c r="C50" s="17">
        <v>166</v>
      </c>
      <c r="D50" s="17" t="s">
        <v>1711</v>
      </c>
      <c r="E50" s="17" t="s">
        <v>1711</v>
      </c>
      <c r="F50" s="17" t="s">
        <v>1711</v>
      </c>
      <c r="G50" s="17" t="s">
        <v>1711</v>
      </c>
      <c r="H50" s="17" t="s">
        <v>1711</v>
      </c>
      <c r="I50" s="17" t="s">
        <v>1711</v>
      </c>
      <c r="J50" s="17" t="s">
        <v>1711</v>
      </c>
      <c r="K50" s="17" t="s">
        <v>1711</v>
      </c>
      <c r="L50" s="17" t="s">
        <v>1711</v>
      </c>
      <c r="M50" s="17" t="s">
        <v>1711</v>
      </c>
      <c r="N50" s="17" t="s">
        <v>1715</v>
      </c>
      <c r="O50" s="17" t="s">
        <v>1715</v>
      </c>
      <c r="P50" s="17" t="s">
        <v>1715</v>
      </c>
      <c r="Q50" s="17" t="s">
        <v>1711</v>
      </c>
      <c r="R50" s="17" t="s">
        <v>1711</v>
      </c>
      <c r="S50" s="17" t="s">
        <v>1711</v>
      </c>
      <c r="T50" s="17" t="s">
        <v>1711</v>
      </c>
      <c r="U50" s="17" t="s">
        <v>1715</v>
      </c>
      <c r="V50" s="17" t="s">
        <v>1715</v>
      </c>
      <c r="W50" s="17" t="s">
        <v>1715</v>
      </c>
      <c r="X50" s="17" t="s">
        <v>1711</v>
      </c>
      <c r="Y50" s="17" t="s">
        <v>1712</v>
      </c>
      <c r="Z50" s="17" t="s">
        <v>1715</v>
      </c>
      <c r="AA50" s="17" t="s">
        <v>1713</v>
      </c>
      <c r="AB50" s="17" t="s">
        <v>1867</v>
      </c>
      <c r="AC50" s="17" t="s">
        <v>1868</v>
      </c>
    </row>
    <row r="51" spans="1:29" ht="49.95" customHeight="1" x14ac:dyDescent="0.3">
      <c r="A51" s="17" t="s">
        <v>1120</v>
      </c>
      <c r="B51" s="17" t="s">
        <v>1718</v>
      </c>
      <c r="C51" s="17">
        <v>184</v>
      </c>
      <c r="D51" s="17" t="s">
        <v>1711</v>
      </c>
      <c r="E51" s="17" t="s">
        <v>1712</v>
      </c>
      <c r="F51" s="17" t="s">
        <v>1712</v>
      </c>
      <c r="G51" s="17" t="s">
        <v>1712</v>
      </c>
      <c r="H51" s="17" t="s">
        <v>1712</v>
      </c>
      <c r="I51" s="17" t="s">
        <v>1712</v>
      </c>
      <c r="J51" s="17" t="s">
        <v>1713</v>
      </c>
      <c r="K51" s="17" t="s">
        <v>1714</v>
      </c>
      <c r="L51" s="17" t="s">
        <v>1714</v>
      </c>
      <c r="M51" s="17" t="s">
        <v>1714</v>
      </c>
      <c r="N51" s="17" t="s">
        <v>1714</v>
      </c>
      <c r="O51" s="17" t="s">
        <v>1713</v>
      </c>
      <c r="P51" s="17" t="s">
        <v>1714</v>
      </c>
      <c r="Q51" s="17" t="s">
        <v>1713</v>
      </c>
      <c r="R51" s="17" t="s">
        <v>1712</v>
      </c>
      <c r="S51" s="17" t="s">
        <v>1712</v>
      </c>
      <c r="T51" s="17" t="s">
        <v>1714</v>
      </c>
      <c r="U51" s="17" t="s">
        <v>1713</v>
      </c>
      <c r="V51" s="17" t="s">
        <v>1713</v>
      </c>
      <c r="W51" s="17" t="s">
        <v>1713</v>
      </c>
      <c r="X51" s="17" t="s">
        <v>1713</v>
      </c>
      <c r="Y51" s="17" t="s">
        <v>1713</v>
      </c>
      <c r="Z51" s="17" t="s">
        <v>1713</v>
      </c>
      <c r="AA51" s="17" t="s">
        <v>1715</v>
      </c>
      <c r="AB51" s="17" t="s">
        <v>1869</v>
      </c>
      <c r="AC51" s="17"/>
    </row>
    <row r="52" spans="1:29" ht="49.95" customHeight="1" x14ac:dyDescent="0.3">
      <c r="A52" s="17" t="s">
        <v>1138</v>
      </c>
      <c r="B52" s="17" t="s">
        <v>1719</v>
      </c>
      <c r="C52" s="17">
        <v>188</v>
      </c>
      <c r="D52" s="17" t="s">
        <v>1711</v>
      </c>
      <c r="E52" s="17" t="s">
        <v>1712</v>
      </c>
      <c r="F52" s="17" t="s">
        <v>1712</v>
      </c>
      <c r="G52" s="17" t="s">
        <v>1712</v>
      </c>
      <c r="H52" s="17" t="s">
        <v>1712</v>
      </c>
      <c r="I52" s="17" t="s">
        <v>1712</v>
      </c>
      <c r="J52" s="17" t="s">
        <v>1713</v>
      </c>
      <c r="K52" s="17" t="s">
        <v>1714</v>
      </c>
      <c r="L52" s="17" t="s">
        <v>1714</v>
      </c>
      <c r="M52" s="17" t="s">
        <v>1714</v>
      </c>
      <c r="N52" s="17" t="s">
        <v>1714</v>
      </c>
      <c r="O52" s="17" t="s">
        <v>1713</v>
      </c>
      <c r="P52" s="17" t="s">
        <v>1715</v>
      </c>
      <c r="Q52" s="17" t="s">
        <v>1713</v>
      </c>
      <c r="R52" s="17" t="s">
        <v>1712</v>
      </c>
      <c r="S52" s="17" t="s">
        <v>1712</v>
      </c>
      <c r="T52" s="17" t="s">
        <v>1714</v>
      </c>
      <c r="U52" s="17" t="s">
        <v>1713</v>
      </c>
      <c r="V52" s="17" t="s">
        <v>1713</v>
      </c>
      <c r="W52" s="17" t="s">
        <v>1713</v>
      </c>
      <c r="X52" s="17" t="s">
        <v>1713</v>
      </c>
      <c r="Y52" s="17" t="s">
        <v>1713</v>
      </c>
      <c r="Z52" s="17" t="s">
        <v>1713</v>
      </c>
      <c r="AA52" s="17" t="s">
        <v>1715</v>
      </c>
      <c r="AB52" s="17" t="s">
        <v>1870</v>
      </c>
      <c r="AC52" s="17"/>
    </row>
  </sheetData>
  <conditionalFormatting sqref="D2:AA52">
    <cfRule type="containsText" dxfId="4" priority="1" operator="containsText" text="agrees">
      <formula>NOT(ISERROR(SEARCH("agrees",D2)))</formula>
    </cfRule>
    <cfRule type="containsText" dxfId="3" priority="2" operator="containsText" text="diverges">
      <formula>NOT(ISERROR(SEARCH("diverges",D2)))</formula>
    </cfRule>
    <cfRule type="containsText" dxfId="2" priority="3" operator="containsText" text="silent">
      <formula>NOT(ISERROR(SEARCH("silent",D2)))</formula>
    </cfRule>
    <cfRule type="containsText" dxfId="1" priority="4" operator="containsText" text="reinterprets">
      <formula>NOT(ISERROR(SEARCH("reinterprets",D2)))</formula>
    </cfRule>
    <cfRule type="containsText" dxfId="0" priority="5" operator="containsText" text="partial">
      <formula>NOT(ISERROR(SEARCH("partial",D2)))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NODES</vt:lpstr>
      <vt:lpstr>RELATIONSHIPS</vt:lpstr>
      <vt:lpstr>EVIDENCE</vt:lpstr>
      <vt:lpstr>GUIDE</vt:lpstr>
      <vt:lpstr>AGREEMENT_CHAINS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dcterms:created xsi:type="dcterms:W3CDTF">2026-03-09T22:44:49Z</dcterms:created>
  <dcterms:modified xsi:type="dcterms:W3CDTF">2026-03-10T02:10:22Z</dcterms:modified>
</cp:coreProperties>
</file>